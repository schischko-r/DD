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man/Documents/Codex/DD-dev/"/>
    </mc:Choice>
  </mc:AlternateContent>
  <xr:revisionPtr revIDLastSave="0" documentId="13_ncr:1_{8ED30CB8-A926-B847-A19B-F402108F5007}" xr6:coauthVersionLast="47" xr6:coauthVersionMax="47" xr10:uidLastSave="{00000000-0000-0000-0000-000000000000}"/>
  <bookViews>
    <workbookView xWindow="0" yWindow="0" windowWidth="38400" windowHeight="21600" activeTab="2" xr2:uid="{A77F7C32-41CE-594D-B64E-396197F2C882}"/>
  </bookViews>
  <sheets>
    <sheet name="титул" sheetId="1" r:id="rId1"/>
    <sheet name="деталка" sheetId="2" r:id="rId2"/>
    <sheet name="metric_dict" sheetId="4" r:id="rId3"/>
    <sheet name="резерв" sheetId="3" r:id="rId4"/>
  </sheets>
  <definedNames>
    <definedName name="_xlnm._FilterDatabase" localSheetId="2" hidden="1">metric_dict!$A$1:$G$48</definedName>
    <definedName name="_xlnm._FilterDatabase" localSheetId="1" hidden="1">деталка!$A$1:$Q$428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2" i="2"/>
  <c r="D418" i="2"/>
  <c r="C418" i="2"/>
  <c r="B418" i="2"/>
  <c r="D417" i="2"/>
  <c r="C417" i="2"/>
  <c r="B417" i="2"/>
  <c r="D416" i="2"/>
  <c r="C416" i="2"/>
  <c r="B416" i="2"/>
  <c r="D415" i="2"/>
  <c r="C415" i="2"/>
  <c r="B415" i="2"/>
  <c r="D414" i="2"/>
  <c r="C414" i="2"/>
  <c r="B414" i="2"/>
  <c r="D413" i="2"/>
  <c r="C413" i="2"/>
  <c r="B413" i="2"/>
  <c r="D412" i="2"/>
  <c r="C412" i="2"/>
  <c r="B412" i="2"/>
  <c r="D411" i="2"/>
  <c r="C411" i="2"/>
  <c r="B411" i="2"/>
  <c r="D410" i="2"/>
  <c r="C410" i="2"/>
  <c r="B410" i="2"/>
  <c r="D409" i="2"/>
  <c r="C409" i="2"/>
  <c r="B409" i="2"/>
  <c r="D408" i="2"/>
  <c r="C408" i="2"/>
  <c r="B408" i="2"/>
  <c r="D407" i="2"/>
  <c r="C407" i="2"/>
  <c r="B407" i="2"/>
  <c r="D406" i="2"/>
  <c r="C406" i="2"/>
  <c r="B406" i="2"/>
  <c r="D405" i="2"/>
  <c r="C405" i="2"/>
  <c r="B405" i="2"/>
  <c r="D404" i="2"/>
  <c r="C404" i="2"/>
  <c r="B404" i="2"/>
  <c r="D403" i="2"/>
  <c r="C403" i="2"/>
  <c r="B403" i="2"/>
  <c r="D402" i="2"/>
  <c r="C402" i="2"/>
  <c r="B402" i="2"/>
  <c r="D401" i="2"/>
  <c r="C401" i="2"/>
  <c r="B401" i="2"/>
  <c r="D400" i="2"/>
  <c r="C400" i="2"/>
  <c r="B400" i="2"/>
  <c r="D399" i="2"/>
  <c r="C399" i="2"/>
  <c r="B399" i="2"/>
  <c r="D398" i="2"/>
  <c r="C398" i="2"/>
  <c r="B398" i="2"/>
  <c r="D397" i="2"/>
  <c r="C397" i="2"/>
  <c r="B397" i="2"/>
  <c r="D396" i="2"/>
  <c r="C396" i="2"/>
  <c r="B396" i="2"/>
  <c r="D395" i="2"/>
  <c r="C395" i="2"/>
  <c r="B395" i="2"/>
  <c r="D394" i="2"/>
  <c r="C394" i="2"/>
  <c r="B394" i="2"/>
  <c r="D393" i="2"/>
  <c r="C393" i="2"/>
  <c r="B393" i="2"/>
  <c r="D392" i="2"/>
  <c r="C392" i="2"/>
  <c r="B392" i="2"/>
  <c r="D391" i="2"/>
  <c r="C391" i="2"/>
  <c r="B391" i="2"/>
  <c r="D390" i="2"/>
  <c r="C390" i="2"/>
  <c r="B390" i="2"/>
  <c r="D389" i="2"/>
  <c r="C389" i="2"/>
  <c r="B389" i="2"/>
  <c r="D388" i="2"/>
  <c r="C388" i="2"/>
  <c r="B388" i="2"/>
  <c r="D387" i="2"/>
  <c r="C387" i="2"/>
  <c r="B387" i="2"/>
  <c r="D386" i="2"/>
  <c r="C386" i="2"/>
  <c r="B386" i="2"/>
  <c r="D385" i="2"/>
  <c r="C385" i="2"/>
  <c r="B385" i="2"/>
  <c r="D384" i="2"/>
  <c r="C384" i="2"/>
  <c r="B384" i="2"/>
  <c r="D383" i="2"/>
  <c r="C383" i="2"/>
  <c r="B383" i="2"/>
  <c r="D382" i="2"/>
  <c r="C382" i="2"/>
  <c r="B382" i="2"/>
  <c r="D381" i="2"/>
  <c r="C381" i="2"/>
  <c r="B381" i="2"/>
  <c r="D380" i="2"/>
  <c r="C380" i="2"/>
  <c r="B380" i="2"/>
  <c r="D379" i="2"/>
  <c r="C379" i="2"/>
  <c r="B379" i="2"/>
  <c r="D378" i="2"/>
  <c r="C378" i="2"/>
  <c r="B378" i="2"/>
  <c r="D377" i="2"/>
  <c r="C377" i="2"/>
  <c r="B377" i="2"/>
  <c r="D376" i="2"/>
  <c r="C376" i="2"/>
  <c r="B376" i="2"/>
  <c r="D375" i="2"/>
  <c r="C375" i="2"/>
  <c r="B375" i="2"/>
  <c r="D374" i="2"/>
  <c r="C374" i="2"/>
  <c r="B374" i="2"/>
  <c r="D373" i="2"/>
  <c r="C373" i="2"/>
  <c r="B373" i="2"/>
  <c r="D372" i="2"/>
  <c r="C372" i="2"/>
  <c r="B372" i="2"/>
  <c r="D371" i="2"/>
  <c r="C371" i="2"/>
  <c r="B371" i="2"/>
  <c r="D370" i="2"/>
  <c r="C370" i="2"/>
  <c r="B370" i="2"/>
  <c r="D369" i="2"/>
  <c r="C369" i="2"/>
  <c r="B369" i="2"/>
  <c r="D368" i="2"/>
  <c r="C368" i="2"/>
  <c r="B368" i="2"/>
  <c r="D367" i="2"/>
  <c r="C367" i="2"/>
  <c r="B367" i="2"/>
</calcChain>
</file>

<file path=xl/sharedStrings.xml><?xml version="1.0" encoding="utf-8"?>
<sst xmlns="http://schemas.openxmlformats.org/spreadsheetml/2006/main" count="29991" uniqueCount="366">
  <si>
    <t>Юнит</t>
  </si>
  <si>
    <t>Продукт</t>
  </si>
  <si>
    <t>Оценка</t>
  </si>
  <si>
    <t>Группа</t>
  </si>
  <si>
    <t>тип</t>
  </si>
  <si>
    <t>УБ</t>
  </si>
  <si>
    <t>Осаго</t>
  </si>
  <si>
    <t xml:space="preserve">Зрелые </t>
  </si>
  <si>
    <t>продукт</t>
  </si>
  <si>
    <t>КАСКО</t>
  </si>
  <si>
    <t xml:space="preserve">Развивающиеся </t>
  </si>
  <si>
    <t>СберСова</t>
  </si>
  <si>
    <t>Залоговое страхование (корпоративное страхование)</t>
  </si>
  <si>
    <t xml:space="preserve">Требуют внимания </t>
  </si>
  <si>
    <t>НСЖ</t>
  </si>
  <si>
    <t>ИСЖ</t>
  </si>
  <si>
    <t>Страхование жизни</t>
  </si>
  <si>
    <t>Брокерский счет</t>
  </si>
  <si>
    <t>БПИФ</t>
  </si>
  <si>
    <t>ЗПИФ</t>
  </si>
  <si>
    <t>ПДС</t>
  </si>
  <si>
    <t>ОПИФ</t>
  </si>
  <si>
    <t>ВЗР</t>
  </si>
  <si>
    <t>ДУ</t>
  </si>
  <si>
    <t>Страхование залога (к ипотеке)</t>
  </si>
  <si>
    <t>Личная защита Плюс</t>
  </si>
  <si>
    <t>Защита на любой случай</t>
  </si>
  <si>
    <t>ДСЖ ПК</t>
  </si>
  <si>
    <t>ДСЖ КК</t>
  </si>
  <si>
    <t>ЦФА</t>
  </si>
  <si>
    <t>CBP</t>
  </si>
  <si>
    <t>Вклады+НС</t>
  </si>
  <si>
    <t>КП</t>
  </si>
  <si>
    <t>Конверсия</t>
  </si>
  <si>
    <t>Сейфы</t>
  </si>
  <si>
    <t>Монеты</t>
  </si>
  <si>
    <t>ОМС</t>
  </si>
  <si>
    <t>Слитки</t>
  </si>
  <si>
    <t>Потребительский кредит</t>
  </si>
  <si>
    <t>Объект Авто</t>
  </si>
  <si>
    <t>ДомКлик</t>
  </si>
  <si>
    <t>Сделка с Первичным жильём</t>
  </si>
  <si>
    <t>Много денег (НКПЗН)</t>
  </si>
  <si>
    <t>Сделка вторичка</t>
  </si>
  <si>
    <t>PC</t>
  </si>
  <si>
    <t>Выписки, справки</t>
  </si>
  <si>
    <t>СХ</t>
  </si>
  <si>
    <t>СберПрайм</t>
  </si>
  <si>
    <t>Пакет услуг СберПремьер</t>
  </si>
  <si>
    <t>Пакет услуг СберПервый</t>
  </si>
  <si>
    <t>Дети</t>
  </si>
  <si>
    <t>Сегмент</t>
  </si>
  <si>
    <t>Рабочий возраст</t>
  </si>
  <si>
    <t>Зрелость</t>
  </si>
  <si>
    <t>Top Affluent</t>
  </si>
  <si>
    <t>PB</t>
  </si>
  <si>
    <t>МВС</t>
  </si>
  <si>
    <t>DB</t>
  </si>
  <si>
    <t>Трансграничный эквайринг</t>
  </si>
  <si>
    <t>Военная пенсия</t>
  </si>
  <si>
    <t>Транспортный эквайринг</t>
  </si>
  <si>
    <t>Школьные сервисы</t>
  </si>
  <si>
    <t>Кредитные карты</t>
  </si>
  <si>
    <t>Трансграничные переводы</t>
  </si>
  <si>
    <t>Платежи</t>
  </si>
  <si>
    <t>Переводы по РФ</t>
  </si>
  <si>
    <t>Переводы подарков</t>
  </si>
  <si>
    <t>Оплата улыбкой</t>
  </si>
  <si>
    <t>Торговый Эквайринг</t>
  </si>
  <si>
    <t>Дебетовая карта</t>
  </si>
  <si>
    <t>SberPay NFC</t>
  </si>
  <si>
    <t>Как зарплатный</t>
  </si>
  <si>
    <t>Интернет-Эквайринг</t>
  </si>
  <si>
    <t>SberPay Ecom</t>
  </si>
  <si>
    <t>Вжух</t>
  </si>
  <si>
    <t>Пенсионный продукт</t>
  </si>
  <si>
    <t>СберЧаевые</t>
  </si>
  <si>
    <t>Зарплатный продукт</t>
  </si>
  <si>
    <t>Детская карта</t>
  </si>
  <si>
    <t>fake_id</t>
  </si>
  <si>
    <t>perc_id</t>
  </si>
  <si>
    <t>value_id</t>
  </si>
  <si>
    <t>max_value_id</t>
  </si>
  <si>
    <t>metric</t>
  </si>
  <si>
    <t>metric_name</t>
  </si>
  <si>
    <t>value</t>
  </si>
  <si>
    <t>max_value</t>
  </si>
  <si>
    <t>metric_group</t>
  </si>
  <si>
    <t>metric_footer</t>
  </si>
  <si>
    <t>recommendation</t>
  </si>
  <si>
    <t>recommendation_group</t>
  </si>
  <si>
    <t>type</t>
  </si>
  <si>
    <t>Объем целевого рынка в России</t>
  </si>
  <si>
    <t>Самооценка знания продуктовых метрик</t>
  </si>
  <si>
    <t>Оценка потенциального объема клиентов в России</t>
  </si>
  <si>
    <t>Ознакомиться со значениями ключевых метрик</t>
  </si>
  <si>
    <t>easy</t>
  </si>
  <si>
    <t>product</t>
  </si>
  <si>
    <t>Знание об отчетности в Навигаторе</t>
  </si>
  <si>
    <t>Понимание доступной отчетности и регулярного мониторинга</t>
  </si>
  <si>
    <t>Цели выведены на мониторинг</t>
  </si>
  <si>
    <t>Цели</t>
  </si>
  <si>
    <t>Регулярное обновление в Навигаторе</t>
  </si>
  <si>
    <t>Настроить мониторинг целей в Навигаторе</t>
  </si>
  <si>
    <t>Факторный анализ — драйверы 1–2 ур.</t>
  </si>
  <si>
    <t>Согласно модели бизнес-процесса</t>
  </si>
  <si>
    <t>Декомпозировать значения целей на драйверы</t>
  </si>
  <si>
    <t>medium</t>
  </si>
  <si>
    <t>Прогноз по целям</t>
  </si>
  <si>
    <t>Прогноз выведен в Навигатор</t>
  </si>
  <si>
    <t>Сформировать прогнозные значения по целям</t>
  </si>
  <si>
    <t>Привлечение.Регулярная отчётность</t>
  </si>
  <si>
    <t>Воронка привлечения</t>
  </si>
  <si>
    <t>Настроена по воронке</t>
  </si>
  <si>
    <t>Настроить мониторинг по воронке привлечения</t>
  </si>
  <si>
    <t>Привлечение.Полнота отчёта</t>
  </si>
  <si>
    <t>Источники, CR, объёмы, сегменты</t>
  </si>
  <si>
    <t>Донасытить метриками мониторинг по воронке привлечения</t>
  </si>
  <si>
    <t>Привлечение.Регулярность (авто)</t>
  </si>
  <si>
    <t>Daily / weekly</t>
  </si>
  <si>
    <t>Автоматизировать расчет воронки привлечения</t>
  </si>
  <si>
    <t>Отток.Регулярная отчётность</t>
  </si>
  <si>
    <t>Воронка оттока</t>
  </si>
  <si>
    <t>Настроить мониторинг по воронке оттока</t>
  </si>
  <si>
    <t>Отток.Полнота отчёта</t>
  </si>
  <si>
    <t>Retention, CR, удержание</t>
  </si>
  <si>
    <t>Донасытить метриками мониторинг по воронке оттока</t>
  </si>
  <si>
    <t>Отток.Регулярность (авто)</t>
  </si>
  <si>
    <t>Автоматизировать расчет воронки оттока</t>
  </si>
  <si>
    <t>Наличие бенчмарков</t>
  </si>
  <si>
    <t>BENCHMARKS</t>
  </si>
  <si>
    <t>Цели / динамика / рынок</t>
  </si>
  <si>
    <t>Сформировать бенчмарки по продуктовым метрикам</t>
  </si>
  <si>
    <t>Опишите, какие бенчмарки используются</t>
  </si>
  <si>
    <t>Проведение анализа воронки привлечения</t>
  </si>
  <si>
    <t>Оценка эффективности, поиск точек роста</t>
  </si>
  <si>
    <t>Провести анализ привлечения, выявить точки роста</t>
  </si>
  <si>
    <t>Составлен перечень инициатив по привлечению</t>
  </si>
  <si>
    <t>План действий по росту</t>
  </si>
  <si>
    <t>Сформировать перечень инициатив</t>
  </si>
  <si>
    <t>Проведение анализа воронки оттока</t>
  </si>
  <si>
    <t>Оценка причин и узких мест</t>
  </si>
  <si>
    <t>Провести анализ оттока, выявить точки роста</t>
  </si>
  <si>
    <t>Мероприятия по работе с отклонениями</t>
  </si>
  <si>
    <t>План действий по отклонениям</t>
  </si>
  <si>
    <t>Сформировать список мероприятий по снижению оттока</t>
  </si>
  <si>
    <t>Оповещения по системным сбоям</t>
  </si>
  <si>
    <t>Алерты</t>
  </si>
  <si>
    <t>Авто-алерты по IT-инфраструктуре</t>
  </si>
  <si>
    <t>Внедрить систему оповещений</t>
  </si>
  <si>
    <t>Оповещения по бизнес-метрикам</t>
  </si>
  <si>
    <t>Светофоры целей, драйверов, воронок</t>
  </si>
  <si>
    <t>Полнота продуктовых механик</t>
  </si>
  <si>
    <t>Клиентский опыт</t>
  </si>
  <si>
    <t>Механики, влияющие на клиентский опыт</t>
  </si>
  <si>
    <t>Увеличить покрытие механиками</t>
  </si>
  <si>
    <t>Удержание клиентов</t>
  </si>
  <si>
    <t>Коммуникация + ценность</t>
  </si>
  <si>
    <t>Проработать механики удержания клиентов</t>
  </si>
  <si>
    <t>Возврат клиентов</t>
  </si>
  <si>
    <t>Реактивация оттекающих клиентов</t>
  </si>
  <si>
    <t>Проработать механики реактивации клиентов</t>
  </si>
  <si>
    <t>Cross-sell</t>
  </si>
  <si>
    <t>В оформлении и после покупки</t>
  </si>
  <si>
    <t>Проработать механики кросс-продаж</t>
  </si>
  <si>
    <t>Discovery ≥40% бэклога</t>
  </si>
  <si>
    <t>Гипотезы и инициативы</t>
  </si>
  <si>
    <t>Доля исследовательских задач DA</t>
  </si>
  <si>
    <t>Сфокусировать бэклог аналитиков на research-задачи</t>
  </si>
  <si>
    <t>Нет собственных аналитиков</t>
  </si>
  <si>
    <t>Запуски кампаний за квартал</t>
  </si>
  <si>
    <t>Self-service / кампейнинг, покрытие</t>
  </si>
  <si>
    <t>Запустить кампании</t>
  </si>
  <si>
    <t>Черновики в СБОЛ ≥70%</t>
  </si>
  <si>
    <t>Покрытие черновиками</t>
  </si>
  <si>
    <t>Увеличить покрытие черновиков</t>
  </si>
  <si>
    <t>CX Score</t>
  </si>
  <si>
    <t>Зелёная зона клиентского пути</t>
  </si>
  <si>
    <t>Достигнуть целевого CX Score</t>
  </si>
  <si>
    <t>A/B-тесты</t>
  </si>
  <si>
    <t>Проведение A/B тестов</t>
  </si>
  <si>
    <t>Запустить A/B-тестирование</t>
  </si>
  <si>
    <t>Рейтинг DataDriven ≥7,5</t>
  </si>
  <si>
    <t>Средняя оценка проведенных исследований</t>
  </si>
  <si>
    <t>Повысить качество проведенных исследований</t>
  </si>
  <si>
    <t>Доп. инициативы сверх БП</t>
  </si>
  <si>
    <t>В реестре инициатив</t>
  </si>
  <si>
    <t>Объем целевого рынка в Сбере</t>
  </si>
  <si>
    <t>Оценка потенциального объема клиентов в Сбере</t>
  </si>
  <si>
    <t>Клиенты с продуктом</t>
  </si>
  <si>
    <t>Фактическая база клиентов продукта</t>
  </si>
  <si>
    <t>MAU продукта</t>
  </si>
  <si>
    <t>Активная месячная аудитория продукта</t>
  </si>
  <si>
    <t>Знание продуктов спутников</t>
  </si>
  <si>
    <t>Понимание связанных продуктов и сценариев</t>
  </si>
  <si>
    <t>не релевантно</t>
  </si>
  <si>
    <t>Не релевантно</t>
  </si>
  <si>
    <t>Маркетинговые отчеты и аналитика</t>
  </si>
  <si>
    <t>нет продукта</t>
  </si>
  <si>
    <t>не реевантно</t>
  </si>
  <si>
    <t>Ссылка на коронку привлечения</t>
  </si>
  <si>
    <t>Ссылка на воронку оттока</t>
  </si>
  <si>
    <t xml:space="preserve"> 
\\Porto1005.omega.sbrf.ru\Vol3\otch_blago\ЦС_УБ\Отчетность_Трайба\Ипотека\Dashboard Ипотека</t>
  </si>
  <si>
    <t>Ссылка на бэклог</t>
  </si>
  <si>
    <t>Гибкое изменение условий продукта</t>
  </si>
  <si>
    <t>Возможность изменить набор опций по продукту без IT-разработки</t>
  </si>
  <si>
    <t>Выстроить процесс гибкого изменения условий без IT</t>
  </si>
  <si>
    <t>hard</t>
  </si>
  <si>
    <t>Цифр.цели</t>
  </si>
  <si>
    <t>Цифр.факторы</t>
  </si>
  <si>
    <t>Цифр.прогнозы</t>
  </si>
  <si>
    <t>сейфы</t>
  </si>
  <si>
    <t xml:space="preserve">Отчеты формируются и приходят на почту </t>
  </si>
  <si>
    <t>https://clickstream.sberbank.ru/frontend/sbersova</t>
  </si>
  <si>
    <t>нет ответа</t>
  </si>
  <si>
    <t>СВОД ПО МЕТРИКАМ КЛИКСТРИМ https://confluence.sberbank.ru/pages/viewpage.action?pageId=9809663045</t>
  </si>
  <si>
    <t>https://clickstream.sberbank.ru/frontend/sbol/reports/funnels/33400</t>
  </si>
  <si>
    <t>https://clickstream.sberbank.ru/frontend/sbol/reports/funnels/34947</t>
  </si>
  <si>
    <t>https://clickstream.sberbank.ru/frontend/sbolpro/reports/web-events/35463</t>
  </si>
  <si>
    <t>https://clickstream.sberbank.ru/frontend/sbol/reports/funnels/33375</t>
  </si>
  <si>
    <t>https://clickstream.sberbank.ru/frontend/sbol/reports/funnels/39176</t>
  </si>
  <si>
    <t>https://clickstream.sberbank.ru/frontend/sbol/reports/funnels/33358</t>
  </si>
  <si>
    <t>https://navigator.sigma.sbrf.ru/gdash/1000000911/1000046771</t>
  </si>
  <si>
    <t>https://navigator.sigma.sbrf.ru/gdash/1000000726
https://navigator.sigma.sbrf.ru/gdash/1000001412
+ отчет ClickStrem выгружается по запросу</t>
  </si>
  <si>
    <t>https://navigator.sigma.sbrf.ru/gdash/1000000766
https://navigator.sigma.sbrf.ru/gdash/1000003899/1000036054
https://clickstream.sigma.sbrf.ru/frontend/sbol/reports/funnels/39458
https://clickstream.sigma.sbrf.ru/frontend/sbol/reports/funnels/38127</t>
  </si>
  <si>
    <t>1. https://confluence.sberbank.ru/pages/viewpage.action?pageId=16315384978
2. https://confluence.delta.sbrf.ru/pages/viewpage.action?pageId=16599875847</t>
  </si>
  <si>
    <t>https://navigator.sigma.sbrf.ru/gdash/1000003969/1000035558</t>
  </si>
  <si>
    <t>https://process-mining.omega.sbrf.ru/superset/dashboard/23144/</t>
  </si>
  <si>
    <t>https://dashboard.domclick.ru/new_flat/Prima_MAU?tab_place=1</t>
  </si>
  <si>
    <t>https://superset.sberned.ru/superset/dashboard/198/?native_filters_key=wtaC1NdPkgjQDvKQMmg_4e3uoe3OxJzNG-GcLx0_PiAtFlVIY0rTdgoRkfXNiAjR</t>
  </si>
  <si>
    <t>https://dashboard.domclick.ru/flat/secondary_mortgage?tab_place=2 https://dashboard.domclick.ru/flat/secondary_nonmortgage?tab_place=2</t>
  </si>
  <si>
    <t>Отчет формируется и приходит на почту</t>
  </si>
  <si>
    <t>https://navigator.sigma.sbrf.ru/gdash/1000000911/1000046771?category=%D0%97%D0%B0%D1%89%D0%B8%D1%82%D0%B0%20360&amp;month_end=2026-04-01</t>
  </si>
  <si>
    <t>Регулярная e-mail рассылка</t>
  </si>
  <si>
    <t>Информация предоставляется штабом</t>
  </si>
  <si>
    <t xml:space="preserve"> Верхнеуровневая отчетность есть в Навигаторе https://navigator.sigma.sbrf.ru/gdash/1000003899/1000035532?sSetGroup=5
Детализированная по продуктам - в рамках регулярной отчетности от Штаба </t>
  </si>
  <si>
    <t>Верхнеуровневая отчетность доступна в Навигаторе, https://navigator.sigma.sbrf.ru/gdash/1000003899/1000035532?sSetGroup=5. Детализированный отчет по продукту предоставляет Штаб</t>
  </si>
  <si>
    <t>https://navigator.sigma.sbrf.ru/gdash/1000000726</t>
  </si>
  <si>
    <t>https://navigator.sigma.sbrf.ru/gdash/1000000766
частично через выгрузки</t>
  </si>
  <si>
    <t>https://qlik.sigma.sbrf.ru/qs_cib_dgr/scim_sigma/sense/app/5eff03df-5129-4849-87cf-f854d4303f91/sheet/6bb63c20-99e5-4b77-bc84-aa326cfbde9f/state/analysis</t>
  </si>
  <si>
    <t>https://qlik.sigma.sbrf.ru/qs_cib_dgr/scim_sigma/sense/app/5eff03df-5129-4849-87cf-f854d4303f91/sheet/82ffa37b-c985-497d-9d03-d8a8f69b8c19/state/analysis</t>
  </si>
  <si>
    <t>https://jira.delta.sbrf.ru/secure/RapidBoard.jspa?rapidView=34057&amp;projectKey=BSAVTO&amp;view=planning.nodetail&amp;quickFilter=191517&amp;issueLimit=100#</t>
  </si>
  <si>
    <t>https://jira.sberbank.ru/secure/RapidBoard.jspa?projectKey=KPDS&amp;rapidView=21722#</t>
  </si>
  <si>
    <t>Копирование данных запрещено</t>
  </si>
  <si>
    <t>https://confluence.sberbank.ru/pages/viewpage.action?pageId=16315384978</t>
  </si>
  <si>
    <t xml:space="preserve">https://confluence.sberbank.ru/pages/viewpage.action?pageId=16315384978 </t>
  </si>
  <si>
    <t>https://confluence.sberbank.ru/display/CBPCTO/22.06.2026-28.06.2026</t>
  </si>
  <si>
    <t>https://sbertrack.sberbank.ru/swtr/units/all?space=CI8LDDG1KY&amp;tenant=default&amp;spaces=%5B%7B%22label%22%3A%22Аналитика+%5C%22АВТО%5C%22%22%2C%22value%22%3A%22CI8LDDG1KY%22%7D%5D</t>
  </si>
  <si>
    <t>https://jira.sberned.ru/projects/PRIMA/issues/PRIMA-2045?filter=allopenissues</t>
  </si>
  <si>
    <t>https://jira.sberned.ru/secure/RapidBoard.jspa?rapidView=1645&amp;view=planning.nodetail&amp;quickFilter=10170&amp;issueLimit=100#</t>
  </si>
  <si>
    <t>https://jira.sberned.ru/secure/RapidBoard.jspa?rapidView=1645&amp;view=planning.nodetail&amp;quickFilter=9019&amp;issueLimit=100#</t>
  </si>
  <si>
    <t>CX</t>
  </si>
  <si>
    <t>Молодежь</t>
  </si>
  <si>
    <t>Работа с метрикой АКБ</t>
  </si>
  <si>
    <t>Проводится ли работа с метрикой активной клиентской базы</t>
  </si>
  <si>
    <t>Выстроить процесс работы с клиенткой базой</t>
  </si>
  <si>
    <t>segment</t>
  </si>
  <si>
    <t>Работа с метрикой Major</t>
  </si>
  <si>
    <t>Проводится ли работа с метрикой Major</t>
  </si>
  <si>
    <t>Работа с метрикой 2+ нефин. Сервисов</t>
  </si>
  <si>
    <t>Проводится ли работа с метрикой 2+ нефин.сервисов</t>
  </si>
  <si>
    <t/>
  </si>
  <si>
    <t>Повышение уровня клиента</t>
  </si>
  <si>
    <t>Работа с upsell-механикой уровней</t>
  </si>
  <si>
    <t>Проработать механики повышения уровня клиента</t>
  </si>
  <si>
    <t>Мониторинг механик</t>
  </si>
  <si>
    <t>Настроен по ключевым механикам работы с клиентской базой</t>
  </si>
  <si>
    <t>Настроить мониторинг по ключевым механикам</t>
  </si>
  <si>
    <t>Кредитный потенциал</t>
  </si>
  <si>
    <t>https://clickstream.sberbank.ru/frontend/sbol/reports/funnels/33555</t>
  </si>
  <si>
    <t>бэклог хранится в Taska, нужно получать доступы
https://sberfriend.sberbank.ru/sberfriend/#/taskTracker/boards/</t>
  </si>
  <si>
    <t>ИнвестКопилка</t>
  </si>
  <si>
    <t xml:space="preserve">Сравнение с историческими значениями + ручное прогнозирование целевых бенчмарк показателей </t>
  </si>
  <si>
    <t xml:space="preserve">Их очень много разных, собираем под каждый кампейн или по необходимости. 
Чаще всего смотрю сюда https://clickstream.sberbank.ru/frontend/sbol/reports/events/36564, так как можно раскрыть список источников клиентского потока по меткам и при необходимости посчитать доли. Если нужно спуститься глубже, собираем воронку уже детальную. </t>
  </si>
  <si>
    <t xml:space="preserve">В основном смотрим в Навигаторе: https://navigator.sigma.sbrf.ru/gdash/1000000914?freq_dt_filter=M 
Есть и отток по клиентам и отток в деньгах. Также есть автоматизированная выгрузка месячных когорт клиентов для ручного анализа (в кликсенс, Альфа). </t>
  </si>
  <si>
    <t xml:space="preserve">https://navigator.sigma.sbrf.ru/gdash/1000000820/1000012918
https://jira.sberbank.ru/projects/RUNNBOMP/issues/RUNNBOMP-1?filter=allissues </t>
  </si>
  <si>
    <t>деш на фире</t>
  </si>
  <si>
    <t>рассыпается автоматически в почте, проектируется отчет в Навигаторе.</t>
  </si>
  <si>
    <t>https://navigator.sigma.sbrf.ru/gdash/1000000495/1000044123?dtDateN1=2026-12-31&amp;sSet=2&amp;dtDateN=2026-02-28&amp;sSet1=3</t>
  </si>
  <si>
    <t>невозможно построить в клик-стриме из-за специфики использования продукта. Строится на базе данных из КАП и транзакционных данных</t>
  </si>
  <si>
    <t>Собирается профильной командой аналитики на постоянной основе</t>
  </si>
  <si>
    <t>Формируется в рабочем порядке.</t>
  </si>
  <si>
    <t>https://confluence.sberbank.ru/pages/viewpage.action?pageId=10063224574#expand-RR</t>
  </si>
  <si>
    <t>когорты рассчитываются в эксель</t>
  </si>
  <si>
    <t>форируется в эксель файле и направляется по почте</t>
  </si>
  <si>
    <t>Ручная ежемесячная отчетность по обороту Транспортного эквайринга в разрезе мерчантов</t>
  </si>
  <si>
    <t xml:space="preserve">Выгрузка из 4.25 и excel </t>
  </si>
  <si>
    <t>https://confluence.sberbank.ru/pages/viewpage.action?pageId=14212498623</t>
  </si>
  <si>
    <t>https://navigator.sigma.sbrf.ru/gdash/1000000785/1000041188</t>
  </si>
  <si>
    <t>https://jira.sberbank.ru/issues/?jql=project%20%3D%20VOTSLHGUWJ%20AND%20assignee%20in%20(%2220652724%22)%20ORDER%20BY%20priority%20DESC%2C%20updated%20DESC</t>
  </si>
  <si>
    <t>https://jira.sberbank.ru/projects/DBB2DTANLC/issues/DBB2DTANLC-6262?filter=allopenissues</t>
  </si>
  <si>
    <t>Бэклог ведет команда Антона Федосеева</t>
  </si>
  <si>
    <t>https://jira.sberbank.ru/secure/RapidBoard.jspa?projectKey=DBB2DTANLC&amp;rapidView=35578</t>
  </si>
  <si>
    <t>https://jira.sberbank.ru/secure/RapidBoard.jspa?rapidView=35578&amp;projectKey=DBB2DTANLC&amp;quickFilter=178597#</t>
  </si>
  <si>
    <t>https://sbertrack.sberbank.ru/swtr/board/b5380d96-6b2a-4846-9a42-ac7e877607cf?space=PSDA&amp;tenant=default&amp;spaces=%5B%7B%22label%22%3A%22Premium_Solutions_DA%22%2C%22value%22%3A%22PSDA%22%7D%5D         (аналитик Шеремет А)</t>
  </si>
  <si>
    <t>на команду работает 1 аналитик, задачи ставятся на daily</t>
  </si>
  <si>
    <t>ведется в таблице</t>
  </si>
  <si>
    <t>https://navigator.sigma.sbrf.ru/gdash/1000000785/1000007500
https://navigator.sigma.sbrf.ru/gdash/1000003690/1000039457</t>
  </si>
  <si>
    <t>отчетность направляется в почте, автоматически.</t>
  </si>
  <si>
    <t>Назначение пенсии: https://clickstream.sberbank.ru/frontend/sbolpro/reports/web-funnels/31473
Перевод пенсии: https://clickstream.sberbank.ru/frontend/sbolpro/reports/web-funnels/28029</t>
  </si>
  <si>
    <t>https://clickstream.sberbank.ru/frontend/sbol/reports/funnels/40021</t>
  </si>
  <si>
    <t>отдельные выгрузки командой аналитики</t>
  </si>
  <si>
    <t>https://navigator.sigma.sbrf.ru/gdash/1000004934/1000043820</t>
  </si>
  <si>
    <t>Отчетность  формируется на основании многих показателей ежемесячно на основании предыдущего месяца.
Аривлечение клиентов анализируется так же в рабочем порядке после каждой проведенной кампании/ рассылки/ коммуникации с клиентом.</t>
  </si>
  <si>
    <t>Excel file</t>
  </si>
  <si>
    <t>формируется в эксель файле и направляется по почте</t>
  </si>
  <si>
    <t>Отчет в Excel формируется скриптами на еженедельной основе</t>
  </si>
  <si>
    <t>другое</t>
  </si>
  <si>
    <t xml:space="preserve">https://clickstream.sberbank.ru/frontend/sbol/reports/funnels/36490 (в части персонализированных сценариев продаж)
https://navigator.sigma.sbrf.ru/gdash/12137/1000000442?tab_pu=1 (общая воронка продаж по каналам, без деталей)
https://confluence.sberbank.ru/pages/viewpage.action?pageId=6699321962 (тут смотреть в части оперативки Премьер, регулярный анализ воронок в разрезе тербанков)
https://confluence.sberbank.ru/pages/viewpage.action?pageId=10842315928 (регулярная отчетность для 3х сегментов: продажи/мау/выполнение КПЭ)
в зависимости от проекта/команды есть свой набор отчетности 
</t>
  </si>
  <si>
    <t>https://confluence.sberbank.ru/pages/viewpage.action?pageId=22475251303#</t>
  </si>
  <si>
    <t>Поступление по почте от Аналитика Штаба В2С (Захаров А.Е.)</t>
  </si>
  <si>
    <t xml:space="preserve">https://clickstream.sberbank.ru/frontend/sbol/reports/events/29284
https://clickstream.sberbank.ru/frontend/sbol/reports/events/28554
https://clickstream.sberbank.ru/frontend/sbol/reports/events/30366
https://clickstream.sberbank.ru/frontend/sbol/reports/events/30396
https://clickstream.sberbank.ru/frontend/sbol/reports/events/30410
https://clickstream.sberbank.ru/frontend/sbol/reports/events/30567
https://clickstream.sberbank.ru/frontend/sbol/reports/events/30597
https://clickstream.sberbank.ru/frontend/sbol/reports/events/28495
https://clickstream.sberbank.ru/frontend/sbol/reports/events/27517
https://clickstream.sberbank.ru/frontend/sbol/reports/events/23927
https://clickstream.sberbank.ru/frontend/sbol/reports/events/29887
https://clickstream.sberbank.ru/frontend/sbol/reports/events/29970
https://clickstream.sberbank.ru/frontend/sbol/reports/events/30119
https://clickstream.sberbank.ru/frontend/sbol/reports/events/30307
</t>
  </si>
  <si>
    <t>В предыдущем ответе дал все ссылки... Возьмите пож-та. По оттокам у меня отдельный excel файл соббирается по всей воронке от визита, до оплаты. Мы переносим из кликстрима. 
Например, https://clickstream.sberbank.ru/frontend/sbol/reports/events/29284
https://clickstream.sberbank.ru/frontend/sbol/reports/events/30410
https://clickstream.sberbank.ru/frontend/sbol/reports/events/30567</t>
  </si>
  <si>
    <t>https://navigator.sigma.sbrf.ru/gdash/1000001471/1000032935?vidkr=%D0%9F%D0%BE%D1%82%D1%80%D0%B5%D0%B1%D0%B8%D1%82%D0%B5%D0%BB%D1%8C%D1%81%D0%BA%D0%B8%D0%B9</t>
  </si>
  <si>
    <t>https://clickstream.sberbank.ru/frontend/sbol/reports/funnels/34601</t>
  </si>
  <si>
    <t>Автокредит</t>
  </si>
  <si>
    <t xml:space="preserve">
https://iamvpo.sigma.sbrf.ru/ngam-rb/hub/stream/5c941bb5-b848-4eae-a9dc-9dd72a6f32fa
https://navigator.sigma.sbrf.ru/gdash/1000000565
https://clickstream.sberbank.ru/frontend/sbol/reports/funnels/37327</t>
  </si>
  <si>
    <t>ОСАГО</t>
  </si>
  <si>
    <t>Залоговое страхование (корпоративное)</t>
  </si>
  <si>
    <t>Сценарии оплаты</t>
  </si>
  <si>
    <t>SberPay Вжух</t>
  </si>
  <si>
    <t>СберСпасибо</t>
  </si>
  <si>
    <t>Сформировать бенчмарки по продуктовым метрикам оттока</t>
  </si>
  <si>
    <t>https://jira.sberbank.ru/secure/RapidBoard.jspa?rapidView=41166&amp;projectKey=SDRSA</t>
  </si>
  <si>
    <t>https://navigator.sigma.sbrf.ru/gdash/1000000135/1000046561</t>
  </si>
  <si>
    <t>https://confluence.sberbank.ru/pages/viewpage.action?pageId=6699321962</t>
  </si>
  <si>
    <t>https://navigator.sigma.sbrf.ru/gdash/1000000301/1000003047?segment=PB</t>
  </si>
  <si>
    <t>https://sbertrack.sberbank.ru/swtr/units/all?space=NLTKRBCHVZRST</t>
  </si>
  <si>
    <t>https://sbertrack.sberbank.ru/swtr/board/b5380d96-6b2a-4846-9a42-ac7e877607cf?space=PSDA&amp;tenant=default&amp;spaces=%5B%7B%22label%22%3A%22Premium_Solutions_DA%22%2C%22value%22%3A%22PSDA%22%7D%5D</t>
  </si>
  <si>
    <t>Знание ключевых метрик</t>
  </si>
  <si>
    <t>Активная клиентская база</t>
  </si>
  <si>
    <t>Кол-во Major клиентов</t>
  </si>
  <si>
    <t>Кол-во клиентов с 2+ нефин. сервисов</t>
  </si>
  <si>
    <t>Кол-во получателей ЗП</t>
  </si>
  <si>
    <t>Доля рынка ФОТ, %</t>
  </si>
  <si>
    <t>Объем зачислений ФОТ</t>
  </si>
  <si>
    <t>Знание значения метрики активной клиентской базы</t>
  </si>
  <si>
    <t>Покрытие черновиков коммуникациями</t>
  </si>
  <si>
    <t>Средний дохода на клиента</t>
  </si>
  <si>
    <t>Знание метрики среднего дохода на 1 клиента</t>
  </si>
  <si>
    <t>Знание метрики объем зачислений ФОТ</t>
  </si>
  <si>
    <t>Знание метрики кол-во получателей ЗП</t>
  </si>
  <si>
    <t>Знание метрики кол-во клиентов с 2+ нефин.сервисов</t>
  </si>
  <si>
    <t>Знание метрики Major</t>
  </si>
  <si>
    <t>Знание метрики доля рынка ФОТ, %</t>
  </si>
  <si>
    <t>Механики</t>
  </si>
  <si>
    <t>Развитие кампейнинга</t>
  </si>
  <si>
    <t xml:space="preserve"> </t>
  </si>
  <si>
    <t>Знание метрик и инструментов</t>
  </si>
  <si>
    <t>Обогащение целей/драйверов/прогнозов в Навигаторе</t>
  </si>
  <si>
    <t>Развитие продуктовых механик</t>
  </si>
  <si>
    <t>Персонализация клиентского опыта</t>
  </si>
  <si>
    <t>Привлечение клиентов</t>
  </si>
  <si>
    <t>Реагирование на жизненные события</t>
  </si>
  <si>
    <t>Проработать механики реагирования на жизненные ситуации</t>
  </si>
  <si>
    <t>Проработать механики привлечения клиентов</t>
  </si>
  <si>
    <t>Проработать механики персонализации клиентского опыта</t>
  </si>
  <si>
    <t>Адаптация предложений и коммуникаций под контекст клиента</t>
  </si>
  <si>
    <t>Релевантные офферы для привлечения клиентов</t>
  </si>
  <si>
    <t>Банковские предложения в момент изменения жизненного сценария</t>
  </si>
  <si>
    <t>metric_subgroup</t>
  </si>
  <si>
    <t>Отчетность</t>
  </si>
  <si>
    <t>sort</t>
  </si>
  <si>
    <t>Допродажи (upsell)</t>
  </si>
  <si>
    <t>Переход клиента на более ценный продукт или расширенный пакет услуг</t>
  </si>
  <si>
    <t>Self-service / кампейнинг, успешность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</si>
</sst>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0"/>
      <name val="Calibri"/>
      <family val="2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 style="slantDashDot">
        <color theme="4" tint="0.3999755851924192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/>
    <xf numFmtId="0" fontId="3" fillId="0" borderId="0" xfId="0" applyFont="1"/>
    <xf numFmtId="9" fontId="4" fillId="2" borderId="1" xfId="1" applyFont="1" applyFill="1" applyBorder="1"/>
    <xf numFmtId="9" fontId="0" fillId="0" borderId="0" xfId="1" applyFont="1" applyFill="1"/>
    <xf numFmtId="0" fontId="0" fillId="3" borderId="0" xfId="0" applyFill="1"/>
    <xf numFmtId="9" fontId="0" fillId="3" borderId="0" xfId="0" applyNumberFormat="1" applyFill="1"/>
    <xf numFmtId="9" fontId="0" fillId="0" borderId="0" xfId="1" applyFont="1"/>
    <xf numFmtId="0" fontId="0" fillId="4" borderId="0" xfId="0" applyFill="1"/>
    <xf numFmtId="0" fontId="5" fillId="0" borderId="0" xfId="2" applyAlignment="1"/>
    <xf numFmtId="0" fontId="6" fillId="5" borderId="2" xfId="0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/>
    </xf>
    <xf numFmtId="0" fontId="0" fillId="6" borderId="0" xfId="0" applyFill="1"/>
    <xf numFmtId="0" fontId="8" fillId="0" borderId="0" xfId="0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onfluence.sberbank.ru/pages/viewpage.action?pageId=6699321962" TargetMode="External"/><Relationship Id="rId2" Type="http://schemas.openxmlformats.org/officeDocument/2006/relationships/hyperlink" Target="https://navigator.sigma.sbrf.ru/gdash/1000000135/1000046561" TargetMode="External"/><Relationship Id="rId1" Type="http://schemas.openxmlformats.org/officeDocument/2006/relationships/hyperlink" Target="https://jira.sberbank.ru/secure/RapidBoard.jspa?rapidView=41166&amp;projectKey=SDRSA" TargetMode="External"/><Relationship Id="rId6" Type="http://schemas.openxmlformats.org/officeDocument/2006/relationships/hyperlink" Target="https://sbertrack.sberbank.ru/swtr/board/b5380d96-6b2a-4846-9a42-ac7e877607cf?space=PSDA&amp;tenant=default&amp;spaces=%5B%7B%22label%22%3A%22Premium_Solutions_DA%22%2C%22value%22%3A%22PSDA%22%7D%5D" TargetMode="External"/><Relationship Id="rId5" Type="http://schemas.openxmlformats.org/officeDocument/2006/relationships/hyperlink" Target="https://sbertrack.sberbank.ru/swtr/units/all?space=NLTKRBCHVZRST" TargetMode="External"/><Relationship Id="rId4" Type="http://schemas.openxmlformats.org/officeDocument/2006/relationships/hyperlink" Target="https://navigator.sigma.sbrf.ru/gdash/1000000301/1000003047?segment=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90E8-3201-F448-BBDD-DF35DBF9AD2E}">
  <dimension ref="A1:G175"/>
  <sheetViews>
    <sheetView topLeftCell="A37" zoomScale="183" workbookViewId="0">
      <selection activeCell="E46" sqref="E46"/>
    </sheetView>
  </sheetViews>
  <sheetFormatPr baseColWidth="10" defaultColWidth="11" defaultRowHeight="16" x14ac:dyDescent="0.2"/>
  <cols>
    <col min="3" max="3" width="48" bestFit="1" customWidth="1"/>
  </cols>
  <sheetData>
    <row r="1" spans="1:6" ht="17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>
        <v>75</v>
      </c>
      <c r="B2" t="s">
        <v>5</v>
      </c>
      <c r="C2" t="s">
        <v>317</v>
      </c>
      <c r="D2" s="3">
        <v>0.62574257425742574</v>
      </c>
      <c r="E2" t="s">
        <v>7</v>
      </c>
      <c r="F2" t="s">
        <v>8</v>
      </c>
    </row>
    <row r="3" spans="1:6" x14ac:dyDescent="0.2">
      <c r="A3">
        <v>80</v>
      </c>
      <c r="B3" t="s">
        <v>5</v>
      </c>
      <c r="C3" t="s">
        <v>9</v>
      </c>
      <c r="D3" s="3">
        <v>0.62574257425742574</v>
      </c>
      <c r="E3" t="s">
        <v>7</v>
      </c>
      <c r="F3" t="s">
        <v>8</v>
      </c>
    </row>
    <row r="4" spans="1:6" x14ac:dyDescent="0.2">
      <c r="A4">
        <v>85</v>
      </c>
      <c r="B4" t="s">
        <v>5</v>
      </c>
      <c r="C4" t="s">
        <v>271</v>
      </c>
      <c r="D4" s="3">
        <v>0.47640449438202248</v>
      </c>
      <c r="E4" t="s">
        <v>10</v>
      </c>
      <c r="F4" t="s">
        <v>8</v>
      </c>
    </row>
    <row r="5" spans="1:6" x14ac:dyDescent="0.2">
      <c r="A5">
        <v>90</v>
      </c>
      <c r="B5" t="s">
        <v>5</v>
      </c>
      <c r="C5" t="s">
        <v>11</v>
      </c>
      <c r="D5" s="3">
        <v>0.47293447293447294</v>
      </c>
      <c r="E5" t="s">
        <v>10</v>
      </c>
      <c r="F5" t="s">
        <v>8</v>
      </c>
    </row>
    <row r="6" spans="1:6" x14ac:dyDescent="0.2">
      <c r="A6">
        <v>95</v>
      </c>
      <c r="B6" t="s">
        <v>5</v>
      </c>
      <c r="C6" t="s">
        <v>318</v>
      </c>
      <c r="D6" s="3">
        <v>0.36082474226804123</v>
      </c>
      <c r="E6" t="s">
        <v>13</v>
      </c>
      <c r="F6" t="s">
        <v>8</v>
      </c>
    </row>
    <row r="7" spans="1:6" x14ac:dyDescent="0.2">
      <c r="A7">
        <v>100</v>
      </c>
      <c r="B7" t="s">
        <v>5</v>
      </c>
      <c r="C7" t="s">
        <v>14</v>
      </c>
      <c r="D7" s="3">
        <v>0.46419753086419757</v>
      </c>
      <c r="E7" t="s">
        <v>10</v>
      </c>
      <c r="F7" t="s">
        <v>8</v>
      </c>
    </row>
    <row r="8" spans="1:6" x14ac:dyDescent="0.2">
      <c r="A8">
        <v>105</v>
      </c>
      <c r="B8" t="s">
        <v>5</v>
      </c>
      <c r="C8" t="s">
        <v>15</v>
      </c>
      <c r="D8" s="3">
        <v>0.46236559139784944</v>
      </c>
      <c r="E8" t="s">
        <v>10</v>
      </c>
      <c r="F8" t="s">
        <v>8</v>
      </c>
    </row>
    <row r="9" spans="1:6" x14ac:dyDescent="0.2">
      <c r="A9">
        <v>110</v>
      </c>
      <c r="B9" t="s">
        <v>5</v>
      </c>
      <c r="C9" t="s">
        <v>16</v>
      </c>
      <c r="D9" s="3">
        <v>0.39999999999999997</v>
      </c>
      <c r="E9" t="s">
        <v>10</v>
      </c>
      <c r="F9" t="s">
        <v>8</v>
      </c>
    </row>
    <row r="10" spans="1:6" x14ac:dyDescent="0.2">
      <c r="A10">
        <v>115</v>
      </c>
      <c r="B10" t="s">
        <v>5</v>
      </c>
      <c r="C10" t="s">
        <v>17</v>
      </c>
      <c r="D10" s="3">
        <v>0.42178217821782182</v>
      </c>
      <c r="E10" t="s">
        <v>10</v>
      </c>
      <c r="F10" t="s">
        <v>8</v>
      </c>
    </row>
    <row r="11" spans="1:6" x14ac:dyDescent="0.2">
      <c r="A11">
        <v>120</v>
      </c>
      <c r="B11" t="s">
        <v>5</v>
      </c>
      <c r="C11" t="s">
        <v>18</v>
      </c>
      <c r="D11" s="3">
        <v>0.47010309278350515</v>
      </c>
      <c r="E11" t="s">
        <v>10</v>
      </c>
      <c r="F11" t="s">
        <v>8</v>
      </c>
    </row>
    <row r="12" spans="1:6" x14ac:dyDescent="0.2">
      <c r="A12">
        <v>125</v>
      </c>
      <c r="B12" t="s">
        <v>5</v>
      </c>
      <c r="C12" t="s">
        <v>19</v>
      </c>
      <c r="D12" s="3">
        <v>0.63505154639175254</v>
      </c>
      <c r="E12" t="s">
        <v>347</v>
      </c>
      <c r="F12" t="s">
        <v>8</v>
      </c>
    </row>
    <row r="13" spans="1:6" x14ac:dyDescent="0.2">
      <c r="A13">
        <v>130</v>
      </c>
      <c r="B13" t="s">
        <v>5</v>
      </c>
      <c r="C13" t="s">
        <v>20</v>
      </c>
      <c r="D13" s="3">
        <v>0.53195876288659794</v>
      </c>
      <c r="E13" t="s">
        <v>10</v>
      </c>
      <c r="F13" t="s">
        <v>8</v>
      </c>
    </row>
    <row r="14" spans="1:6" x14ac:dyDescent="0.2">
      <c r="A14">
        <v>135</v>
      </c>
      <c r="B14" t="s">
        <v>5</v>
      </c>
      <c r="C14" t="s">
        <v>21</v>
      </c>
      <c r="D14" s="3">
        <v>0.60990099009900989</v>
      </c>
      <c r="E14" t="s">
        <v>7</v>
      </c>
      <c r="F14" t="s">
        <v>8</v>
      </c>
    </row>
    <row r="15" spans="1:6" x14ac:dyDescent="0.2">
      <c r="A15">
        <v>140</v>
      </c>
      <c r="B15" t="s">
        <v>5</v>
      </c>
      <c r="C15" t="s">
        <v>22</v>
      </c>
      <c r="D15" s="3">
        <v>0.57029702970297036</v>
      </c>
      <c r="E15" t="s">
        <v>10</v>
      </c>
      <c r="F15" t="s">
        <v>8</v>
      </c>
    </row>
    <row r="16" spans="1:6" x14ac:dyDescent="0.2">
      <c r="A16">
        <v>145</v>
      </c>
      <c r="B16" t="s">
        <v>5</v>
      </c>
      <c r="C16" t="s">
        <v>23</v>
      </c>
      <c r="D16" s="3">
        <v>0.38651685393258428</v>
      </c>
      <c r="E16" t="s">
        <v>13</v>
      </c>
      <c r="F16" t="s">
        <v>8</v>
      </c>
    </row>
    <row r="17" spans="1:6" x14ac:dyDescent="0.2">
      <c r="A17">
        <v>150</v>
      </c>
      <c r="B17" t="s">
        <v>5</v>
      </c>
      <c r="C17" t="s">
        <v>24</v>
      </c>
      <c r="D17" s="3">
        <v>0.51546391752577314</v>
      </c>
      <c r="E17" t="s">
        <v>10</v>
      </c>
      <c r="F17" t="s">
        <v>8</v>
      </c>
    </row>
    <row r="18" spans="1:6" x14ac:dyDescent="0.2">
      <c r="A18">
        <v>155</v>
      </c>
      <c r="B18" t="s">
        <v>5</v>
      </c>
      <c r="C18" t="s">
        <v>25</v>
      </c>
      <c r="D18" s="3">
        <v>0.59381443298969061</v>
      </c>
      <c r="E18" t="s">
        <v>10</v>
      </c>
      <c r="F18" t="s">
        <v>8</v>
      </c>
    </row>
    <row r="19" spans="1:6" x14ac:dyDescent="0.2">
      <c r="A19">
        <v>160</v>
      </c>
      <c r="B19" t="s">
        <v>5</v>
      </c>
      <c r="C19" t="s">
        <v>26</v>
      </c>
      <c r="D19" s="3">
        <v>0.54491017964071853</v>
      </c>
      <c r="E19" t="s">
        <v>10</v>
      </c>
      <c r="F19" t="s">
        <v>8</v>
      </c>
    </row>
    <row r="20" spans="1:6" x14ac:dyDescent="0.2">
      <c r="A20">
        <v>165</v>
      </c>
      <c r="B20" t="s">
        <v>5</v>
      </c>
      <c r="C20" t="s">
        <v>27</v>
      </c>
      <c r="D20" s="3">
        <v>0.5388235294117647</v>
      </c>
      <c r="E20" t="s">
        <v>10</v>
      </c>
      <c r="F20" t="s">
        <v>8</v>
      </c>
    </row>
    <row r="21" spans="1:6" x14ac:dyDescent="0.2">
      <c r="A21">
        <v>170</v>
      </c>
      <c r="B21" t="s">
        <v>5</v>
      </c>
      <c r="C21" t="s">
        <v>28</v>
      </c>
      <c r="D21" s="3">
        <v>0.55730337078651682</v>
      </c>
      <c r="E21" t="s">
        <v>10</v>
      </c>
      <c r="F21" t="s">
        <v>8</v>
      </c>
    </row>
    <row r="22" spans="1:6" x14ac:dyDescent="0.2">
      <c r="A22">
        <v>175</v>
      </c>
      <c r="B22" t="s">
        <v>5</v>
      </c>
      <c r="C22" t="s">
        <v>29</v>
      </c>
      <c r="D22" s="3">
        <v>0.2880886426592798</v>
      </c>
      <c r="E22" t="s">
        <v>13</v>
      </c>
      <c r="F22" t="s">
        <v>8</v>
      </c>
    </row>
    <row r="23" spans="1:6" x14ac:dyDescent="0.2">
      <c r="A23">
        <v>14</v>
      </c>
      <c r="B23" t="s">
        <v>30</v>
      </c>
      <c r="C23" t="s">
        <v>31</v>
      </c>
      <c r="D23" s="3">
        <v>0.39805825242718446</v>
      </c>
      <c r="E23" t="s">
        <v>10</v>
      </c>
      <c r="F23" t="s">
        <v>8</v>
      </c>
    </row>
    <row r="24" spans="1:6" x14ac:dyDescent="0.2">
      <c r="A24">
        <v>19</v>
      </c>
      <c r="B24" t="s">
        <v>30</v>
      </c>
      <c r="C24" t="s">
        <v>32</v>
      </c>
      <c r="D24" s="3">
        <v>0.60759493670886078</v>
      </c>
      <c r="E24" t="s">
        <v>7</v>
      </c>
      <c r="F24" t="s">
        <v>8</v>
      </c>
    </row>
    <row r="25" spans="1:6" x14ac:dyDescent="0.2">
      <c r="A25">
        <v>24</v>
      </c>
      <c r="B25" t="s">
        <v>30</v>
      </c>
      <c r="C25" t="s">
        <v>33</v>
      </c>
      <c r="D25" s="3">
        <v>0.44444444444444448</v>
      </c>
      <c r="E25" t="s">
        <v>10</v>
      </c>
      <c r="F25" t="s">
        <v>8</v>
      </c>
    </row>
    <row r="26" spans="1:6" x14ac:dyDescent="0.2">
      <c r="A26">
        <v>29</v>
      </c>
      <c r="B26" t="s">
        <v>30</v>
      </c>
      <c r="C26" t="s">
        <v>34</v>
      </c>
      <c r="D26" s="3">
        <v>0.47524752475247523</v>
      </c>
      <c r="E26" t="s">
        <v>10</v>
      </c>
      <c r="F26" t="s">
        <v>8</v>
      </c>
    </row>
    <row r="27" spans="1:6" x14ac:dyDescent="0.2">
      <c r="A27">
        <v>34</v>
      </c>
      <c r="B27" t="s">
        <v>30</v>
      </c>
      <c r="C27" t="s">
        <v>35</v>
      </c>
      <c r="D27" s="3">
        <v>0.55172413793103448</v>
      </c>
      <c r="E27" t="s">
        <v>10</v>
      </c>
      <c r="F27" t="s">
        <v>8</v>
      </c>
    </row>
    <row r="28" spans="1:6" x14ac:dyDescent="0.2">
      <c r="A28">
        <v>39</v>
      </c>
      <c r="B28" t="s">
        <v>30</v>
      </c>
      <c r="C28" t="s">
        <v>36</v>
      </c>
      <c r="D28" s="3">
        <v>0.57425742574257421</v>
      </c>
      <c r="E28" t="s">
        <v>10</v>
      </c>
      <c r="F28" t="s">
        <v>8</v>
      </c>
    </row>
    <row r="29" spans="1:6" x14ac:dyDescent="0.2">
      <c r="A29">
        <v>223</v>
      </c>
      <c r="B29" t="s">
        <v>30</v>
      </c>
      <c r="C29" t="s">
        <v>37</v>
      </c>
      <c r="D29" s="3">
        <v>0.28817204301075267</v>
      </c>
      <c r="E29" t="s">
        <v>13</v>
      </c>
      <c r="F29" t="s">
        <v>8</v>
      </c>
    </row>
    <row r="30" spans="1:6" x14ac:dyDescent="0.2">
      <c r="A30">
        <v>44</v>
      </c>
      <c r="B30" t="s">
        <v>30</v>
      </c>
      <c r="C30" t="s">
        <v>38</v>
      </c>
      <c r="D30" s="3">
        <v>0.76831683168316822</v>
      </c>
      <c r="E30" t="s">
        <v>7</v>
      </c>
      <c r="F30" t="s">
        <v>8</v>
      </c>
    </row>
    <row r="31" spans="1:6" x14ac:dyDescent="0.2">
      <c r="A31">
        <v>49</v>
      </c>
      <c r="B31" t="s">
        <v>30</v>
      </c>
      <c r="C31" t="s">
        <v>315</v>
      </c>
      <c r="D31" s="3">
        <v>0.4043010752688172</v>
      </c>
      <c r="E31" t="s">
        <v>10</v>
      </c>
      <c r="F31" t="s">
        <v>8</v>
      </c>
    </row>
    <row r="32" spans="1:6" x14ac:dyDescent="0.2">
      <c r="A32">
        <v>54</v>
      </c>
      <c r="B32" t="s">
        <v>30</v>
      </c>
      <c r="C32" t="s">
        <v>39</v>
      </c>
      <c r="D32" s="3">
        <v>0.34408602150537637</v>
      </c>
      <c r="E32" t="s">
        <v>13</v>
      </c>
      <c r="F32" t="s">
        <v>8</v>
      </c>
    </row>
    <row r="33" spans="1:7" x14ac:dyDescent="0.2">
      <c r="A33">
        <v>181</v>
      </c>
      <c r="B33" t="s">
        <v>40</v>
      </c>
      <c r="C33" s="5" t="s">
        <v>41</v>
      </c>
      <c r="D33" s="3">
        <v>0.67010309278350511</v>
      </c>
      <c r="E33" t="s">
        <v>7</v>
      </c>
      <c r="F33" t="s">
        <v>8</v>
      </c>
    </row>
    <row r="34" spans="1:7" x14ac:dyDescent="0.2">
      <c r="A34">
        <v>186</v>
      </c>
      <c r="B34" t="s">
        <v>40</v>
      </c>
      <c r="C34" t="s">
        <v>42</v>
      </c>
      <c r="D34" s="3">
        <v>0.6</v>
      </c>
      <c r="E34" t="s">
        <v>7</v>
      </c>
      <c r="F34" t="s">
        <v>8</v>
      </c>
    </row>
    <row r="35" spans="1:7" x14ac:dyDescent="0.2">
      <c r="A35">
        <v>206</v>
      </c>
      <c r="B35" t="s">
        <v>40</v>
      </c>
      <c r="C35" t="s">
        <v>43</v>
      </c>
      <c r="D35" s="3">
        <v>0.73267326732673266</v>
      </c>
      <c r="E35" t="s">
        <v>7</v>
      </c>
      <c r="F35" t="s">
        <v>8</v>
      </c>
    </row>
    <row r="36" spans="1:7" x14ac:dyDescent="0.2">
      <c r="A36">
        <v>217</v>
      </c>
      <c r="B36" t="s">
        <v>44</v>
      </c>
      <c r="C36" t="s">
        <v>45</v>
      </c>
      <c r="D36" s="3">
        <v>0.52861952861952854</v>
      </c>
      <c r="E36" t="s">
        <v>10</v>
      </c>
      <c r="F36" s="6" t="s">
        <v>8</v>
      </c>
    </row>
    <row r="37" spans="1:7" x14ac:dyDescent="0.2">
      <c r="A37">
        <v>229</v>
      </c>
      <c r="B37" t="s">
        <v>46</v>
      </c>
      <c r="C37" t="s">
        <v>47</v>
      </c>
      <c r="D37" s="3">
        <v>0.63917525773195871</v>
      </c>
      <c r="E37" t="s">
        <v>7</v>
      </c>
      <c r="F37" t="s">
        <v>8</v>
      </c>
    </row>
    <row r="38" spans="1:7" x14ac:dyDescent="0.2">
      <c r="A38">
        <v>234</v>
      </c>
      <c r="B38" t="s">
        <v>46</v>
      </c>
      <c r="C38" t="s">
        <v>48</v>
      </c>
      <c r="D38" s="3">
        <v>0.58415841584158412</v>
      </c>
      <c r="E38" t="s">
        <v>10</v>
      </c>
      <c r="F38" t="s">
        <v>8</v>
      </c>
    </row>
    <row r="39" spans="1:7" x14ac:dyDescent="0.2">
      <c r="A39">
        <v>239</v>
      </c>
      <c r="B39" t="s">
        <v>46</v>
      </c>
      <c r="C39" t="s">
        <v>49</v>
      </c>
      <c r="D39" s="3">
        <v>0.44950495049504952</v>
      </c>
      <c r="E39" t="s">
        <v>10</v>
      </c>
      <c r="F39" t="s">
        <v>8</v>
      </c>
      <c r="G39" s="9"/>
    </row>
    <row r="40" spans="1:7" x14ac:dyDescent="0.2">
      <c r="A40" s="7">
        <v>13</v>
      </c>
      <c r="B40" s="7" t="s">
        <v>46</v>
      </c>
      <c r="C40" s="7" t="s">
        <v>50</v>
      </c>
      <c r="D40" s="8">
        <v>0.56589147286821695</v>
      </c>
      <c r="E40" t="s">
        <v>10</v>
      </c>
      <c r="F40" s="7" t="s">
        <v>51</v>
      </c>
      <c r="G40" s="9"/>
    </row>
    <row r="41" spans="1:7" x14ac:dyDescent="0.2">
      <c r="A41" s="7">
        <v>18</v>
      </c>
      <c r="B41" s="7" t="s">
        <v>46</v>
      </c>
      <c r="C41" s="8" t="s">
        <v>252</v>
      </c>
      <c r="D41" s="8">
        <v>0.48091603053435117</v>
      </c>
      <c r="E41" t="s">
        <v>10</v>
      </c>
      <c r="F41" s="7" t="s">
        <v>51</v>
      </c>
      <c r="G41" s="9"/>
    </row>
    <row r="42" spans="1:7" x14ac:dyDescent="0.2">
      <c r="A42" s="7">
        <v>23</v>
      </c>
      <c r="B42" s="7" t="s">
        <v>46</v>
      </c>
      <c r="C42" s="8" t="s">
        <v>52</v>
      </c>
      <c r="D42" s="8">
        <v>0.62287104622871048</v>
      </c>
      <c r="E42" t="s">
        <v>7</v>
      </c>
      <c r="F42" s="7" t="s">
        <v>51</v>
      </c>
      <c r="G42" s="9"/>
    </row>
    <row r="43" spans="1:7" x14ac:dyDescent="0.2">
      <c r="A43" s="7">
        <v>28</v>
      </c>
      <c r="B43" s="7" t="s">
        <v>46</v>
      </c>
      <c r="C43" s="8" t="s">
        <v>53</v>
      </c>
      <c r="D43" s="8">
        <v>0.40203562340966925</v>
      </c>
      <c r="E43" t="s">
        <v>10</v>
      </c>
      <c r="F43" s="7" t="s">
        <v>51</v>
      </c>
      <c r="G43" s="9"/>
    </row>
    <row r="44" spans="1:7" x14ac:dyDescent="0.2">
      <c r="A44" s="7">
        <v>33</v>
      </c>
      <c r="B44" s="7" t="s">
        <v>46</v>
      </c>
      <c r="C44" s="8" t="s">
        <v>54</v>
      </c>
      <c r="D44" s="8">
        <v>0.55494505494505497</v>
      </c>
      <c r="E44" t="s">
        <v>10</v>
      </c>
      <c r="F44" s="7" t="s">
        <v>51</v>
      </c>
      <c r="G44" s="9"/>
    </row>
    <row r="45" spans="1:7" x14ac:dyDescent="0.2">
      <c r="A45" s="7">
        <v>38</v>
      </c>
      <c r="B45" s="7" t="s">
        <v>46</v>
      </c>
      <c r="C45" s="8" t="s">
        <v>55</v>
      </c>
      <c r="D45" s="8">
        <v>0.52247191011235961</v>
      </c>
      <c r="E45" t="s">
        <v>10</v>
      </c>
      <c r="F45" s="7" t="s">
        <v>51</v>
      </c>
      <c r="G45" s="9"/>
    </row>
    <row r="46" spans="1:7" x14ac:dyDescent="0.2">
      <c r="A46" s="7">
        <v>43</v>
      </c>
      <c r="B46" s="7" t="s">
        <v>46</v>
      </c>
      <c r="C46" s="8" t="s">
        <v>56</v>
      </c>
      <c r="D46" s="8">
        <v>0.4101123595505618</v>
      </c>
      <c r="E46" t="s">
        <v>10</v>
      </c>
      <c r="F46" s="7" t="s">
        <v>51</v>
      </c>
      <c r="G46" s="9"/>
    </row>
    <row r="47" spans="1:7" x14ac:dyDescent="0.2">
      <c r="A47">
        <v>260</v>
      </c>
      <c r="B47" t="s">
        <v>57</v>
      </c>
      <c r="C47" t="s">
        <v>58</v>
      </c>
      <c r="D47" s="3">
        <v>0.34457831325301208</v>
      </c>
      <c r="E47" t="s">
        <v>13</v>
      </c>
      <c r="F47" t="s">
        <v>8</v>
      </c>
    </row>
    <row r="48" spans="1:7" x14ac:dyDescent="0.2">
      <c r="A48">
        <v>280</v>
      </c>
      <c r="B48" t="s">
        <v>57</v>
      </c>
      <c r="C48" t="s">
        <v>59</v>
      </c>
      <c r="D48" s="3">
        <v>0.27586206896551724</v>
      </c>
      <c r="E48" t="s">
        <v>13</v>
      </c>
      <c r="F48" t="s">
        <v>8</v>
      </c>
    </row>
    <row r="49" spans="1:6" x14ac:dyDescent="0.2">
      <c r="A49">
        <v>285</v>
      </c>
      <c r="B49" t="s">
        <v>57</v>
      </c>
      <c r="C49" t="s">
        <v>60</v>
      </c>
      <c r="D49" s="3">
        <v>0.24</v>
      </c>
      <c r="E49" t="s">
        <v>13</v>
      </c>
      <c r="F49" t="s">
        <v>8</v>
      </c>
    </row>
    <row r="50" spans="1:6" x14ac:dyDescent="0.2">
      <c r="A50">
        <v>290</v>
      </c>
      <c r="B50" t="s">
        <v>57</v>
      </c>
      <c r="C50" t="s">
        <v>61</v>
      </c>
      <c r="D50" s="3">
        <v>0.35632183908045978</v>
      </c>
      <c r="E50" t="s">
        <v>13</v>
      </c>
      <c r="F50" t="s">
        <v>8</v>
      </c>
    </row>
    <row r="51" spans="1:6" x14ac:dyDescent="0.2">
      <c r="A51">
        <v>300</v>
      </c>
      <c r="B51" t="s">
        <v>57</v>
      </c>
      <c r="C51" t="s">
        <v>62</v>
      </c>
      <c r="D51" s="3">
        <v>0.5663366336633664</v>
      </c>
      <c r="E51" t="s">
        <v>10</v>
      </c>
      <c r="F51" t="s">
        <v>8</v>
      </c>
    </row>
    <row r="52" spans="1:6" x14ac:dyDescent="0.2">
      <c r="A52">
        <v>315</v>
      </c>
      <c r="B52" t="s">
        <v>57</v>
      </c>
      <c r="C52" t="s">
        <v>63</v>
      </c>
      <c r="D52" s="3">
        <v>0.37362637362637363</v>
      </c>
      <c r="E52" t="s">
        <v>13</v>
      </c>
      <c r="F52" t="s">
        <v>8</v>
      </c>
    </row>
    <row r="53" spans="1:6" x14ac:dyDescent="0.2">
      <c r="A53">
        <v>320</v>
      </c>
      <c r="B53" t="s">
        <v>57</v>
      </c>
      <c r="C53" t="s">
        <v>64</v>
      </c>
      <c r="D53" s="3">
        <v>0.36831683168316837</v>
      </c>
      <c r="E53" t="s">
        <v>13</v>
      </c>
      <c r="F53" t="s">
        <v>8</v>
      </c>
    </row>
    <row r="54" spans="1:6" x14ac:dyDescent="0.2">
      <c r="A54">
        <v>325</v>
      </c>
      <c r="B54" t="s">
        <v>57</v>
      </c>
      <c r="C54" t="s">
        <v>65</v>
      </c>
      <c r="D54" s="3">
        <v>0.70309278350515469</v>
      </c>
      <c r="E54" t="s">
        <v>7</v>
      </c>
      <c r="F54" t="s">
        <v>8</v>
      </c>
    </row>
    <row r="55" spans="1:6" x14ac:dyDescent="0.2">
      <c r="A55">
        <v>330</v>
      </c>
      <c r="B55" t="s">
        <v>57</v>
      </c>
      <c r="C55" t="s">
        <v>66</v>
      </c>
      <c r="D55" s="3">
        <v>0.37354988399071926</v>
      </c>
      <c r="E55" t="s">
        <v>13</v>
      </c>
      <c r="F55" t="s">
        <v>8</v>
      </c>
    </row>
    <row r="56" spans="1:6" x14ac:dyDescent="0.2">
      <c r="A56">
        <v>335</v>
      </c>
      <c r="B56" t="s">
        <v>57</v>
      </c>
      <c r="C56" t="s">
        <v>67</v>
      </c>
      <c r="D56" s="3">
        <v>0.65822784810126578</v>
      </c>
      <c r="E56" t="s">
        <v>7</v>
      </c>
      <c r="F56" t="s">
        <v>8</v>
      </c>
    </row>
    <row r="57" spans="1:6" x14ac:dyDescent="0.2">
      <c r="A57">
        <v>340</v>
      </c>
      <c r="B57" t="s">
        <v>57</v>
      </c>
      <c r="C57" t="s">
        <v>68</v>
      </c>
      <c r="D57" s="3">
        <v>0.62650602409638556</v>
      </c>
      <c r="E57" t="s">
        <v>7</v>
      </c>
      <c r="F57" t="s">
        <v>8</v>
      </c>
    </row>
    <row r="58" spans="1:6" x14ac:dyDescent="0.2">
      <c r="A58">
        <v>345</v>
      </c>
      <c r="B58" t="s">
        <v>57</v>
      </c>
      <c r="C58" t="s">
        <v>69</v>
      </c>
      <c r="D58" s="3">
        <v>0.55643564356435649</v>
      </c>
      <c r="E58" t="s">
        <v>10</v>
      </c>
      <c r="F58" t="s">
        <v>8</v>
      </c>
    </row>
    <row r="59" spans="1:6" x14ac:dyDescent="0.2">
      <c r="A59">
        <v>350</v>
      </c>
      <c r="B59" t="s">
        <v>57</v>
      </c>
      <c r="C59" t="s">
        <v>70</v>
      </c>
      <c r="D59" s="3">
        <v>0.77367205542725181</v>
      </c>
      <c r="E59" t="s">
        <v>7</v>
      </c>
      <c r="F59" t="s">
        <v>8</v>
      </c>
    </row>
    <row r="60" spans="1:6" x14ac:dyDescent="0.2">
      <c r="A60">
        <v>355</v>
      </c>
      <c r="B60" t="s">
        <v>57</v>
      </c>
      <c r="C60" t="s">
        <v>71</v>
      </c>
      <c r="D60" s="3">
        <v>0.36263736263736263</v>
      </c>
      <c r="E60" t="s">
        <v>13</v>
      </c>
      <c r="F60" t="s">
        <v>8</v>
      </c>
    </row>
    <row r="61" spans="1:6" x14ac:dyDescent="0.2">
      <c r="A61">
        <v>360</v>
      </c>
      <c r="B61" t="s">
        <v>57</v>
      </c>
      <c r="C61" t="s">
        <v>319</v>
      </c>
      <c r="D61" s="3">
        <v>0.47524752475247523</v>
      </c>
      <c r="E61" t="s">
        <v>10</v>
      </c>
      <c r="F61" t="s">
        <v>8</v>
      </c>
    </row>
    <row r="62" spans="1:6" x14ac:dyDescent="0.2">
      <c r="A62">
        <v>365</v>
      </c>
      <c r="B62" t="s">
        <v>57</v>
      </c>
      <c r="C62" t="s">
        <v>72</v>
      </c>
      <c r="D62" s="3">
        <v>0.37349397590361444</v>
      </c>
      <c r="E62" t="s">
        <v>13</v>
      </c>
      <c r="F62" t="s">
        <v>8</v>
      </c>
    </row>
    <row r="63" spans="1:6" x14ac:dyDescent="0.2">
      <c r="A63">
        <v>370</v>
      </c>
      <c r="B63" t="s">
        <v>57</v>
      </c>
      <c r="C63" t="s">
        <v>73</v>
      </c>
      <c r="D63" s="3">
        <v>0.41445783132530117</v>
      </c>
      <c r="E63" t="s">
        <v>10</v>
      </c>
      <c r="F63" t="s">
        <v>8</v>
      </c>
    </row>
    <row r="64" spans="1:6" x14ac:dyDescent="0.2">
      <c r="A64">
        <v>375</v>
      </c>
      <c r="B64" t="s">
        <v>57</v>
      </c>
      <c r="C64" t="s">
        <v>320</v>
      </c>
      <c r="D64" s="3">
        <v>0.4206896551724138</v>
      </c>
      <c r="E64" t="s">
        <v>10</v>
      </c>
      <c r="F64" t="s">
        <v>8</v>
      </c>
    </row>
    <row r="65" spans="1:6" x14ac:dyDescent="0.2">
      <c r="A65">
        <v>380</v>
      </c>
      <c r="B65" t="s">
        <v>57</v>
      </c>
      <c r="C65" t="s">
        <v>75</v>
      </c>
      <c r="D65" s="3">
        <v>0.33195876288659798</v>
      </c>
      <c r="E65" t="s">
        <v>13</v>
      </c>
      <c r="F65" t="s">
        <v>8</v>
      </c>
    </row>
    <row r="66" spans="1:6" x14ac:dyDescent="0.2">
      <c r="A66">
        <v>390</v>
      </c>
      <c r="B66" t="s">
        <v>57</v>
      </c>
      <c r="C66" t="s">
        <v>76</v>
      </c>
      <c r="D66" s="3">
        <v>0.3935483870967742</v>
      </c>
      <c r="E66" t="s">
        <v>13</v>
      </c>
      <c r="F66" t="s">
        <v>8</v>
      </c>
    </row>
    <row r="67" spans="1:6" x14ac:dyDescent="0.2">
      <c r="A67">
        <v>405</v>
      </c>
      <c r="B67" t="s">
        <v>57</v>
      </c>
      <c r="C67" t="s">
        <v>77</v>
      </c>
      <c r="D67" s="3">
        <v>0.33025404157043886</v>
      </c>
      <c r="E67" t="s">
        <v>13</v>
      </c>
      <c r="F67" t="s">
        <v>8</v>
      </c>
    </row>
    <row r="68" spans="1:6" x14ac:dyDescent="0.2">
      <c r="A68">
        <v>410</v>
      </c>
      <c r="B68" t="s">
        <v>57</v>
      </c>
      <c r="C68" t="s">
        <v>78</v>
      </c>
      <c r="D68" s="3">
        <v>0.3914807302231238</v>
      </c>
      <c r="E68" t="s">
        <v>13</v>
      </c>
      <c r="F68" t="s">
        <v>8</v>
      </c>
    </row>
    <row r="69" spans="1:6" x14ac:dyDescent="0.2">
      <c r="A69">
        <v>420</v>
      </c>
      <c r="B69" t="s">
        <v>46</v>
      </c>
      <c r="C69" t="s">
        <v>321</v>
      </c>
      <c r="D69" s="3">
        <v>0.68493150684931503</v>
      </c>
      <c r="E69" t="s">
        <v>7</v>
      </c>
      <c r="F69" t="s">
        <v>8</v>
      </c>
    </row>
    <row r="70" spans="1:6" x14ac:dyDescent="0.2">
      <c r="B70" s="4"/>
      <c r="D70" s="3"/>
    </row>
    <row r="71" spans="1:6" x14ac:dyDescent="0.2">
      <c r="B71" s="4"/>
      <c r="D71" s="3"/>
    </row>
    <row r="72" spans="1:6" x14ac:dyDescent="0.2">
      <c r="B72" s="4"/>
      <c r="D72" s="3"/>
    </row>
    <row r="73" spans="1:6" x14ac:dyDescent="0.2">
      <c r="B73" s="4"/>
    </row>
    <row r="74" spans="1:6" x14ac:dyDescent="0.2">
      <c r="B74" s="4"/>
    </row>
    <row r="75" spans="1:6" x14ac:dyDescent="0.2">
      <c r="B75" s="4"/>
    </row>
    <row r="76" spans="1:6" x14ac:dyDescent="0.2">
      <c r="B76" s="4"/>
    </row>
    <row r="77" spans="1:6" x14ac:dyDescent="0.2">
      <c r="B77" s="4"/>
    </row>
    <row r="78" spans="1:6" x14ac:dyDescent="0.2">
      <c r="B78" s="4"/>
    </row>
    <row r="79" spans="1:6" x14ac:dyDescent="0.2">
      <c r="B79" s="4"/>
    </row>
    <row r="80" spans="1:6" x14ac:dyDescent="0.2">
      <c r="B80" s="4"/>
    </row>
    <row r="81" spans="2:2" x14ac:dyDescent="0.2">
      <c r="B81" s="4"/>
    </row>
    <row r="82" spans="2:2" x14ac:dyDescent="0.2">
      <c r="B82" s="4"/>
    </row>
    <row r="83" spans="2:2" x14ac:dyDescent="0.2">
      <c r="B83" s="4"/>
    </row>
    <row r="84" spans="2:2" x14ac:dyDescent="0.2">
      <c r="B84" s="4"/>
    </row>
    <row r="85" spans="2:2" x14ac:dyDescent="0.2">
      <c r="B85" s="4"/>
    </row>
    <row r="86" spans="2:2" x14ac:dyDescent="0.2">
      <c r="B86" s="4"/>
    </row>
    <row r="87" spans="2:2" x14ac:dyDescent="0.2">
      <c r="B87" s="4"/>
    </row>
    <row r="88" spans="2:2" x14ac:dyDescent="0.2">
      <c r="B88" s="4"/>
    </row>
    <row r="89" spans="2:2" x14ac:dyDescent="0.2">
      <c r="B89" s="4"/>
    </row>
    <row r="90" spans="2:2" x14ac:dyDescent="0.2">
      <c r="B90" s="4"/>
    </row>
    <row r="91" spans="2:2" x14ac:dyDescent="0.2">
      <c r="B91" s="4"/>
    </row>
    <row r="92" spans="2:2" x14ac:dyDescent="0.2">
      <c r="B92" s="4"/>
    </row>
    <row r="93" spans="2:2" x14ac:dyDescent="0.2">
      <c r="B93" s="4"/>
    </row>
    <row r="94" spans="2:2" x14ac:dyDescent="0.2">
      <c r="B94" s="4"/>
    </row>
    <row r="95" spans="2:2" x14ac:dyDescent="0.2">
      <c r="B95" s="4"/>
    </row>
    <row r="96" spans="2:2" x14ac:dyDescent="0.2">
      <c r="B96" s="4"/>
    </row>
    <row r="97" spans="2:2" x14ac:dyDescent="0.2">
      <c r="B97" s="4"/>
    </row>
    <row r="98" spans="2:2" x14ac:dyDescent="0.2">
      <c r="B98" s="4"/>
    </row>
    <row r="99" spans="2:2" x14ac:dyDescent="0.2">
      <c r="B99" s="4"/>
    </row>
    <row r="100" spans="2:2" x14ac:dyDescent="0.2">
      <c r="B100" s="4"/>
    </row>
    <row r="101" spans="2:2" x14ac:dyDescent="0.2">
      <c r="B101" s="4"/>
    </row>
    <row r="102" spans="2:2" x14ac:dyDescent="0.2">
      <c r="B102" s="4"/>
    </row>
    <row r="103" spans="2:2" x14ac:dyDescent="0.2">
      <c r="B103" s="4"/>
    </row>
    <row r="104" spans="2:2" x14ac:dyDescent="0.2">
      <c r="B104" s="4"/>
    </row>
    <row r="105" spans="2:2" x14ac:dyDescent="0.2">
      <c r="B105" s="4"/>
    </row>
    <row r="106" spans="2:2" x14ac:dyDescent="0.2">
      <c r="B106" s="4"/>
    </row>
    <row r="107" spans="2:2" x14ac:dyDescent="0.2">
      <c r="B107" s="4"/>
    </row>
    <row r="108" spans="2:2" x14ac:dyDescent="0.2">
      <c r="B108" s="4"/>
    </row>
    <row r="109" spans="2:2" x14ac:dyDescent="0.2">
      <c r="B109" s="4"/>
    </row>
    <row r="110" spans="2:2" x14ac:dyDescent="0.2">
      <c r="B110" s="4"/>
    </row>
    <row r="111" spans="2:2" x14ac:dyDescent="0.2">
      <c r="B111" s="4"/>
    </row>
    <row r="112" spans="2:2" x14ac:dyDescent="0.2">
      <c r="B112" s="4"/>
    </row>
    <row r="113" spans="2:2" x14ac:dyDescent="0.2">
      <c r="B113" s="4"/>
    </row>
    <row r="114" spans="2:2" x14ac:dyDescent="0.2">
      <c r="B114" s="4"/>
    </row>
    <row r="115" spans="2:2" x14ac:dyDescent="0.2">
      <c r="B115" s="4"/>
    </row>
    <row r="116" spans="2:2" x14ac:dyDescent="0.2">
      <c r="B116" s="4"/>
    </row>
    <row r="117" spans="2:2" x14ac:dyDescent="0.2">
      <c r="B117" s="4"/>
    </row>
    <row r="118" spans="2:2" x14ac:dyDescent="0.2">
      <c r="B118" s="4"/>
    </row>
    <row r="119" spans="2:2" x14ac:dyDescent="0.2">
      <c r="B119" s="4"/>
    </row>
    <row r="120" spans="2:2" x14ac:dyDescent="0.2">
      <c r="B120" s="4"/>
    </row>
    <row r="121" spans="2:2" x14ac:dyDescent="0.2">
      <c r="B121" s="4"/>
    </row>
    <row r="122" spans="2:2" x14ac:dyDescent="0.2">
      <c r="B122" s="4"/>
    </row>
    <row r="123" spans="2:2" x14ac:dyDescent="0.2">
      <c r="B123" s="4"/>
    </row>
    <row r="124" spans="2:2" x14ac:dyDescent="0.2">
      <c r="B124" s="4"/>
    </row>
    <row r="125" spans="2:2" x14ac:dyDescent="0.2">
      <c r="B125" s="4"/>
    </row>
    <row r="126" spans="2:2" x14ac:dyDescent="0.2">
      <c r="B126" s="4"/>
    </row>
    <row r="127" spans="2:2" x14ac:dyDescent="0.2">
      <c r="B127" s="4"/>
    </row>
    <row r="128" spans="2:2" x14ac:dyDescent="0.2">
      <c r="B128" s="4"/>
    </row>
    <row r="129" spans="2:2" x14ac:dyDescent="0.2">
      <c r="B129" s="4"/>
    </row>
    <row r="130" spans="2:2" x14ac:dyDescent="0.2">
      <c r="B130" s="4"/>
    </row>
    <row r="131" spans="2:2" x14ac:dyDescent="0.2">
      <c r="B131" s="4"/>
    </row>
    <row r="132" spans="2:2" x14ac:dyDescent="0.2">
      <c r="B132" s="4"/>
    </row>
    <row r="133" spans="2:2" x14ac:dyDescent="0.2">
      <c r="B133" s="4"/>
    </row>
    <row r="134" spans="2:2" x14ac:dyDescent="0.2">
      <c r="B134" s="4"/>
    </row>
    <row r="135" spans="2:2" x14ac:dyDescent="0.2">
      <c r="B135" s="4"/>
    </row>
    <row r="136" spans="2:2" x14ac:dyDescent="0.2">
      <c r="B136" s="4"/>
    </row>
    <row r="137" spans="2:2" x14ac:dyDescent="0.2">
      <c r="B137" s="4"/>
    </row>
    <row r="138" spans="2:2" x14ac:dyDescent="0.2">
      <c r="B138" s="4"/>
    </row>
    <row r="139" spans="2:2" x14ac:dyDescent="0.2">
      <c r="B139" s="4"/>
    </row>
    <row r="140" spans="2:2" x14ac:dyDescent="0.2">
      <c r="B140" s="4"/>
    </row>
    <row r="141" spans="2:2" x14ac:dyDescent="0.2">
      <c r="B141" s="4"/>
    </row>
    <row r="142" spans="2:2" x14ac:dyDescent="0.2">
      <c r="B142" s="4"/>
    </row>
    <row r="143" spans="2:2" x14ac:dyDescent="0.2">
      <c r="B143" s="4"/>
    </row>
    <row r="144" spans="2:2" x14ac:dyDescent="0.2">
      <c r="B144" s="4"/>
    </row>
    <row r="145" spans="2:2" x14ac:dyDescent="0.2">
      <c r="B145" s="4"/>
    </row>
    <row r="146" spans="2:2" x14ac:dyDescent="0.2">
      <c r="B146" s="4"/>
    </row>
    <row r="147" spans="2:2" x14ac:dyDescent="0.2">
      <c r="B147" s="4"/>
    </row>
    <row r="148" spans="2:2" x14ac:dyDescent="0.2">
      <c r="B148" s="4"/>
    </row>
    <row r="149" spans="2:2" x14ac:dyDescent="0.2">
      <c r="B149" s="4"/>
    </row>
    <row r="150" spans="2:2" x14ac:dyDescent="0.2">
      <c r="B150" s="4"/>
    </row>
    <row r="151" spans="2:2" x14ac:dyDescent="0.2">
      <c r="B151" s="4"/>
    </row>
    <row r="152" spans="2:2" x14ac:dyDescent="0.2">
      <c r="B152" s="4"/>
    </row>
    <row r="153" spans="2:2" x14ac:dyDescent="0.2">
      <c r="B153" s="4"/>
    </row>
    <row r="154" spans="2:2" x14ac:dyDescent="0.2">
      <c r="B154" s="4"/>
    </row>
    <row r="155" spans="2:2" x14ac:dyDescent="0.2">
      <c r="B155" s="4"/>
    </row>
    <row r="156" spans="2:2" x14ac:dyDescent="0.2">
      <c r="B156" s="4"/>
    </row>
    <row r="157" spans="2:2" x14ac:dyDescent="0.2">
      <c r="B157" s="4"/>
    </row>
    <row r="158" spans="2:2" x14ac:dyDescent="0.2">
      <c r="B158" s="4"/>
    </row>
    <row r="159" spans="2:2" x14ac:dyDescent="0.2">
      <c r="B159" s="4"/>
    </row>
    <row r="160" spans="2:2" x14ac:dyDescent="0.2">
      <c r="B160" s="4"/>
    </row>
    <row r="161" spans="2:2" x14ac:dyDescent="0.2">
      <c r="B161" s="4"/>
    </row>
    <row r="162" spans="2:2" x14ac:dyDescent="0.2">
      <c r="B162" s="4"/>
    </row>
    <row r="163" spans="2:2" x14ac:dyDescent="0.2">
      <c r="B163" s="4"/>
    </row>
    <row r="164" spans="2:2" x14ac:dyDescent="0.2">
      <c r="B164" s="4"/>
    </row>
    <row r="165" spans="2:2" x14ac:dyDescent="0.2">
      <c r="B165" s="4"/>
    </row>
    <row r="166" spans="2:2" x14ac:dyDescent="0.2">
      <c r="B166" s="4"/>
    </row>
    <row r="167" spans="2:2" x14ac:dyDescent="0.2">
      <c r="B167" s="4"/>
    </row>
    <row r="168" spans="2:2" x14ac:dyDescent="0.2">
      <c r="B168" s="4"/>
    </row>
    <row r="169" spans="2:2" x14ac:dyDescent="0.2">
      <c r="B169" s="4"/>
    </row>
    <row r="170" spans="2:2" x14ac:dyDescent="0.2">
      <c r="B170" s="4"/>
    </row>
    <row r="171" spans="2:2" x14ac:dyDescent="0.2">
      <c r="B171" s="4"/>
    </row>
    <row r="172" spans="2:2" x14ac:dyDescent="0.2">
      <c r="B172" s="4"/>
    </row>
    <row r="173" spans="2:2" x14ac:dyDescent="0.2">
      <c r="B173" s="4"/>
    </row>
    <row r="174" spans="2:2" x14ac:dyDescent="0.2">
      <c r="B174" s="4"/>
    </row>
    <row r="175" spans="2:2" x14ac:dyDescent="0.2">
      <c r="B175" s="4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0EBB-6CC1-7646-B53D-2F1B038F02EB}">
  <dimension ref="A1:Q428"/>
  <sheetViews>
    <sheetView topLeftCell="A6" zoomScale="132" zoomScaleNormal="100" workbookViewId="0">
      <selection activeCell="M336" sqref="M336"/>
    </sheetView>
  </sheetViews>
  <sheetFormatPr baseColWidth="10" defaultColWidth="11" defaultRowHeight="16" x14ac:dyDescent="0.2"/>
  <cols>
    <col min="6" max="6" width="23.5" bestFit="1" customWidth="1"/>
    <col min="8" max="8" width="44.1640625" bestFit="1" customWidth="1"/>
    <col min="10" max="10" width="20.33203125" customWidth="1"/>
    <col min="11" max="11" width="37" bestFit="1" customWidth="1"/>
    <col min="12" max="12" width="37" customWidth="1"/>
    <col min="13" max="13" width="60.6640625" bestFit="1" customWidth="1"/>
    <col min="14" max="14" width="62.33203125" bestFit="1" customWidth="1"/>
  </cols>
  <sheetData>
    <row r="1" spans="1:17" x14ac:dyDescent="0.2">
      <c r="A1" t="s">
        <v>79</v>
      </c>
      <c r="B1" t="s">
        <v>80</v>
      </c>
      <c r="C1" t="s">
        <v>81</v>
      </c>
      <c r="D1" t="s">
        <v>82</v>
      </c>
      <c r="E1" t="s">
        <v>0</v>
      </c>
      <c r="F1" t="s">
        <v>1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360</v>
      </c>
      <c r="M1" t="s">
        <v>88</v>
      </c>
      <c r="N1" t="s">
        <v>89</v>
      </c>
      <c r="O1" t="s">
        <v>90</v>
      </c>
      <c r="P1" t="s">
        <v>91</v>
      </c>
      <c r="Q1" t="s">
        <v>362</v>
      </c>
    </row>
    <row r="2" spans="1:17" x14ac:dyDescent="0.2">
      <c r="A2">
        <v>18</v>
      </c>
      <c r="B2">
        <v>19</v>
      </c>
      <c r="C2">
        <v>18</v>
      </c>
      <c r="D2">
        <v>17</v>
      </c>
      <c r="E2" t="s">
        <v>251</v>
      </c>
      <c r="F2" t="s">
        <v>252</v>
      </c>
      <c r="G2">
        <v>99</v>
      </c>
      <c r="H2" t="s">
        <v>330</v>
      </c>
      <c r="I2">
        <v>0.15</v>
      </c>
      <c r="J2">
        <v>0.3</v>
      </c>
      <c r="K2" t="str">
        <f>VLOOKUP(H2,metric_dict!A:B,2,0)</f>
        <v>Знание ключевых метрик</v>
      </c>
      <c r="L2" t="str">
        <f>IF(VLOOKUP(H2,metric_dict!A:C,3,0)=0,"",VLOOKUP(H2,metric_dict!A:C,3,0))</f>
        <v/>
      </c>
      <c r="M2" t="str">
        <f>VLOOKUP(H2,metric_dict!A:AA,4,0)</f>
        <v>Знание значения метрики активной клиентской базы</v>
      </c>
      <c r="N2" t="str">
        <f>VLOOKUP(H2,metric_dict!A:AA,5,0)</f>
        <v>Знание метрик и инструментов</v>
      </c>
      <c r="O2">
        <f>VLOOKUP(H2,metric_dict!A:AA,6,0)</f>
        <v>1</v>
      </c>
      <c r="P2" t="s">
        <v>256</v>
      </c>
      <c r="Q2">
        <f>VLOOKUP(H2,metric_dict!A:AA,7,0)</f>
        <v>5</v>
      </c>
    </row>
    <row r="3" spans="1:17" x14ac:dyDescent="0.2">
      <c r="A3">
        <v>18</v>
      </c>
      <c r="B3">
        <v>19</v>
      </c>
      <c r="C3">
        <v>18</v>
      </c>
      <c r="D3">
        <v>17</v>
      </c>
      <c r="E3" t="s">
        <v>251</v>
      </c>
      <c r="F3" t="s">
        <v>252</v>
      </c>
      <c r="G3">
        <v>98</v>
      </c>
      <c r="H3" t="s">
        <v>331</v>
      </c>
      <c r="I3">
        <v>0.15</v>
      </c>
      <c r="J3">
        <v>0.3</v>
      </c>
      <c r="K3" t="str">
        <f>VLOOKUP(H3,metric_dict!A:B,2,0)</f>
        <v>Знание ключевых метрик</v>
      </c>
      <c r="L3" t="str">
        <f>IF(VLOOKUP(H3,metric_dict!A:C,3,0)=0,"",VLOOKUP(H3,metric_dict!A:C,3,0))</f>
        <v/>
      </c>
      <c r="M3" t="str">
        <f>VLOOKUP(H3,metric_dict!A:AA,4,0)</f>
        <v>Знание метрики Major</v>
      </c>
      <c r="N3" t="str">
        <f>VLOOKUP(H3,metric_dict!A:AA,5,0)</f>
        <v>Знание метрик и инструментов</v>
      </c>
      <c r="O3">
        <f>VLOOKUP(H3,metric_dict!A:AA,6,0)</f>
        <v>1</v>
      </c>
      <c r="P3" t="s">
        <v>256</v>
      </c>
      <c r="Q3">
        <f>VLOOKUP(H3,metric_dict!A:AA,7,0)</f>
        <v>6</v>
      </c>
    </row>
    <row r="4" spans="1:17" x14ac:dyDescent="0.2">
      <c r="A4">
        <v>18</v>
      </c>
      <c r="B4">
        <v>19</v>
      </c>
      <c r="C4">
        <v>18</v>
      </c>
      <c r="D4">
        <v>17</v>
      </c>
      <c r="E4" t="s">
        <v>251</v>
      </c>
      <c r="F4" t="s">
        <v>252</v>
      </c>
      <c r="G4">
        <v>97</v>
      </c>
      <c r="H4" t="s">
        <v>332</v>
      </c>
      <c r="I4">
        <v>0.15</v>
      </c>
      <c r="J4">
        <v>0.3</v>
      </c>
      <c r="K4" t="str">
        <f>VLOOKUP(H4,metric_dict!A:B,2,0)</f>
        <v>Знание ключевых метрик</v>
      </c>
      <c r="L4" t="str">
        <f>IF(VLOOKUP(H4,metric_dict!A:C,3,0)=0,"",VLOOKUP(H4,metric_dict!A:C,3,0))</f>
        <v/>
      </c>
      <c r="M4" t="str">
        <f>VLOOKUP(H4,metric_dict!A:AA,4,0)</f>
        <v>Знание метрики кол-во клиентов с 2+ нефин.сервисов</v>
      </c>
      <c r="N4" t="str">
        <f>VLOOKUP(H4,metric_dict!A:AA,5,0)</f>
        <v>Знание метрик и инструментов</v>
      </c>
      <c r="O4">
        <f>VLOOKUP(H4,metric_dict!A:AA,6,0)</f>
        <v>1</v>
      </c>
      <c r="P4" t="s">
        <v>256</v>
      </c>
      <c r="Q4">
        <f>VLOOKUP(H4,metric_dict!A:AA,7,0)</f>
        <v>7</v>
      </c>
    </row>
    <row r="5" spans="1:17" x14ac:dyDescent="0.2">
      <c r="A5">
        <v>18</v>
      </c>
      <c r="B5">
        <v>19</v>
      </c>
      <c r="C5">
        <v>18</v>
      </c>
      <c r="D5">
        <v>17</v>
      </c>
      <c r="E5" t="s">
        <v>251</v>
      </c>
      <c r="F5" t="s">
        <v>252</v>
      </c>
      <c r="G5">
        <v>2</v>
      </c>
      <c r="H5" t="s">
        <v>98</v>
      </c>
      <c r="I5">
        <v>0.25</v>
      </c>
      <c r="J5">
        <v>0.5</v>
      </c>
      <c r="K5" t="str">
        <f>VLOOKUP(H5,metric_dict!A:B,2,0)</f>
        <v>Знание ключевых метрик</v>
      </c>
      <c r="L5" t="str">
        <f>IF(VLOOKUP(H5,metric_dict!A:C,3,0)=0,"",VLOOKUP(H5,metric_dict!A:C,3,0))</f>
        <v/>
      </c>
      <c r="M5" t="str">
        <f>VLOOKUP(H5,metric_dict!A:AA,4,0)</f>
        <v>Понимание доступной отчетности и регулярного мониторинга</v>
      </c>
      <c r="N5" t="str">
        <f>VLOOKUP(H5,metric_dict!A:AA,5,0)</f>
        <v>Знание метрик и инструментов</v>
      </c>
      <c r="O5">
        <f>VLOOKUP(H5,metric_dict!A:AA,6,0)</f>
        <v>1</v>
      </c>
      <c r="P5" t="s">
        <v>256</v>
      </c>
      <c r="Q5">
        <f>VLOOKUP(H5,metric_dict!A:AA,7,0)</f>
        <v>13</v>
      </c>
    </row>
    <row r="6" spans="1:17" x14ac:dyDescent="0.2">
      <c r="A6">
        <v>18</v>
      </c>
      <c r="B6">
        <v>19</v>
      </c>
      <c r="C6">
        <v>18</v>
      </c>
      <c r="D6">
        <v>17</v>
      </c>
      <c r="E6" t="s">
        <v>251</v>
      </c>
      <c r="F6" t="s">
        <v>252</v>
      </c>
      <c r="G6">
        <v>3</v>
      </c>
      <c r="H6" t="s">
        <v>100</v>
      </c>
      <c r="I6">
        <v>1</v>
      </c>
      <c r="J6">
        <v>1</v>
      </c>
      <c r="K6" t="str">
        <f>VLOOKUP(H6,metric_dict!A:B,2,0)</f>
        <v>Цели</v>
      </c>
      <c r="L6" t="str">
        <f>IF(VLOOKUP(H6,metric_dict!A:C,3,0)=0,"",VLOOKUP(H6,metric_dict!A:C,3,0))</f>
        <v/>
      </c>
      <c r="M6" t="str">
        <f>VLOOKUP(H6,metric_dict!A:AA,4,0)</f>
        <v>Регулярное обновление в Навигаторе</v>
      </c>
      <c r="N6" t="str">
        <f>VLOOKUP(H6,metric_dict!A:AA,5,0)</f>
        <v>Обогащение целей/драйверов/прогнозов в Навигаторе</v>
      </c>
      <c r="O6">
        <f>VLOOKUP(H6,metric_dict!A:AA,6,0)</f>
        <v>2</v>
      </c>
      <c r="P6" t="s">
        <v>256</v>
      </c>
      <c r="Q6">
        <f>VLOOKUP(H6,metric_dict!A:AA,7,0)</f>
        <v>1</v>
      </c>
    </row>
    <row r="7" spans="1:17" x14ac:dyDescent="0.2">
      <c r="A7">
        <v>18</v>
      </c>
      <c r="B7">
        <v>19</v>
      </c>
      <c r="C7">
        <v>18</v>
      </c>
      <c r="D7">
        <v>17</v>
      </c>
      <c r="E7" t="s">
        <v>251</v>
      </c>
      <c r="F7" t="s">
        <v>252</v>
      </c>
      <c r="G7">
        <v>4</v>
      </c>
      <c r="H7" t="s">
        <v>104</v>
      </c>
      <c r="I7">
        <v>0.5</v>
      </c>
      <c r="J7">
        <v>1</v>
      </c>
      <c r="K7" t="str">
        <f>VLOOKUP(H7,metric_dict!A:B,2,0)</f>
        <v>Цели</v>
      </c>
      <c r="L7" t="str">
        <f>IF(VLOOKUP(H7,metric_dict!A:C,3,0)=0,"",VLOOKUP(H7,metric_dict!A:C,3,0))</f>
        <v/>
      </c>
      <c r="M7" t="str">
        <f>VLOOKUP(H7,metric_dict!A:AA,4,0)</f>
        <v>Согласно модели бизнес-процесса</v>
      </c>
      <c r="N7" t="str">
        <f>VLOOKUP(H7,metric_dict!A:AA,5,0)</f>
        <v>Декомпозировать значения целей на драйверы</v>
      </c>
      <c r="O7">
        <f>VLOOKUP(H7,metric_dict!A:AA,6,0)</f>
        <v>7</v>
      </c>
      <c r="P7" t="s">
        <v>256</v>
      </c>
      <c r="Q7">
        <f>VLOOKUP(H7,metric_dict!A:AA,7,0)</f>
        <v>2</v>
      </c>
    </row>
    <row r="8" spans="1:17" x14ac:dyDescent="0.2">
      <c r="A8">
        <v>18</v>
      </c>
      <c r="B8">
        <v>19</v>
      </c>
      <c r="C8">
        <v>18</v>
      </c>
      <c r="D8">
        <v>17</v>
      </c>
      <c r="E8" t="s">
        <v>251</v>
      </c>
      <c r="F8" t="s">
        <v>252</v>
      </c>
      <c r="G8">
        <v>5</v>
      </c>
      <c r="H8" t="s">
        <v>108</v>
      </c>
      <c r="I8">
        <v>0</v>
      </c>
      <c r="J8">
        <v>1</v>
      </c>
      <c r="K8" t="str">
        <f>VLOOKUP(H8,metric_dict!A:B,2,0)</f>
        <v>Цели</v>
      </c>
      <c r="L8" t="str">
        <f>IF(VLOOKUP(H8,metric_dict!A:C,3,0)=0,"",VLOOKUP(H8,metric_dict!A:C,3,0))</f>
        <v/>
      </c>
      <c r="M8" t="str">
        <f>VLOOKUP(H8,metric_dict!A:AA,4,0)</f>
        <v>Прогноз выведен в Навигатор</v>
      </c>
      <c r="N8" t="str">
        <f>VLOOKUP(H8,metric_dict!A:AA,5,0)</f>
        <v>Сформировать прогнозные значения по целям</v>
      </c>
      <c r="O8">
        <f>VLOOKUP(H8,metric_dict!A:AA,6,0)</f>
        <v>8</v>
      </c>
      <c r="P8" t="s">
        <v>256</v>
      </c>
      <c r="Q8">
        <f>VLOOKUP(H8,metric_dict!A:AA,7,0)</f>
        <v>3</v>
      </c>
    </row>
    <row r="9" spans="1:17" x14ac:dyDescent="0.2">
      <c r="A9">
        <v>18</v>
      </c>
      <c r="B9">
        <v>19</v>
      </c>
      <c r="C9">
        <v>18</v>
      </c>
      <c r="D9">
        <v>17</v>
      </c>
      <c r="E9" t="s">
        <v>251</v>
      </c>
      <c r="F9" t="s">
        <v>252</v>
      </c>
      <c r="G9">
        <v>9</v>
      </c>
      <c r="H9" t="s">
        <v>111</v>
      </c>
      <c r="I9">
        <v>0.25</v>
      </c>
      <c r="J9">
        <v>0.5</v>
      </c>
      <c r="K9" t="str">
        <f>VLOOKUP(H9,metric_dict!A:B,2,0)</f>
        <v>Воронка привлечения</v>
      </c>
      <c r="L9" t="str">
        <f>IF(VLOOKUP(H9,metric_dict!A:C,3,0)=0,"",VLOOKUP(H9,metric_dict!A:C,3,0))</f>
        <v>Отчетность</v>
      </c>
      <c r="M9" t="str">
        <f>VLOOKUP(H9,metric_dict!A:AA,4,0)</f>
        <v>Настроена по воронке</v>
      </c>
      <c r="N9" t="str">
        <f>VLOOKUP(H9,metric_dict!A:AA,5,0)</f>
        <v>Настроить мониторинг по воронке привлечения</v>
      </c>
      <c r="O9">
        <f>VLOOKUP(H9,metric_dict!A:AA,6,0)</f>
        <v>2</v>
      </c>
      <c r="P9" t="s">
        <v>256</v>
      </c>
      <c r="Q9">
        <f>VLOOKUP(H9,metric_dict!A:AA,7,0)</f>
        <v>1</v>
      </c>
    </row>
    <row r="10" spans="1:17" x14ac:dyDescent="0.2">
      <c r="A10">
        <v>18</v>
      </c>
      <c r="B10">
        <v>19</v>
      </c>
      <c r="C10">
        <v>18</v>
      </c>
      <c r="D10">
        <v>17</v>
      </c>
      <c r="E10" t="s">
        <v>251</v>
      </c>
      <c r="F10" t="s">
        <v>252</v>
      </c>
      <c r="G10">
        <v>10</v>
      </c>
      <c r="H10" t="s">
        <v>115</v>
      </c>
      <c r="I10">
        <v>0.25</v>
      </c>
      <c r="J10">
        <v>0.5</v>
      </c>
      <c r="K10" t="str">
        <f>VLOOKUP(H10,metric_dict!A:B,2,0)</f>
        <v>Воронка привлечения</v>
      </c>
      <c r="L10" t="str">
        <f>IF(VLOOKUP(H10,metric_dict!A:C,3,0)=0,"",VLOOKUP(H10,metric_dict!A:C,3,0))</f>
        <v>Отчетность</v>
      </c>
      <c r="M10" t="str">
        <f>VLOOKUP(H10,metric_dict!A:AA,4,0)</f>
        <v>Источники, CR, объёмы, сегменты</v>
      </c>
      <c r="N10" t="str">
        <f>VLOOKUP(H10,metric_dict!A:AA,5,0)</f>
        <v>Донасытить метриками мониторинг по воронке привлечения</v>
      </c>
      <c r="O10">
        <f>VLOOKUP(H10,metric_dict!A:AA,6,0)</f>
        <v>3</v>
      </c>
      <c r="P10" t="s">
        <v>256</v>
      </c>
      <c r="Q10">
        <f>VLOOKUP(H10,metric_dict!A:AA,7,0)</f>
        <v>2</v>
      </c>
    </row>
    <row r="11" spans="1:17" x14ac:dyDescent="0.2">
      <c r="A11">
        <v>18</v>
      </c>
      <c r="B11">
        <v>19</v>
      </c>
      <c r="C11">
        <v>18</v>
      </c>
      <c r="D11">
        <v>17</v>
      </c>
      <c r="E11" t="s">
        <v>251</v>
      </c>
      <c r="F11" t="s">
        <v>252</v>
      </c>
      <c r="G11">
        <v>12</v>
      </c>
      <c r="H11" t="s">
        <v>121</v>
      </c>
      <c r="I11">
        <v>0</v>
      </c>
      <c r="J11">
        <v>0.5</v>
      </c>
      <c r="K11" t="str">
        <f>VLOOKUP(H11,metric_dict!A:B,2,0)</f>
        <v>Воронка оттока</v>
      </c>
      <c r="L11" t="str">
        <f>IF(VLOOKUP(H11,metric_dict!A:C,3,0)=0,"",VLOOKUP(H11,metric_dict!A:C,3,0))</f>
        <v>Отчетность</v>
      </c>
      <c r="M11" t="str">
        <f>VLOOKUP(H11,metric_dict!A:AA,4,0)</f>
        <v>Настроена по воронке</v>
      </c>
      <c r="N11" t="str">
        <f>VLOOKUP(H11,metric_dict!A:AA,5,0)</f>
        <v>Настроить мониторинг по воронке оттока</v>
      </c>
      <c r="O11">
        <f>VLOOKUP(H11,metric_dict!A:AA,6,0)</f>
        <v>2</v>
      </c>
      <c r="P11" t="s">
        <v>256</v>
      </c>
      <c r="Q11">
        <f>VLOOKUP(H11,metric_dict!A:AA,7,0)</f>
        <v>1</v>
      </c>
    </row>
    <row r="12" spans="1:17" x14ac:dyDescent="0.2">
      <c r="A12">
        <v>18</v>
      </c>
      <c r="B12">
        <v>19</v>
      </c>
      <c r="C12">
        <v>18</v>
      </c>
      <c r="D12">
        <v>17</v>
      </c>
      <c r="E12" t="s">
        <v>251</v>
      </c>
      <c r="F12" t="s">
        <v>252</v>
      </c>
      <c r="G12">
        <v>13</v>
      </c>
      <c r="H12" t="s">
        <v>124</v>
      </c>
      <c r="I12">
        <v>0</v>
      </c>
      <c r="J12">
        <v>0.5</v>
      </c>
      <c r="K12" t="str">
        <f>VLOOKUP(H12,metric_dict!A:B,2,0)</f>
        <v>Воронка оттока</v>
      </c>
      <c r="L12" t="str">
        <f>IF(VLOOKUP(H12,metric_dict!A:C,3,0)=0,"",VLOOKUP(H12,metric_dict!A:C,3,0))</f>
        <v>Отчетность</v>
      </c>
      <c r="M12" t="str">
        <f>VLOOKUP(H12,metric_dict!A:AA,4,0)</f>
        <v>Retention, CR, удержание</v>
      </c>
      <c r="N12" t="str">
        <f>VLOOKUP(H12,metric_dict!A:AA,5,0)</f>
        <v>Донасытить метриками мониторинг по воронке оттока</v>
      </c>
      <c r="O12">
        <f>VLOOKUP(H12,metric_dict!A:AA,6,0)</f>
        <v>3</v>
      </c>
      <c r="P12" t="s">
        <v>256</v>
      </c>
      <c r="Q12">
        <f>VLOOKUP(H12,metric_dict!A:AA,7,0)</f>
        <v>2</v>
      </c>
    </row>
    <row r="13" spans="1:17" x14ac:dyDescent="0.2">
      <c r="A13">
        <v>18</v>
      </c>
      <c r="B13">
        <v>19</v>
      </c>
      <c r="C13">
        <v>18</v>
      </c>
      <c r="D13">
        <v>17</v>
      </c>
      <c r="E13" t="s">
        <v>251</v>
      </c>
      <c r="F13" t="s">
        <v>252</v>
      </c>
      <c r="G13">
        <v>15</v>
      </c>
      <c r="H13" t="s">
        <v>129</v>
      </c>
      <c r="I13">
        <v>1</v>
      </c>
      <c r="J13">
        <v>1</v>
      </c>
      <c r="K13" t="str">
        <f>VLOOKUP(H13,metric_dict!A:B,2,0)</f>
        <v>BENCHMARKS</v>
      </c>
      <c r="L13" t="str">
        <f>IF(VLOOKUP(H13,metric_dict!A:C,3,0)=0,"",VLOOKUP(H13,metric_dict!A:C,3,0))</f>
        <v/>
      </c>
      <c r="M13" t="str">
        <f>VLOOKUP(H13,metric_dict!A:AA,4,0)</f>
        <v>Цели / динамика / рынок</v>
      </c>
      <c r="N13" t="str">
        <f>VLOOKUP(H13,metric_dict!A:AA,5,0)</f>
        <v>Сформировать бенчмарки по продуктовым метрикам</v>
      </c>
      <c r="O13">
        <f>VLOOKUP(H13,metric_dict!A:AA,6,0)</f>
        <v>5</v>
      </c>
      <c r="P13" t="s">
        <v>256</v>
      </c>
      <c r="Q13">
        <f>VLOOKUP(H13,metric_dict!A:AA,7,0)</f>
        <v>6</v>
      </c>
    </row>
    <row r="14" spans="1:17" x14ac:dyDescent="0.2">
      <c r="A14">
        <v>18</v>
      </c>
      <c r="B14">
        <v>19</v>
      </c>
      <c r="C14">
        <v>18</v>
      </c>
      <c r="D14">
        <v>17</v>
      </c>
      <c r="E14" t="s">
        <v>251</v>
      </c>
      <c r="F14" t="s">
        <v>252</v>
      </c>
      <c r="G14">
        <v>17</v>
      </c>
      <c r="H14" t="s">
        <v>134</v>
      </c>
      <c r="I14">
        <v>0.5</v>
      </c>
      <c r="J14">
        <v>1</v>
      </c>
      <c r="K14" t="str">
        <f>VLOOKUP(H14,metric_dict!A:B,2,0)</f>
        <v>Воронка привлечения</v>
      </c>
      <c r="L14" t="str">
        <f>IF(VLOOKUP(H14,metric_dict!A:C,3,0)=0,"",VLOOKUP(H14,metric_dict!A:C,3,0))</f>
        <v/>
      </c>
      <c r="M14" t="str">
        <f>VLOOKUP(H14,metric_dict!A:AA,4,0)</f>
        <v>Оценка эффективности, поиск точек роста</v>
      </c>
      <c r="N14" t="str">
        <f>VLOOKUP(H14,metric_dict!A:AA,5,0)</f>
        <v>Провести анализ привлечения, выявить точки роста</v>
      </c>
      <c r="O14">
        <f>VLOOKUP(H14,metric_dict!A:AA,6,0)</f>
        <v>5</v>
      </c>
      <c r="P14" t="s">
        <v>256</v>
      </c>
      <c r="Q14">
        <f>VLOOKUP(H14,metric_dict!A:AA,7,0)</f>
        <v>4</v>
      </c>
    </row>
    <row r="15" spans="1:17" x14ac:dyDescent="0.2">
      <c r="A15">
        <v>18</v>
      </c>
      <c r="B15">
        <v>19</v>
      </c>
      <c r="C15">
        <v>18</v>
      </c>
      <c r="D15">
        <v>17</v>
      </c>
      <c r="E15" t="s">
        <v>251</v>
      </c>
      <c r="F15" t="s">
        <v>252</v>
      </c>
      <c r="G15">
        <v>18</v>
      </c>
      <c r="H15" t="s">
        <v>137</v>
      </c>
      <c r="I15">
        <v>1</v>
      </c>
      <c r="J15">
        <v>1</v>
      </c>
      <c r="K15" t="str">
        <f>VLOOKUP(H15,metric_dict!A:B,2,0)</f>
        <v>Воронка привлечения</v>
      </c>
      <c r="L15" t="str">
        <f>IF(VLOOKUP(H15,metric_dict!A:C,3,0)=0,"",VLOOKUP(H15,metric_dict!A:C,3,0))</f>
        <v/>
      </c>
      <c r="M15" t="str">
        <f>VLOOKUP(H15,metric_dict!A:AA,4,0)</f>
        <v>План действий по росту</v>
      </c>
      <c r="N15" t="str">
        <f>VLOOKUP(H15,metric_dict!A:AA,5,0)</f>
        <v>Сформировать перечень инициатив</v>
      </c>
      <c r="O15">
        <f>VLOOKUP(H15,metric_dict!A:AA,6,0)</f>
        <v>5</v>
      </c>
      <c r="P15" t="s">
        <v>256</v>
      </c>
      <c r="Q15">
        <f>VLOOKUP(H15,metric_dict!A:AA,7,0)</f>
        <v>5</v>
      </c>
    </row>
    <row r="16" spans="1:17" x14ac:dyDescent="0.2">
      <c r="A16">
        <v>18</v>
      </c>
      <c r="B16">
        <v>19</v>
      </c>
      <c r="C16">
        <v>18</v>
      </c>
      <c r="D16">
        <v>17</v>
      </c>
      <c r="E16" t="s">
        <v>251</v>
      </c>
      <c r="F16" t="s">
        <v>252</v>
      </c>
      <c r="G16">
        <v>19</v>
      </c>
      <c r="H16" t="s">
        <v>140</v>
      </c>
      <c r="I16">
        <v>0.5</v>
      </c>
      <c r="J16">
        <v>1</v>
      </c>
      <c r="K16" t="str">
        <f>VLOOKUP(H16,metric_dict!A:B,2,0)</f>
        <v>Воронка оттока</v>
      </c>
      <c r="L16" t="str">
        <f>IF(VLOOKUP(H16,metric_dict!A:C,3,0)=0,"",VLOOKUP(H16,metric_dict!A:C,3,0))</f>
        <v/>
      </c>
      <c r="M16" t="str">
        <f>VLOOKUP(H16,metric_dict!A:AA,4,0)</f>
        <v>Оценка причин и узких мест</v>
      </c>
      <c r="N16" t="str">
        <f>VLOOKUP(H16,metric_dict!A:AA,5,0)</f>
        <v>Провести анализ оттока, выявить точки роста</v>
      </c>
      <c r="O16">
        <f>VLOOKUP(H16,metric_dict!A:AA,6,0)</f>
        <v>5</v>
      </c>
      <c r="P16" t="s">
        <v>256</v>
      </c>
      <c r="Q16">
        <f>VLOOKUP(H16,metric_dict!A:AA,7,0)</f>
        <v>4</v>
      </c>
    </row>
    <row r="17" spans="1:17" x14ac:dyDescent="0.2">
      <c r="A17">
        <v>18</v>
      </c>
      <c r="B17">
        <v>19</v>
      </c>
      <c r="C17">
        <v>18</v>
      </c>
      <c r="D17">
        <v>17</v>
      </c>
      <c r="E17" t="s">
        <v>251</v>
      </c>
      <c r="F17" t="s">
        <v>252</v>
      </c>
      <c r="G17">
        <v>20</v>
      </c>
      <c r="H17" t="s">
        <v>143</v>
      </c>
      <c r="I17">
        <v>1</v>
      </c>
      <c r="J17">
        <v>1</v>
      </c>
      <c r="K17" t="str">
        <f>VLOOKUP(H17,metric_dict!A:B,2,0)</f>
        <v>Воронка оттока</v>
      </c>
      <c r="L17" t="str">
        <f>IF(VLOOKUP(H17,metric_dict!A:C,3,0)=0,"",VLOOKUP(H17,metric_dict!A:C,3,0))</f>
        <v/>
      </c>
      <c r="M17" t="str">
        <f>VLOOKUP(H17,metric_dict!A:AA,4,0)</f>
        <v>План действий по отклонениям</v>
      </c>
      <c r="N17" t="str">
        <f>VLOOKUP(H17,metric_dict!A:AA,5,0)</f>
        <v>Сформировать список мероприятий по снижению оттока</v>
      </c>
      <c r="O17">
        <f>VLOOKUP(H17,metric_dict!A:AA,6,0)</f>
        <v>4</v>
      </c>
      <c r="P17" t="s">
        <v>256</v>
      </c>
      <c r="Q17">
        <f>VLOOKUP(H17,metric_dict!A:AA,7,0)</f>
        <v>5</v>
      </c>
    </row>
    <row r="18" spans="1:17" x14ac:dyDescent="0.2">
      <c r="A18">
        <v>18</v>
      </c>
      <c r="B18">
        <v>19</v>
      </c>
      <c r="C18">
        <v>18</v>
      </c>
      <c r="D18">
        <v>17</v>
      </c>
      <c r="E18" t="s">
        <v>251</v>
      </c>
      <c r="F18" t="s">
        <v>252</v>
      </c>
      <c r="G18">
        <v>22</v>
      </c>
      <c r="H18" t="s">
        <v>150</v>
      </c>
      <c r="I18">
        <v>0</v>
      </c>
      <c r="J18">
        <v>1</v>
      </c>
      <c r="K18" t="str">
        <f>VLOOKUP(H18,metric_dict!A:B,2,0)</f>
        <v>Алерты</v>
      </c>
      <c r="L18" t="str">
        <f>IF(VLOOKUP(H18,metric_dict!A:C,3,0)=0,"",VLOOKUP(H18,metric_dict!A:C,3,0))</f>
        <v/>
      </c>
      <c r="M18" t="str">
        <f>VLOOKUP(H18,metric_dict!A:AA,4,0)</f>
        <v>Светофоры целей, драйверов, воронок</v>
      </c>
      <c r="N18" t="str">
        <f>VLOOKUP(H18,metric_dict!A:AA,5,0)</f>
        <v>Внедрить систему оповещений</v>
      </c>
      <c r="O18">
        <f>VLOOKUP(H18,metric_dict!A:AA,6,0)</f>
        <v>3</v>
      </c>
      <c r="P18" t="s">
        <v>256</v>
      </c>
      <c r="Q18">
        <f>VLOOKUP(H18,metric_dict!A:AA,7,0)</f>
        <v>2</v>
      </c>
    </row>
    <row r="19" spans="1:17" x14ac:dyDescent="0.2">
      <c r="A19">
        <v>18</v>
      </c>
      <c r="B19">
        <v>19</v>
      </c>
      <c r="C19">
        <v>18</v>
      </c>
      <c r="D19">
        <v>17</v>
      </c>
      <c r="E19" t="s">
        <v>251</v>
      </c>
      <c r="F19" t="s">
        <v>252</v>
      </c>
      <c r="G19">
        <v>224</v>
      </c>
      <c r="H19" s="14" t="s">
        <v>351</v>
      </c>
      <c r="I19">
        <v>1</v>
      </c>
      <c r="J19">
        <v>1</v>
      </c>
      <c r="K19" t="str">
        <f>VLOOKUP(H19,metric_dict!A:B,2,0)</f>
        <v>Механики</v>
      </c>
      <c r="L19" t="str">
        <f>IF(VLOOKUP(H19,metric_dict!A:C,3,0)=0,"",VLOOKUP(H19,metric_dict!A:C,3,0))</f>
        <v/>
      </c>
      <c r="M19" t="str">
        <f>VLOOKUP(H19,metric_dict!A:AA,4,0)</f>
        <v>Адаптация предложений и коммуникаций под контекст клиента</v>
      </c>
      <c r="N19" t="str">
        <f>VLOOKUP(H19,metric_dict!A:AA,5,0)</f>
        <v>Проработать механики персонализации клиентского опыта</v>
      </c>
      <c r="O19">
        <f>VLOOKUP(H19,metric_dict!A:AA,6,0)</f>
        <v>5</v>
      </c>
      <c r="P19" t="s">
        <v>256</v>
      </c>
      <c r="Q19">
        <f>VLOOKUP(H19,metric_dict!A:AA,7,0)</f>
        <v>1</v>
      </c>
    </row>
    <row r="20" spans="1:17" x14ac:dyDescent="0.2">
      <c r="A20">
        <v>18</v>
      </c>
      <c r="B20">
        <v>19</v>
      </c>
      <c r="C20">
        <v>18</v>
      </c>
      <c r="D20">
        <v>17</v>
      </c>
      <c r="E20" t="s">
        <v>251</v>
      </c>
      <c r="F20" t="s">
        <v>252</v>
      </c>
      <c r="G20">
        <v>222</v>
      </c>
      <c r="H20" s="14" t="s">
        <v>352</v>
      </c>
      <c r="I20">
        <v>0</v>
      </c>
      <c r="J20">
        <v>1</v>
      </c>
      <c r="K20" t="str">
        <f>VLOOKUP(H20,metric_dict!A:B,2,0)</f>
        <v>Механики</v>
      </c>
      <c r="L20" t="str">
        <f>IF(VLOOKUP(H20,metric_dict!A:C,3,0)=0,"",VLOOKUP(H20,metric_dict!A:C,3,0))</f>
        <v/>
      </c>
      <c r="M20" t="str">
        <f>VLOOKUP(H20,metric_dict!A:AA,4,0)</f>
        <v>Релевантные офферы для привлечения клиентов</v>
      </c>
      <c r="N20" t="str">
        <f>VLOOKUP(H20,metric_dict!A:AA,5,0)</f>
        <v>Проработать механики привлечения клиентов</v>
      </c>
      <c r="O20">
        <f>VLOOKUP(H20,metric_dict!A:AA,6,0)</f>
        <v>5</v>
      </c>
      <c r="P20" t="s">
        <v>256</v>
      </c>
      <c r="Q20">
        <f>VLOOKUP(H20,metric_dict!A:AA,7,0)</f>
        <v>2</v>
      </c>
    </row>
    <row r="21" spans="1:17" x14ac:dyDescent="0.2">
      <c r="A21">
        <v>18</v>
      </c>
      <c r="B21">
        <v>19</v>
      </c>
      <c r="C21">
        <v>18</v>
      </c>
      <c r="D21">
        <v>17</v>
      </c>
      <c r="E21" t="s">
        <v>251</v>
      </c>
      <c r="F21" t="s">
        <v>252</v>
      </c>
      <c r="G21">
        <v>23</v>
      </c>
      <c r="H21" s="14" t="s">
        <v>156</v>
      </c>
      <c r="I21">
        <v>1</v>
      </c>
      <c r="J21">
        <v>1</v>
      </c>
      <c r="K21" t="str">
        <f>VLOOKUP(H21,metric_dict!A:B,2,0)</f>
        <v>Механики</v>
      </c>
      <c r="L21" t="str">
        <f>IF(VLOOKUP(H21,metric_dict!A:C,3,0)=0,"",VLOOKUP(H21,metric_dict!A:C,3,0))</f>
        <v/>
      </c>
      <c r="M21" t="str">
        <f>VLOOKUP(H21,metric_dict!A:AA,4,0)</f>
        <v>Коммуникация + ценность</v>
      </c>
      <c r="N21" t="str">
        <f>VLOOKUP(H21,metric_dict!A:AA,5,0)</f>
        <v>Проработать механики удержания клиентов</v>
      </c>
      <c r="O21">
        <f>VLOOKUP(H21,metric_dict!A:AA,6,0)</f>
        <v>5</v>
      </c>
      <c r="P21" t="s">
        <v>256</v>
      </c>
      <c r="Q21">
        <f>VLOOKUP(H21,metric_dict!A:AA,7,0)</f>
        <v>6</v>
      </c>
    </row>
    <row r="22" spans="1:17" x14ac:dyDescent="0.2">
      <c r="A22">
        <v>18</v>
      </c>
      <c r="B22">
        <v>19</v>
      </c>
      <c r="C22">
        <v>18</v>
      </c>
      <c r="D22">
        <v>17</v>
      </c>
      <c r="E22" t="s">
        <v>251</v>
      </c>
      <c r="F22" t="s">
        <v>252</v>
      </c>
      <c r="G22">
        <v>223</v>
      </c>
      <c r="H22" s="14" t="s">
        <v>353</v>
      </c>
      <c r="I22">
        <v>0</v>
      </c>
      <c r="J22">
        <v>1</v>
      </c>
      <c r="K22" t="str">
        <f>VLOOKUP(H22,metric_dict!A:B,2,0)</f>
        <v>Механики</v>
      </c>
      <c r="L22" t="str">
        <f>IF(VLOOKUP(H22,metric_dict!A:C,3,0)=0,"",VLOOKUP(H22,metric_dict!A:C,3,0))</f>
        <v/>
      </c>
      <c r="M22" t="str">
        <f>VLOOKUP(H22,metric_dict!A:AA,4,0)</f>
        <v>Банковские предложения в момент изменения жизненного сценария</v>
      </c>
      <c r="N22" t="str">
        <f>VLOOKUP(H22,metric_dict!A:AA,5,0)</f>
        <v>Проработать механики реагирования на жизненные ситуации</v>
      </c>
      <c r="O22">
        <f>VLOOKUP(H22,metric_dict!A:AA,6,0)</f>
        <v>5</v>
      </c>
      <c r="P22" t="s">
        <v>256</v>
      </c>
      <c r="Q22">
        <f>VLOOKUP(H22,metric_dict!A:AA,7,0)</f>
        <v>5</v>
      </c>
    </row>
    <row r="23" spans="1:17" x14ac:dyDescent="0.2">
      <c r="A23">
        <v>18</v>
      </c>
      <c r="B23">
        <v>19</v>
      </c>
      <c r="C23">
        <v>18</v>
      </c>
      <c r="D23">
        <v>17</v>
      </c>
      <c r="E23" t="s">
        <v>251</v>
      </c>
      <c r="F23" t="s">
        <v>252</v>
      </c>
      <c r="G23">
        <v>500</v>
      </c>
      <c r="H23" t="s">
        <v>156</v>
      </c>
      <c r="I23">
        <v>0.5</v>
      </c>
      <c r="J23">
        <v>1</v>
      </c>
      <c r="K23" t="str">
        <f>VLOOKUP(H23,metric_dict!A:B,2,0)</f>
        <v>Механики</v>
      </c>
      <c r="L23" t="str">
        <f>IF(VLOOKUP(H23,metric_dict!A:C,3,0)=0,"",VLOOKUP(H23,metric_dict!A:C,3,0))</f>
        <v/>
      </c>
      <c r="M23" t="str">
        <f>VLOOKUP(H23,metric_dict!A:AA,4,0)</f>
        <v>Коммуникация + ценность</v>
      </c>
      <c r="N23" t="str">
        <f>VLOOKUP(H23,metric_dict!A:AA,5,0)</f>
        <v>Проработать механики удержания клиентов</v>
      </c>
      <c r="O23">
        <f>VLOOKUP(H23,metric_dict!A:AA,6,0)</f>
        <v>5</v>
      </c>
      <c r="P23" t="s">
        <v>256</v>
      </c>
      <c r="Q23">
        <f>VLOOKUP(H23,metric_dict!A:AA,7,0)</f>
        <v>6</v>
      </c>
    </row>
    <row r="24" spans="1:17" x14ac:dyDescent="0.2">
      <c r="A24">
        <v>18</v>
      </c>
      <c r="B24">
        <v>19</v>
      </c>
      <c r="C24">
        <v>18</v>
      </c>
      <c r="D24">
        <v>17</v>
      </c>
      <c r="E24" t="s">
        <v>251</v>
      </c>
      <c r="F24" t="s">
        <v>252</v>
      </c>
      <c r="G24">
        <v>501</v>
      </c>
      <c r="H24" t="s">
        <v>156</v>
      </c>
      <c r="I24">
        <v>0</v>
      </c>
      <c r="J24">
        <v>0</v>
      </c>
      <c r="K24" t="str">
        <f>VLOOKUP(H24,metric_dict!A:B,2,0)</f>
        <v>Механики</v>
      </c>
      <c r="L24" t="str">
        <f>IF(VLOOKUP(H24,metric_dict!A:C,3,0)=0,"",VLOOKUP(H24,metric_dict!A:C,3,0))</f>
        <v/>
      </c>
      <c r="M24" t="str">
        <f>VLOOKUP(H24,metric_dict!A:AA,4,0)</f>
        <v>Коммуникация + ценность</v>
      </c>
      <c r="N24" t="str">
        <f>VLOOKUP(H24,metric_dict!A:AA,5,0)</f>
        <v>Проработать механики удержания клиентов</v>
      </c>
      <c r="O24">
        <f>VLOOKUP(H24,metric_dict!A:AA,6,0)</f>
        <v>5</v>
      </c>
      <c r="P24" t="s">
        <v>256</v>
      </c>
      <c r="Q24">
        <f>VLOOKUP(H24,metric_dict!A:AA,7,0)</f>
        <v>6</v>
      </c>
    </row>
    <row r="25" spans="1:17" x14ac:dyDescent="0.2">
      <c r="A25">
        <v>18</v>
      </c>
      <c r="B25">
        <v>19</v>
      </c>
      <c r="C25">
        <v>18</v>
      </c>
      <c r="D25">
        <v>17</v>
      </c>
      <c r="E25" t="s">
        <v>251</v>
      </c>
      <c r="F25" t="s">
        <v>252</v>
      </c>
      <c r="G25">
        <v>502</v>
      </c>
      <c r="H25" t="s">
        <v>156</v>
      </c>
      <c r="I25">
        <v>0</v>
      </c>
      <c r="J25">
        <v>0</v>
      </c>
      <c r="K25" t="str">
        <f>VLOOKUP(H25,metric_dict!A:B,2,0)</f>
        <v>Механики</v>
      </c>
      <c r="L25" t="str">
        <f>IF(VLOOKUP(H25,metric_dict!A:C,3,0)=0,"",VLOOKUP(H25,metric_dict!A:C,3,0))</f>
        <v/>
      </c>
      <c r="M25" t="str">
        <f>VLOOKUP(H25,metric_dict!A:AA,4,0)</f>
        <v>Коммуникация + ценность</v>
      </c>
      <c r="N25" t="str">
        <f>VLOOKUP(H25,metric_dict!A:AA,5,0)</f>
        <v>Проработать механики удержания клиентов</v>
      </c>
      <c r="O25">
        <f>VLOOKUP(H25,metric_dict!A:AA,6,0)</f>
        <v>5</v>
      </c>
      <c r="P25" t="s">
        <v>256</v>
      </c>
      <c r="Q25">
        <f>VLOOKUP(H25,metric_dict!A:AA,7,0)</f>
        <v>6</v>
      </c>
    </row>
    <row r="26" spans="1:17" x14ac:dyDescent="0.2">
      <c r="A26">
        <v>18</v>
      </c>
      <c r="B26">
        <v>19</v>
      </c>
      <c r="C26">
        <v>18</v>
      </c>
      <c r="D26">
        <v>17</v>
      </c>
      <c r="E26" t="s">
        <v>251</v>
      </c>
      <c r="F26" t="s">
        <v>252</v>
      </c>
      <c r="G26">
        <v>225</v>
      </c>
      <c r="H26" t="s">
        <v>265</v>
      </c>
      <c r="I26">
        <v>0.25</v>
      </c>
      <c r="J26">
        <v>0.25</v>
      </c>
      <c r="K26" t="str">
        <f>VLOOKUP(H26,metric_dict!A:B,2,0)</f>
        <v>Механики</v>
      </c>
      <c r="L26" t="str">
        <f>IF(VLOOKUP(H26,metric_dict!A:C,3,0)=0,"",VLOOKUP(H26,metric_dict!A:C,3,0))</f>
        <v/>
      </c>
      <c r="M26" t="str">
        <f>VLOOKUP(H26,metric_dict!A:AA,4,0)</f>
        <v>Настроен по ключевым механикам работы с клиентской базой</v>
      </c>
      <c r="N26" t="str">
        <f>VLOOKUP(H26,metric_dict!A:AA,5,0)</f>
        <v>Настроить мониторинг по ключевым механикам</v>
      </c>
      <c r="O26">
        <f>VLOOKUP(H26,metric_dict!A:AA,6,0)</f>
        <v>2</v>
      </c>
      <c r="P26" t="s">
        <v>256</v>
      </c>
      <c r="Q26">
        <f>VLOOKUP(H26,metric_dict!A:AA,7,0)</f>
        <v>22</v>
      </c>
    </row>
    <row r="27" spans="1:17" x14ac:dyDescent="0.2">
      <c r="A27">
        <v>18</v>
      </c>
      <c r="B27">
        <v>19</v>
      </c>
      <c r="C27">
        <v>18</v>
      </c>
      <c r="D27">
        <v>17</v>
      </c>
      <c r="E27" t="s">
        <v>251</v>
      </c>
      <c r="F27" t="s">
        <v>252</v>
      </c>
      <c r="G27">
        <v>35</v>
      </c>
      <c r="H27" t="s">
        <v>165</v>
      </c>
      <c r="I27">
        <v>0</v>
      </c>
      <c r="J27">
        <v>1</v>
      </c>
      <c r="K27" t="str">
        <f>VLOOKUP(H27,metric_dict!A:B,2,0)</f>
        <v>Гипотезы и инициативы</v>
      </c>
      <c r="L27" t="str">
        <f>IF(VLOOKUP(H27,metric_dict!A:C,3,0)=0,"",VLOOKUP(H27,metric_dict!A:C,3,0))</f>
        <v/>
      </c>
      <c r="M27" t="str">
        <f>VLOOKUP(H27,metric_dict!A:AA,4,0)</f>
        <v>Доля исследовательских задач DA</v>
      </c>
      <c r="N27" t="str">
        <f>VLOOKUP(H27,metric_dict!A:AA,5,0)</f>
        <v>Сфокусировать бэклог аналитиков на research-задачи</v>
      </c>
      <c r="O27">
        <f>VLOOKUP(H27,metric_dict!A:AA,6,0)</f>
        <v>5</v>
      </c>
      <c r="P27" t="s">
        <v>256</v>
      </c>
      <c r="Q27">
        <f>VLOOKUP(H27,metric_dict!A:AA,7,0)</f>
        <v>1</v>
      </c>
    </row>
    <row r="28" spans="1:17" x14ac:dyDescent="0.2">
      <c r="A28">
        <v>18</v>
      </c>
      <c r="B28">
        <v>19</v>
      </c>
      <c r="C28">
        <v>18</v>
      </c>
      <c r="D28">
        <v>17</v>
      </c>
      <c r="E28" t="s">
        <v>251</v>
      </c>
      <c r="F28" t="s">
        <v>252</v>
      </c>
      <c r="G28">
        <v>44</v>
      </c>
      <c r="H28" t="s">
        <v>182</v>
      </c>
      <c r="I28">
        <v>0</v>
      </c>
      <c r="J28">
        <v>1</v>
      </c>
      <c r="K28" t="str">
        <f>VLOOKUP(H28,metric_dict!A:B,2,0)</f>
        <v>Гипотезы и инициативы</v>
      </c>
      <c r="L28" t="str">
        <f>IF(VLOOKUP(H28,metric_dict!A:C,3,0)=0,"",VLOOKUP(H28,metric_dict!A:C,3,0))</f>
        <v/>
      </c>
      <c r="M28" t="str">
        <f>VLOOKUP(H28,metric_dict!A:AA,4,0)</f>
        <v>Средняя оценка проведенных исследований</v>
      </c>
      <c r="N28" t="str">
        <f>VLOOKUP(H28,metric_dict!A:AA,5,0)</f>
        <v>Повысить качество проведенных исследований</v>
      </c>
      <c r="O28">
        <f>VLOOKUP(H28,metric_dict!A:AA,6,0)</f>
        <v>5</v>
      </c>
      <c r="P28" t="s">
        <v>256</v>
      </c>
      <c r="Q28">
        <f>VLOOKUP(H28,metric_dict!A:AA,7,0)</f>
        <v>2</v>
      </c>
    </row>
    <row r="29" spans="1:17" x14ac:dyDescent="0.2">
      <c r="A29">
        <v>239</v>
      </c>
      <c r="B29">
        <v>240</v>
      </c>
      <c r="C29">
        <v>239</v>
      </c>
      <c r="D29">
        <v>238</v>
      </c>
      <c r="E29" t="s">
        <v>251</v>
      </c>
      <c r="F29" t="s">
        <v>49</v>
      </c>
      <c r="G29">
        <v>1</v>
      </c>
      <c r="H29" t="s">
        <v>92</v>
      </c>
      <c r="I29">
        <v>0</v>
      </c>
      <c r="J29">
        <v>0.2</v>
      </c>
      <c r="K29" t="str">
        <f>VLOOKUP(H29,metric_dict!A:B,2,0)</f>
        <v>Знание ключевых метрик</v>
      </c>
      <c r="L29" t="str">
        <f>IF(VLOOKUP(H29,metric_dict!A:C,3,0)=0,"",VLOOKUP(H29,metric_dict!A:C,3,0))</f>
        <v/>
      </c>
      <c r="M29" t="str">
        <f>VLOOKUP(H29,metric_dict!A:AA,4,0)</f>
        <v>Оценка потенциального объема клиентов в России</v>
      </c>
      <c r="N29" t="str">
        <f>VLOOKUP(H29,metric_dict!A:AA,5,0)</f>
        <v>Знание метрик и инструментов</v>
      </c>
      <c r="O29">
        <f>VLOOKUP(H29,metric_dict!A:AA,6,0)</f>
        <v>1</v>
      </c>
      <c r="P29" t="s">
        <v>97</v>
      </c>
      <c r="Q29">
        <f>VLOOKUP(H29,metric_dict!A:AA,7,0)</f>
        <v>1</v>
      </c>
    </row>
    <row r="30" spans="1:17" x14ac:dyDescent="0.2">
      <c r="A30">
        <v>239</v>
      </c>
      <c r="B30">
        <v>240</v>
      </c>
      <c r="C30">
        <v>239</v>
      </c>
      <c r="D30">
        <v>238</v>
      </c>
      <c r="E30" t="s">
        <v>251</v>
      </c>
      <c r="F30" t="s">
        <v>49</v>
      </c>
      <c r="G30">
        <v>2</v>
      </c>
      <c r="H30" t="s">
        <v>98</v>
      </c>
      <c r="I30">
        <v>0.25</v>
      </c>
      <c r="J30">
        <v>0.5</v>
      </c>
      <c r="K30" t="str">
        <f>VLOOKUP(H30,metric_dict!A:B,2,0)</f>
        <v>Знание ключевых метрик</v>
      </c>
      <c r="L30" t="str">
        <f>IF(VLOOKUP(H30,metric_dict!A:C,3,0)=0,"",VLOOKUP(H30,metric_dict!A:C,3,0))</f>
        <v/>
      </c>
      <c r="M30" t="str">
        <f>VLOOKUP(H30,metric_dict!A:AA,4,0)</f>
        <v>Понимание доступной отчетности и регулярного мониторинга</v>
      </c>
      <c r="N30" t="str">
        <f>VLOOKUP(H30,metric_dict!A:AA,5,0)</f>
        <v>Знание метрик и инструментов</v>
      </c>
      <c r="O30">
        <f>VLOOKUP(H30,metric_dict!A:AA,6,0)</f>
        <v>1</v>
      </c>
      <c r="P30" t="s">
        <v>97</v>
      </c>
      <c r="Q30">
        <f>VLOOKUP(H30,metric_dict!A:AA,7,0)</f>
        <v>13</v>
      </c>
    </row>
    <row r="31" spans="1:17" x14ac:dyDescent="0.2">
      <c r="A31">
        <v>239</v>
      </c>
      <c r="B31">
        <v>240</v>
      </c>
      <c r="C31">
        <v>239</v>
      </c>
      <c r="D31">
        <v>238</v>
      </c>
      <c r="E31" t="s">
        <v>251</v>
      </c>
      <c r="F31" t="s">
        <v>49</v>
      </c>
      <c r="G31">
        <v>3</v>
      </c>
      <c r="H31" t="s">
        <v>100</v>
      </c>
      <c r="I31">
        <v>0.5</v>
      </c>
      <c r="J31">
        <v>1</v>
      </c>
      <c r="K31" t="str">
        <f>VLOOKUP(H31,metric_dict!A:B,2,0)</f>
        <v>Цели</v>
      </c>
      <c r="L31" t="str">
        <f>IF(VLOOKUP(H31,metric_dict!A:C,3,0)=0,"",VLOOKUP(H31,metric_dict!A:C,3,0))</f>
        <v/>
      </c>
      <c r="M31" t="str">
        <f>VLOOKUP(H31,metric_dict!A:AA,4,0)</f>
        <v>Регулярное обновление в Навигаторе</v>
      </c>
      <c r="N31" t="str">
        <f>VLOOKUP(H31,metric_dict!A:AA,5,0)</f>
        <v>Обогащение целей/драйверов/прогнозов в Навигаторе</v>
      </c>
      <c r="O31">
        <f>VLOOKUP(H31,metric_dict!A:AA,6,0)</f>
        <v>2</v>
      </c>
      <c r="P31" t="s">
        <v>97</v>
      </c>
      <c r="Q31">
        <f>VLOOKUP(H31,metric_dict!A:AA,7,0)</f>
        <v>1</v>
      </c>
    </row>
    <row r="32" spans="1:17" x14ac:dyDescent="0.2">
      <c r="A32">
        <v>239</v>
      </c>
      <c r="B32">
        <v>240</v>
      </c>
      <c r="C32">
        <v>239</v>
      </c>
      <c r="D32">
        <v>238</v>
      </c>
      <c r="E32" t="s">
        <v>251</v>
      </c>
      <c r="F32" t="s">
        <v>49</v>
      </c>
      <c r="G32">
        <v>4</v>
      </c>
      <c r="H32" t="s">
        <v>104</v>
      </c>
      <c r="I32">
        <v>0</v>
      </c>
      <c r="J32">
        <v>1</v>
      </c>
      <c r="K32" t="str">
        <f>VLOOKUP(H32,metric_dict!A:B,2,0)</f>
        <v>Цели</v>
      </c>
      <c r="L32" t="str">
        <f>IF(VLOOKUP(H32,metric_dict!A:C,3,0)=0,"",VLOOKUP(H32,metric_dict!A:C,3,0))</f>
        <v/>
      </c>
      <c r="M32" t="str">
        <f>VLOOKUP(H32,metric_dict!A:AA,4,0)</f>
        <v>Согласно модели бизнес-процесса</v>
      </c>
      <c r="N32" t="str">
        <f>VLOOKUP(H32,metric_dict!A:AA,5,0)</f>
        <v>Декомпозировать значения целей на драйверы</v>
      </c>
      <c r="O32">
        <f>VLOOKUP(H32,metric_dict!A:AA,6,0)</f>
        <v>7</v>
      </c>
      <c r="P32" t="s">
        <v>97</v>
      </c>
      <c r="Q32">
        <f>VLOOKUP(H32,metric_dict!A:AA,7,0)</f>
        <v>2</v>
      </c>
    </row>
    <row r="33" spans="1:17" x14ac:dyDescent="0.2">
      <c r="A33">
        <v>239</v>
      </c>
      <c r="B33">
        <v>240</v>
      </c>
      <c r="C33">
        <v>239</v>
      </c>
      <c r="D33">
        <v>238</v>
      </c>
      <c r="E33" t="s">
        <v>251</v>
      </c>
      <c r="F33" t="s">
        <v>49</v>
      </c>
      <c r="G33">
        <v>5</v>
      </c>
      <c r="H33" t="s">
        <v>108</v>
      </c>
      <c r="I33">
        <v>0.5</v>
      </c>
      <c r="J33">
        <v>1</v>
      </c>
      <c r="K33" t="str">
        <f>VLOOKUP(H33,metric_dict!A:B,2,0)</f>
        <v>Цели</v>
      </c>
      <c r="L33" t="str">
        <f>IF(VLOOKUP(H33,metric_dict!A:C,3,0)=0,"",VLOOKUP(H33,metric_dict!A:C,3,0))</f>
        <v/>
      </c>
      <c r="M33" t="str">
        <f>VLOOKUP(H33,metric_dict!A:AA,4,0)</f>
        <v>Прогноз выведен в Навигатор</v>
      </c>
      <c r="N33" t="str">
        <f>VLOOKUP(H33,metric_dict!A:AA,5,0)</f>
        <v>Сформировать прогнозные значения по целям</v>
      </c>
      <c r="O33">
        <f>VLOOKUP(H33,metric_dict!A:AA,6,0)</f>
        <v>8</v>
      </c>
      <c r="P33" t="s">
        <v>97</v>
      </c>
      <c r="Q33">
        <f>VLOOKUP(H33,metric_dict!A:AA,7,0)</f>
        <v>3</v>
      </c>
    </row>
    <row r="34" spans="1:17" x14ac:dyDescent="0.2">
      <c r="A34">
        <v>239</v>
      </c>
      <c r="B34">
        <v>240</v>
      </c>
      <c r="C34">
        <v>239</v>
      </c>
      <c r="D34">
        <v>238</v>
      </c>
      <c r="E34" t="s">
        <v>251</v>
      </c>
      <c r="F34" t="s">
        <v>49</v>
      </c>
      <c r="G34">
        <v>9</v>
      </c>
      <c r="H34" t="s">
        <v>111</v>
      </c>
      <c r="I34">
        <v>0.25</v>
      </c>
      <c r="J34">
        <v>0.5</v>
      </c>
      <c r="K34" t="str">
        <f>VLOOKUP(H34,metric_dict!A:B,2,0)</f>
        <v>Воронка привлечения</v>
      </c>
      <c r="L34" t="str">
        <f>IF(VLOOKUP(H34,metric_dict!A:C,3,0)=0,"",VLOOKUP(H34,metric_dict!A:C,3,0))</f>
        <v>Отчетность</v>
      </c>
      <c r="M34" t="str">
        <f>VLOOKUP(H34,metric_dict!A:AA,4,0)</f>
        <v>Настроена по воронке</v>
      </c>
      <c r="N34" t="str">
        <f>VLOOKUP(H34,metric_dict!A:AA,5,0)</f>
        <v>Настроить мониторинг по воронке привлечения</v>
      </c>
      <c r="O34">
        <f>VLOOKUP(H34,metric_dict!A:AA,6,0)</f>
        <v>2</v>
      </c>
      <c r="P34" t="s">
        <v>97</v>
      </c>
      <c r="Q34">
        <f>VLOOKUP(H34,metric_dict!A:AA,7,0)</f>
        <v>1</v>
      </c>
    </row>
    <row r="35" spans="1:17" x14ac:dyDescent="0.2">
      <c r="A35">
        <v>239</v>
      </c>
      <c r="B35">
        <v>240</v>
      </c>
      <c r="C35">
        <v>239</v>
      </c>
      <c r="D35">
        <v>238</v>
      </c>
      <c r="E35" t="s">
        <v>251</v>
      </c>
      <c r="F35" t="s">
        <v>49</v>
      </c>
      <c r="G35">
        <v>10</v>
      </c>
      <c r="H35" t="s">
        <v>115</v>
      </c>
      <c r="I35">
        <v>0</v>
      </c>
      <c r="J35">
        <v>0.5</v>
      </c>
      <c r="K35" t="str">
        <f>VLOOKUP(H35,metric_dict!A:B,2,0)</f>
        <v>Воронка привлечения</v>
      </c>
      <c r="L35" t="str">
        <f>IF(VLOOKUP(H35,metric_dict!A:C,3,0)=0,"",VLOOKUP(H35,metric_dict!A:C,3,0))</f>
        <v>Отчетность</v>
      </c>
      <c r="M35" t="str">
        <f>VLOOKUP(H35,metric_dict!A:AA,4,0)</f>
        <v>Источники, CR, объёмы, сегменты</v>
      </c>
      <c r="N35" t="str">
        <f>VLOOKUP(H35,metric_dict!A:AA,5,0)</f>
        <v>Донасытить метриками мониторинг по воронке привлечения</v>
      </c>
      <c r="O35">
        <f>VLOOKUP(H35,metric_dict!A:AA,6,0)</f>
        <v>3</v>
      </c>
      <c r="P35" t="s">
        <v>97</v>
      </c>
      <c r="Q35">
        <f>VLOOKUP(H35,metric_dict!A:AA,7,0)</f>
        <v>2</v>
      </c>
    </row>
    <row r="36" spans="1:17" x14ac:dyDescent="0.2">
      <c r="A36">
        <v>239</v>
      </c>
      <c r="B36">
        <v>240</v>
      </c>
      <c r="C36">
        <v>239</v>
      </c>
      <c r="D36">
        <v>238</v>
      </c>
      <c r="E36" t="s">
        <v>251</v>
      </c>
      <c r="F36" t="s">
        <v>49</v>
      </c>
      <c r="G36">
        <v>11</v>
      </c>
      <c r="H36" t="s">
        <v>118</v>
      </c>
      <c r="I36">
        <v>0.5</v>
      </c>
      <c r="J36">
        <v>1</v>
      </c>
      <c r="K36" t="str">
        <f>VLOOKUP(H36,metric_dict!A:B,2,0)</f>
        <v>Воронка привлечения</v>
      </c>
      <c r="L36" t="str">
        <f>IF(VLOOKUP(H36,metric_dict!A:C,3,0)=0,"",VLOOKUP(H36,metric_dict!A:C,3,0))</f>
        <v>Отчетность</v>
      </c>
      <c r="M36" t="str">
        <f>VLOOKUP(H36,metric_dict!A:AA,4,0)</f>
        <v>Daily / weekly</v>
      </c>
      <c r="N36" t="str">
        <f>VLOOKUP(H36,metric_dict!A:AA,5,0)</f>
        <v>Автоматизировать расчет воронки привлечения</v>
      </c>
      <c r="O36">
        <f>VLOOKUP(H36,metric_dict!A:AA,6,0)</f>
        <v>4</v>
      </c>
      <c r="P36" t="s">
        <v>97</v>
      </c>
      <c r="Q36">
        <f>VLOOKUP(H36,metric_dict!A:AA,7,0)</f>
        <v>3</v>
      </c>
    </row>
    <row r="37" spans="1:17" x14ac:dyDescent="0.2">
      <c r="A37">
        <v>239</v>
      </c>
      <c r="B37">
        <v>240</v>
      </c>
      <c r="C37">
        <v>239</v>
      </c>
      <c r="D37">
        <v>238</v>
      </c>
      <c r="E37" t="s">
        <v>251</v>
      </c>
      <c r="F37" t="s">
        <v>49</v>
      </c>
      <c r="G37">
        <v>12</v>
      </c>
      <c r="H37" t="s">
        <v>121</v>
      </c>
      <c r="I37">
        <v>0</v>
      </c>
      <c r="J37">
        <v>0.5</v>
      </c>
      <c r="K37" t="str">
        <f>VLOOKUP(H37,metric_dict!A:B,2,0)</f>
        <v>Воронка оттока</v>
      </c>
      <c r="L37" t="str">
        <f>IF(VLOOKUP(H37,metric_dict!A:C,3,0)=0,"",VLOOKUP(H37,metric_dict!A:C,3,0))</f>
        <v>Отчетность</v>
      </c>
      <c r="M37" t="str">
        <f>VLOOKUP(H37,metric_dict!A:AA,4,0)</f>
        <v>Настроена по воронке</v>
      </c>
      <c r="N37" t="str">
        <f>VLOOKUP(H37,metric_dict!A:AA,5,0)</f>
        <v>Настроить мониторинг по воронке оттока</v>
      </c>
      <c r="O37">
        <f>VLOOKUP(H37,metric_dict!A:AA,6,0)</f>
        <v>2</v>
      </c>
      <c r="P37" t="s">
        <v>97</v>
      </c>
      <c r="Q37">
        <f>VLOOKUP(H37,metric_dict!A:AA,7,0)</f>
        <v>1</v>
      </c>
    </row>
    <row r="38" spans="1:17" x14ac:dyDescent="0.2">
      <c r="A38">
        <v>239</v>
      </c>
      <c r="B38">
        <v>240</v>
      </c>
      <c r="C38">
        <v>239</v>
      </c>
      <c r="D38">
        <v>238</v>
      </c>
      <c r="E38" t="s">
        <v>251</v>
      </c>
      <c r="F38" t="s">
        <v>49</v>
      </c>
      <c r="G38">
        <v>13</v>
      </c>
      <c r="H38" t="s">
        <v>124</v>
      </c>
      <c r="I38">
        <v>0</v>
      </c>
      <c r="J38">
        <v>0.5</v>
      </c>
      <c r="K38" t="str">
        <f>VLOOKUP(H38,metric_dict!A:B,2,0)</f>
        <v>Воронка оттока</v>
      </c>
      <c r="L38" t="str">
        <f>IF(VLOOKUP(H38,metric_dict!A:C,3,0)=0,"",VLOOKUP(H38,metric_dict!A:C,3,0))</f>
        <v>Отчетность</v>
      </c>
      <c r="M38" t="str">
        <f>VLOOKUP(H38,metric_dict!A:AA,4,0)</f>
        <v>Retention, CR, удержание</v>
      </c>
      <c r="N38" t="str">
        <f>VLOOKUP(H38,metric_dict!A:AA,5,0)</f>
        <v>Донасытить метриками мониторинг по воронке оттока</v>
      </c>
      <c r="O38">
        <f>VLOOKUP(H38,metric_dict!A:AA,6,0)</f>
        <v>3</v>
      </c>
      <c r="P38" t="s">
        <v>97</v>
      </c>
      <c r="Q38">
        <f>VLOOKUP(H38,metric_dict!A:AA,7,0)</f>
        <v>2</v>
      </c>
    </row>
    <row r="39" spans="1:17" x14ac:dyDescent="0.2">
      <c r="A39">
        <v>239</v>
      </c>
      <c r="B39">
        <v>240</v>
      </c>
      <c r="C39">
        <v>239</v>
      </c>
      <c r="D39">
        <v>238</v>
      </c>
      <c r="E39" t="s">
        <v>251</v>
      </c>
      <c r="F39" t="s">
        <v>49</v>
      </c>
      <c r="G39">
        <v>14</v>
      </c>
      <c r="H39" t="s">
        <v>127</v>
      </c>
      <c r="I39">
        <v>0.5</v>
      </c>
      <c r="J39">
        <v>1</v>
      </c>
      <c r="K39" t="str">
        <f>VLOOKUP(H39,metric_dict!A:B,2,0)</f>
        <v>Воронка оттока</v>
      </c>
      <c r="L39" t="str">
        <f>IF(VLOOKUP(H39,metric_dict!A:C,3,0)=0,"",VLOOKUP(H39,metric_dict!A:C,3,0))</f>
        <v>Отчетность</v>
      </c>
      <c r="M39" t="str">
        <f>VLOOKUP(H39,metric_dict!A:AA,4,0)</f>
        <v>Daily / weekly</v>
      </c>
      <c r="N39" t="str">
        <f>VLOOKUP(H39,metric_dict!A:AA,5,0)</f>
        <v>Автоматизировать расчет воронки оттока</v>
      </c>
      <c r="O39">
        <f>VLOOKUP(H39,metric_dict!A:AA,6,0)</f>
        <v>4</v>
      </c>
      <c r="P39" t="s">
        <v>97</v>
      </c>
      <c r="Q39">
        <f>VLOOKUP(H39,metric_dict!A:AA,7,0)</f>
        <v>3</v>
      </c>
    </row>
    <row r="40" spans="1:17" x14ac:dyDescent="0.2">
      <c r="A40">
        <v>239</v>
      </c>
      <c r="B40">
        <v>240</v>
      </c>
      <c r="C40">
        <v>239</v>
      </c>
      <c r="D40">
        <v>238</v>
      </c>
      <c r="E40" t="s">
        <v>251</v>
      </c>
      <c r="F40" t="s">
        <v>49</v>
      </c>
      <c r="G40">
        <v>15</v>
      </c>
      <c r="H40" t="s">
        <v>129</v>
      </c>
      <c r="I40">
        <v>0</v>
      </c>
      <c r="J40">
        <v>1</v>
      </c>
      <c r="K40" t="str">
        <f>VLOOKUP(H40,metric_dict!A:B,2,0)</f>
        <v>BENCHMARKS</v>
      </c>
      <c r="L40" t="str">
        <f>IF(VLOOKUP(H40,metric_dict!A:C,3,0)=0,"",VLOOKUP(H40,metric_dict!A:C,3,0))</f>
        <v/>
      </c>
      <c r="M40" t="str">
        <f>VLOOKUP(H40,metric_dict!A:AA,4,0)</f>
        <v>Цели / динамика / рынок</v>
      </c>
      <c r="N40" t="str">
        <f>VLOOKUP(H40,metric_dict!A:AA,5,0)</f>
        <v>Сформировать бенчмарки по продуктовым метрикам</v>
      </c>
      <c r="O40">
        <f>VLOOKUP(H40,metric_dict!A:AA,6,0)</f>
        <v>5</v>
      </c>
      <c r="P40" t="s">
        <v>97</v>
      </c>
      <c r="Q40">
        <f>VLOOKUP(H40,metric_dict!A:AA,7,0)</f>
        <v>6</v>
      </c>
    </row>
    <row r="41" spans="1:17" x14ac:dyDescent="0.2">
      <c r="A41">
        <v>239</v>
      </c>
      <c r="B41">
        <v>240</v>
      </c>
      <c r="C41">
        <v>239</v>
      </c>
      <c r="D41">
        <v>238</v>
      </c>
      <c r="E41" t="s">
        <v>251</v>
      </c>
      <c r="F41" t="s">
        <v>49</v>
      </c>
      <c r="G41">
        <v>16</v>
      </c>
      <c r="H41" t="s">
        <v>133</v>
      </c>
      <c r="I41">
        <v>0</v>
      </c>
      <c r="J41">
        <v>0</v>
      </c>
      <c r="K41" t="e">
        <f>VLOOKUP(H41,metric_dict!A:B,2,0)</f>
        <v>#N/A</v>
      </c>
      <c r="L41" t="e">
        <f>IF(VLOOKUP(H41,metric_dict!A:C,3,0)=0,"",VLOOKUP(H41,metric_dict!A:C,3,0))</f>
        <v>#N/A</v>
      </c>
      <c r="M41" t="e">
        <f>VLOOKUP(H41,metric_dict!A:AA,4,0)</f>
        <v>#N/A</v>
      </c>
      <c r="N41" t="e">
        <f>VLOOKUP(H41,metric_dict!A:AA,5,0)</f>
        <v>#N/A</v>
      </c>
      <c r="O41" t="e">
        <f>VLOOKUP(H41,metric_dict!A:AA,6,0)</f>
        <v>#N/A</v>
      </c>
      <c r="P41" t="s">
        <v>97</v>
      </c>
      <c r="Q41" t="e">
        <f>VLOOKUP(H41,metric_dict!A:AA,7,0)</f>
        <v>#N/A</v>
      </c>
    </row>
    <row r="42" spans="1:17" x14ac:dyDescent="0.2">
      <c r="A42">
        <v>239</v>
      </c>
      <c r="B42">
        <v>240</v>
      </c>
      <c r="C42">
        <v>239</v>
      </c>
      <c r="D42">
        <v>238</v>
      </c>
      <c r="E42" t="s">
        <v>251</v>
      </c>
      <c r="F42" t="s">
        <v>49</v>
      </c>
      <c r="G42">
        <v>17</v>
      </c>
      <c r="H42" t="s">
        <v>134</v>
      </c>
      <c r="I42">
        <v>0.5</v>
      </c>
      <c r="J42">
        <v>1</v>
      </c>
      <c r="K42" t="str">
        <f>VLOOKUP(H42,metric_dict!A:B,2,0)</f>
        <v>Воронка привлечения</v>
      </c>
      <c r="L42" t="str">
        <f>IF(VLOOKUP(H42,metric_dict!A:C,3,0)=0,"",VLOOKUP(H42,metric_dict!A:C,3,0))</f>
        <v/>
      </c>
      <c r="M42" t="str">
        <f>VLOOKUP(H42,metric_dict!A:AA,4,0)</f>
        <v>Оценка эффективности, поиск точек роста</v>
      </c>
      <c r="N42" t="str">
        <f>VLOOKUP(H42,metric_dict!A:AA,5,0)</f>
        <v>Провести анализ привлечения, выявить точки роста</v>
      </c>
      <c r="O42">
        <f>VLOOKUP(H42,metric_dict!A:AA,6,0)</f>
        <v>5</v>
      </c>
      <c r="P42" t="s">
        <v>97</v>
      </c>
      <c r="Q42">
        <f>VLOOKUP(H42,metric_dict!A:AA,7,0)</f>
        <v>4</v>
      </c>
    </row>
    <row r="43" spans="1:17" x14ac:dyDescent="0.2">
      <c r="A43">
        <v>239</v>
      </c>
      <c r="B43">
        <v>240</v>
      </c>
      <c r="C43">
        <v>239</v>
      </c>
      <c r="D43">
        <v>238</v>
      </c>
      <c r="E43" t="s">
        <v>251</v>
      </c>
      <c r="F43" t="s">
        <v>49</v>
      </c>
      <c r="G43">
        <v>18</v>
      </c>
      <c r="H43" t="s">
        <v>137</v>
      </c>
      <c r="I43">
        <v>0</v>
      </c>
      <c r="J43">
        <v>1</v>
      </c>
      <c r="K43" t="str">
        <f>VLOOKUP(H43,metric_dict!A:B,2,0)</f>
        <v>Воронка привлечения</v>
      </c>
      <c r="L43" t="str">
        <f>IF(VLOOKUP(H43,metric_dict!A:C,3,0)=0,"",VLOOKUP(H43,metric_dict!A:C,3,0))</f>
        <v/>
      </c>
      <c r="M43" t="str">
        <f>VLOOKUP(H43,metric_dict!A:AA,4,0)</f>
        <v>План действий по росту</v>
      </c>
      <c r="N43" t="str">
        <f>VLOOKUP(H43,metric_dict!A:AA,5,0)</f>
        <v>Сформировать перечень инициатив</v>
      </c>
      <c r="O43">
        <f>VLOOKUP(H43,metric_dict!A:AA,6,0)</f>
        <v>5</v>
      </c>
      <c r="P43" t="s">
        <v>97</v>
      </c>
      <c r="Q43">
        <f>VLOOKUP(H43,metric_dict!A:AA,7,0)</f>
        <v>5</v>
      </c>
    </row>
    <row r="44" spans="1:17" x14ac:dyDescent="0.2">
      <c r="A44">
        <v>239</v>
      </c>
      <c r="B44">
        <v>240</v>
      </c>
      <c r="C44">
        <v>239</v>
      </c>
      <c r="D44">
        <v>238</v>
      </c>
      <c r="E44" t="s">
        <v>251</v>
      </c>
      <c r="F44" t="s">
        <v>49</v>
      </c>
      <c r="G44">
        <v>19</v>
      </c>
      <c r="H44" t="s">
        <v>140</v>
      </c>
      <c r="I44">
        <v>0.5</v>
      </c>
      <c r="J44">
        <v>1</v>
      </c>
      <c r="K44" t="str">
        <f>VLOOKUP(H44,metric_dict!A:B,2,0)</f>
        <v>Воронка оттока</v>
      </c>
      <c r="L44" t="str">
        <f>IF(VLOOKUP(H44,metric_dict!A:C,3,0)=0,"",VLOOKUP(H44,metric_dict!A:C,3,0))</f>
        <v/>
      </c>
      <c r="M44" t="str">
        <f>VLOOKUP(H44,metric_dict!A:AA,4,0)</f>
        <v>Оценка причин и узких мест</v>
      </c>
      <c r="N44" t="str">
        <f>VLOOKUP(H44,metric_dict!A:AA,5,0)</f>
        <v>Провести анализ оттока, выявить точки роста</v>
      </c>
      <c r="O44">
        <f>VLOOKUP(H44,metric_dict!A:AA,6,0)</f>
        <v>5</v>
      </c>
      <c r="P44" t="s">
        <v>97</v>
      </c>
      <c r="Q44">
        <f>VLOOKUP(H44,metric_dict!A:AA,7,0)</f>
        <v>4</v>
      </c>
    </row>
    <row r="45" spans="1:17" x14ac:dyDescent="0.2">
      <c r="A45">
        <v>239</v>
      </c>
      <c r="B45">
        <v>240</v>
      </c>
      <c r="C45">
        <v>239</v>
      </c>
      <c r="D45">
        <v>238</v>
      </c>
      <c r="E45" t="s">
        <v>251</v>
      </c>
      <c r="F45" t="s">
        <v>49</v>
      </c>
      <c r="G45">
        <v>20</v>
      </c>
      <c r="H45" t="s">
        <v>143</v>
      </c>
      <c r="I45">
        <v>0</v>
      </c>
      <c r="J45">
        <v>1</v>
      </c>
      <c r="K45" t="str">
        <f>VLOOKUP(H45,metric_dict!A:B,2,0)</f>
        <v>Воронка оттока</v>
      </c>
      <c r="L45" t="str">
        <f>IF(VLOOKUP(H45,metric_dict!A:C,3,0)=0,"",VLOOKUP(H45,metric_dict!A:C,3,0))</f>
        <v/>
      </c>
      <c r="M45" t="str">
        <f>VLOOKUP(H45,metric_dict!A:AA,4,0)</f>
        <v>План действий по отклонениям</v>
      </c>
      <c r="N45" t="str">
        <f>VLOOKUP(H45,metric_dict!A:AA,5,0)</f>
        <v>Сформировать список мероприятий по снижению оттока</v>
      </c>
      <c r="O45">
        <f>VLOOKUP(H45,metric_dict!A:AA,6,0)</f>
        <v>4</v>
      </c>
      <c r="P45" t="s">
        <v>97</v>
      </c>
      <c r="Q45">
        <f>VLOOKUP(H45,metric_dict!A:AA,7,0)</f>
        <v>5</v>
      </c>
    </row>
    <row r="46" spans="1:17" x14ac:dyDescent="0.2">
      <c r="A46">
        <v>239</v>
      </c>
      <c r="B46">
        <v>240</v>
      </c>
      <c r="C46">
        <v>239</v>
      </c>
      <c r="D46">
        <v>238</v>
      </c>
      <c r="E46" t="s">
        <v>251</v>
      </c>
      <c r="F46" t="s">
        <v>49</v>
      </c>
      <c r="G46">
        <v>21</v>
      </c>
      <c r="H46" t="s">
        <v>146</v>
      </c>
      <c r="I46">
        <v>1</v>
      </c>
      <c r="J46">
        <v>1</v>
      </c>
      <c r="K46" t="str">
        <f>VLOOKUP(H46,metric_dict!A:B,2,0)</f>
        <v>Алерты</v>
      </c>
      <c r="L46" t="str">
        <f>IF(VLOOKUP(H46,metric_dict!A:C,3,0)=0,"",VLOOKUP(H46,metric_dict!A:C,3,0))</f>
        <v/>
      </c>
      <c r="M46" t="str">
        <f>VLOOKUP(H46,metric_dict!A:AA,4,0)</f>
        <v>Авто-алерты по IT-инфраструктуре</v>
      </c>
      <c r="N46" t="str">
        <f>VLOOKUP(H46,metric_dict!A:AA,5,0)</f>
        <v>Внедрить систему оповещений</v>
      </c>
      <c r="O46">
        <f>VLOOKUP(H46,metric_dict!A:AA,6,0)</f>
        <v>5</v>
      </c>
      <c r="P46" t="s">
        <v>97</v>
      </c>
      <c r="Q46">
        <f>VLOOKUP(H46,metric_dict!A:AA,7,0)</f>
        <v>1</v>
      </c>
    </row>
    <row r="47" spans="1:17" x14ac:dyDescent="0.2">
      <c r="A47">
        <v>239</v>
      </c>
      <c r="B47">
        <v>240</v>
      </c>
      <c r="C47">
        <v>239</v>
      </c>
      <c r="D47">
        <v>238</v>
      </c>
      <c r="E47" t="s">
        <v>251</v>
      </c>
      <c r="F47" t="s">
        <v>49</v>
      </c>
      <c r="G47">
        <v>22</v>
      </c>
      <c r="H47" t="s">
        <v>150</v>
      </c>
      <c r="I47">
        <v>0</v>
      </c>
      <c r="J47">
        <v>1</v>
      </c>
      <c r="K47" t="str">
        <f>VLOOKUP(H47,metric_dict!A:B,2,0)</f>
        <v>Алерты</v>
      </c>
      <c r="L47" t="str">
        <f>IF(VLOOKUP(H47,metric_dict!A:C,3,0)=0,"",VLOOKUP(H47,metric_dict!A:C,3,0))</f>
        <v/>
      </c>
      <c r="M47" t="str">
        <f>VLOOKUP(H47,metric_dict!A:AA,4,0)</f>
        <v>Светофоры целей, драйверов, воронок</v>
      </c>
      <c r="N47" t="str">
        <f>VLOOKUP(H47,metric_dict!A:AA,5,0)</f>
        <v>Внедрить систему оповещений</v>
      </c>
      <c r="O47">
        <f>VLOOKUP(H47,metric_dict!A:AA,6,0)</f>
        <v>3</v>
      </c>
      <c r="P47" t="s">
        <v>97</v>
      </c>
      <c r="Q47">
        <f>VLOOKUP(H47,metric_dict!A:AA,7,0)</f>
        <v>2</v>
      </c>
    </row>
    <row r="48" spans="1:17" x14ac:dyDescent="0.2">
      <c r="A48">
        <v>239</v>
      </c>
      <c r="B48">
        <v>240</v>
      </c>
      <c r="C48">
        <v>239</v>
      </c>
      <c r="D48">
        <v>238</v>
      </c>
      <c r="E48" t="s">
        <v>251</v>
      </c>
      <c r="F48" t="s">
        <v>49</v>
      </c>
      <c r="G48">
        <v>23</v>
      </c>
      <c r="H48" t="s">
        <v>265</v>
      </c>
      <c r="I48">
        <v>0</v>
      </c>
      <c r="J48">
        <v>0</v>
      </c>
      <c r="K48" t="str">
        <f>VLOOKUP(H48,metric_dict!A:B,2,0)</f>
        <v>Механики</v>
      </c>
      <c r="L48" t="str">
        <f>IF(VLOOKUP(H48,metric_dict!A:C,3,0)=0,"",VLOOKUP(H48,metric_dict!A:C,3,0))</f>
        <v/>
      </c>
      <c r="M48" t="str">
        <f>VLOOKUP(H48,metric_dict!A:AA,4,0)</f>
        <v>Настроен по ключевым механикам работы с клиентской базой</v>
      </c>
      <c r="N48" t="str">
        <f>VLOOKUP(H48,metric_dict!A:AA,5,0)</f>
        <v>Настроить мониторинг по ключевым механикам</v>
      </c>
      <c r="O48">
        <f>VLOOKUP(H48,metric_dict!A:AA,6,0)</f>
        <v>2</v>
      </c>
      <c r="P48" t="s">
        <v>97</v>
      </c>
      <c r="Q48">
        <f>VLOOKUP(H48,metric_dict!A:AA,7,0)</f>
        <v>22</v>
      </c>
    </row>
    <row r="49" spans="1:17" x14ac:dyDescent="0.2">
      <c r="A49">
        <v>239</v>
      </c>
      <c r="B49">
        <v>240</v>
      </c>
      <c r="C49">
        <v>239</v>
      </c>
      <c r="D49">
        <v>238</v>
      </c>
      <c r="E49" t="s">
        <v>251</v>
      </c>
      <c r="F49" t="s">
        <v>49</v>
      </c>
      <c r="G49">
        <v>24</v>
      </c>
      <c r="H49" t="s">
        <v>156</v>
      </c>
      <c r="I49">
        <v>0</v>
      </c>
      <c r="J49">
        <v>0</v>
      </c>
      <c r="K49" t="str">
        <f>VLOOKUP(H49,metric_dict!A:B,2,0)</f>
        <v>Механики</v>
      </c>
      <c r="L49" t="str">
        <f>IF(VLOOKUP(H49,metric_dict!A:C,3,0)=0,"",VLOOKUP(H49,metric_dict!A:C,3,0))</f>
        <v/>
      </c>
      <c r="M49" t="str">
        <f>VLOOKUP(H49,metric_dict!A:AA,4,0)</f>
        <v>Коммуникация + ценность</v>
      </c>
      <c r="N49" t="str">
        <f>VLOOKUP(H49,metric_dict!A:AA,5,0)</f>
        <v>Проработать механики удержания клиентов</v>
      </c>
      <c r="O49">
        <f>VLOOKUP(H49,metric_dict!A:AA,6,0)</f>
        <v>5</v>
      </c>
      <c r="P49" t="s">
        <v>97</v>
      </c>
      <c r="Q49">
        <f>VLOOKUP(H49,metric_dict!A:AA,7,0)</f>
        <v>6</v>
      </c>
    </row>
    <row r="50" spans="1:17" x14ac:dyDescent="0.2">
      <c r="A50">
        <v>239</v>
      </c>
      <c r="B50">
        <v>240</v>
      </c>
      <c r="C50">
        <v>239</v>
      </c>
      <c r="D50">
        <v>238</v>
      </c>
      <c r="E50" t="s">
        <v>251</v>
      </c>
      <c r="F50" t="s">
        <v>49</v>
      </c>
      <c r="G50">
        <v>25</v>
      </c>
      <c r="H50" t="s">
        <v>156</v>
      </c>
      <c r="I50">
        <v>1</v>
      </c>
      <c r="J50">
        <v>1</v>
      </c>
      <c r="K50" t="str">
        <f>VLOOKUP(H50,metric_dict!A:B,2,0)</f>
        <v>Механики</v>
      </c>
      <c r="L50" t="str">
        <f>IF(VLOOKUP(H50,metric_dict!A:C,3,0)=0,"",VLOOKUP(H50,metric_dict!A:C,3,0))</f>
        <v/>
      </c>
      <c r="M50" t="str">
        <f>VLOOKUP(H50,metric_dict!A:AA,4,0)</f>
        <v>Коммуникация + ценность</v>
      </c>
      <c r="N50" t="str">
        <f>VLOOKUP(H50,metric_dict!A:AA,5,0)</f>
        <v>Проработать механики удержания клиентов</v>
      </c>
      <c r="O50">
        <f>VLOOKUP(H50,metric_dict!A:AA,6,0)</f>
        <v>5</v>
      </c>
      <c r="P50" t="s">
        <v>97</v>
      </c>
      <c r="Q50">
        <f>VLOOKUP(H50,metric_dict!A:AA,7,0)</f>
        <v>6</v>
      </c>
    </row>
    <row r="51" spans="1:17" x14ac:dyDescent="0.2">
      <c r="A51">
        <v>239</v>
      </c>
      <c r="B51">
        <v>240</v>
      </c>
      <c r="C51">
        <v>239</v>
      </c>
      <c r="D51">
        <v>238</v>
      </c>
      <c r="E51" t="s">
        <v>251</v>
      </c>
      <c r="F51" t="s">
        <v>49</v>
      </c>
      <c r="G51">
        <v>26</v>
      </c>
      <c r="H51" t="s">
        <v>265</v>
      </c>
      <c r="I51">
        <v>0</v>
      </c>
      <c r="J51">
        <v>0</v>
      </c>
      <c r="K51" t="str">
        <f>VLOOKUP(H51,metric_dict!A:B,2,0)</f>
        <v>Механики</v>
      </c>
      <c r="L51" t="str">
        <f>IF(VLOOKUP(H51,metric_dict!A:C,3,0)=0,"",VLOOKUP(H51,metric_dict!A:C,3,0))</f>
        <v/>
      </c>
      <c r="M51" t="str">
        <f>VLOOKUP(H51,metric_dict!A:AA,4,0)</f>
        <v>Настроен по ключевым механикам работы с клиентской базой</v>
      </c>
      <c r="N51" t="str">
        <f>VLOOKUP(H51,metric_dict!A:AA,5,0)</f>
        <v>Настроить мониторинг по ключевым механикам</v>
      </c>
      <c r="O51">
        <f>VLOOKUP(H51,metric_dict!A:AA,6,0)</f>
        <v>2</v>
      </c>
      <c r="P51" t="s">
        <v>97</v>
      </c>
      <c r="Q51">
        <f>VLOOKUP(H51,metric_dict!A:AA,7,0)</f>
        <v>22</v>
      </c>
    </row>
    <row r="52" spans="1:17" x14ac:dyDescent="0.2">
      <c r="A52">
        <v>239</v>
      </c>
      <c r="B52">
        <v>240</v>
      </c>
      <c r="C52">
        <v>239</v>
      </c>
      <c r="D52">
        <v>238</v>
      </c>
      <c r="E52" t="s">
        <v>251</v>
      </c>
      <c r="F52" t="s">
        <v>49</v>
      </c>
      <c r="G52">
        <v>27</v>
      </c>
      <c r="H52" t="s">
        <v>159</v>
      </c>
      <c r="I52">
        <v>0</v>
      </c>
      <c r="J52">
        <v>0.5</v>
      </c>
      <c r="K52" t="str">
        <f>VLOOKUP(H52,metric_dict!A:B,2,0)</f>
        <v>Механики</v>
      </c>
      <c r="L52" t="str">
        <f>IF(VLOOKUP(H52,metric_dict!A:C,3,0)=0,"",VLOOKUP(H52,metric_dict!A:C,3,0))</f>
        <v/>
      </c>
      <c r="M52" t="str">
        <f>VLOOKUP(H52,metric_dict!A:AA,4,0)</f>
        <v>Реактивация оттекающих клиентов</v>
      </c>
      <c r="N52" t="str">
        <f>VLOOKUP(H52,metric_dict!A:AA,5,0)</f>
        <v>Проработать механики реактивации клиентов</v>
      </c>
      <c r="O52">
        <f>VLOOKUP(H52,metric_dict!A:AA,6,0)</f>
        <v>5</v>
      </c>
      <c r="P52" t="s">
        <v>97</v>
      </c>
      <c r="Q52">
        <f>VLOOKUP(H52,metric_dict!A:AA,7,0)</f>
        <v>4</v>
      </c>
    </row>
    <row r="53" spans="1:17" x14ac:dyDescent="0.2">
      <c r="A53">
        <v>239</v>
      </c>
      <c r="B53">
        <v>240</v>
      </c>
      <c r="C53">
        <v>239</v>
      </c>
      <c r="D53">
        <v>238</v>
      </c>
      <c r="E53" t="s">
        <v>251</v>
      </c>
      <c r="F53" t="s">
        <v>49</v>
      </c>
      <c r="G53">
        <v>28</v>
      </c>
      <c r="H53" t="s">
        <v>159</v>
      </c>
      <c r="I53">
        <v>0</v>
      </c>
      <c r="J53">
        <v>0.5</v>
      </c>
      <c r="K53" t="str">
        <f>VLOOKUP(H53,metric_dict!A:B,2,0)</f>
        <v>Механики</v>
      </c>
      <c r="L53" t="str">
        <f>IF(VLOOKUP(H53,metric_dict!A:C,3,0)=0,"",VLOOKUP(H53,metric_dict!A:C,3,0))</f>
        <v/>
      </c>
      <c r="M53" t="str">
        <f>VLOOKUP(H53,metric_dict!A:AA,4,0)</f>
        <v>Реактивация оттекающих клиентов</v>
      </c>
      <c r="N53" t="str">
        <f>VLOOKUP(H53,metric_dict!A:AA,5,0)</f>
        <v>Проработать механики реактивации клиентов</v>
      </c>
      <c r="O53">
        <f>VLOOKUP(H53,metric_dict!A:AA,6,0)</f>
        <v>5</v>
      </c>
      <c r="P53" t="s">
        <v>97</v>
      </c>
      <c r="Q53">
        <f>VLOOKUP(H53,metric_dict!A:AA,7,0)</f>
        <v>4</v>
      </c>
    </row>
    <row r="54" spans="1:17" x14ac:dyDescent="0.2">
      <c r="A54">
        <v>239</v>
      </c>
      <c r="B54">
        <v>240</v>
      </c>
      <c r="C54">
        <v>239</v>
      </c>
      <c r="D54">
        <v>238</v>
      </c>
      <c r="E54" t="s">
        <v>251</v>
      </c>
      <c r="F54" t="s">
        <v>49</v>
      </c>
      <c r="G54">
        <v>29</v>
      </c>
      <c r="H54" t="s">
        <v>265</v>
      </c>
      <c r="I54">
        <v>0</v>
      </c>
      <c r="J54">
        <v>0</v>
      </c>
      <c r="K54" t="str">
        <f>VLOOKUP(H54,metric_dict!A:B,2,0)</f>
        <v>Механики</v>
      </c>
      <c r="L54" t="str">
        <f>IF(VLOOKUP(H54,metric_dict!A:C,3,0)=0,"",VLOOKUP(H54,metric_dict!A:C,3,0))</f>
        <v/>
      </c>
      <c r="M54" t="str">
        <f>VLOOKUP(H54,metric_dict!A:AA,4,0)</f>
        <v>Настроен по ключевым механикам работы с клиентской базой</v>
      </c>
      <c r="N54" t="str">
        <f>VLOOKUP(H54,metric_dict!A:AA,5,0)</f>
        <v>Настроить мониторинг по ключевым механикам</v>
      </c>
      <c r="O54">
        <f>VLOOKUP(H54,metric_dict!A:AA,6,0)</f>
        <v>2</v>
      </c>
      <c r="P54" t="s">
        <v>97</v>
      </c>
      <c r="Q54">
        <f>VLOOKUP(H54,metric_dict!A:AA,7,0)</f>
        <v>22</v>
      </c>
    </row>
    <row r="55" spans="1:17" x14ac:dyDescent="0.2">
      <c r="A55">
        <v>239</v>
      </c>
      <c r="B55">
        <v>240</v>
      </c>
      <c r="C55">
        <v>239</v>
      </c>
      <c r="D55">
        <v>238</v>
      </c>
      <c r="E55" t="s">
        <v>251</v>
      </c>
      <c r="F55" t="s">
        <v>49</v>
      </c>
      <c r="G55">
        <v>30</v>
      </c>
      <c r="H55" t="s">
        <v>162</v>
      </c>
      <c r="I55">
        <v>1</v>
      </c>
      <c r="J55">
        <v>1</v>
      </c>
      <c r="K55" t="str">
        <f>VLOOKUP(H55,metric_dict!A:B,2,0)</f>
        <v>Механики</v>
      </c>
      <c r="L55" t="str">
        <f>IF(VLOOKUP(H55,metric_dict!A:C,3,0)=0,"",VLOOKUP(H55,metric_dict!A:C,3,0))</f>
        <v/>
      </c>
      <c r="M55" t="str">
        <f>VLOOKUP(H55,metric_dict!A:AA,4,0)</f>
        <v>В оформлении и после покупки</v>
      </c>
      <c r="N55" t="str">
        <f>VLOOKUP(H55,metric_dict!A:AA,5,0)</f>
        <v>Проработать механики кросс-продаж</v>
      </c>
      <c r="O55">
        <f>VLOOKUP(H55,metric_dict!A:AA,6,0)</f>
        <v>5</v>
      </c>
      <c r="P55" t="s">
        <v>97</v>
      </c>
      <c r="Q55">
        <f>VLOOKUP(H55,metric_dict!A:AA,7,0)</f>
        <v>8</v>
      </c>
    </row>
    <row r="56" spans="1:17" x14ac:dyDescent="0.2">
      <c r="A56">
        <v>239</v>
      </c>
      <c r="B56">
        <v>240</v>
      </c>
      <c r="C56">
        <v>239</v>
      </c>
      <c r="D56">
        <v>238</v>
      </c>
      <c r="E56" t="s">
        <v>251</v>
      </c>
      <c r="F56" t="s">
        <v>49</v>
      </c>
      <c r="G56">
        <v>31</v>
      </c>
      <c r="H56" t="s">
        <v>162</v>
      </c>
      <c r="I56">
        <v>0</v>
      </c>
      <c r="J56">
        <v>0</v>
      </c>
      <c r="K56" t="str">
        <f>VLOOKUP(H56,metric_dict!A:B,2,0)</f>
        <v>Механики</v>
      </c>
      <c r="L56" t="str">
        <f>IF(VLOOKUP(H56,metric_dict!A:C,3,0)=0,"",VLOOKUP(H56,metric_dict!A:C,3,0))</f>
        <v/>
      </c>
      <c r="M56" t="str">
        <f>VLOOKUP(H56,metric_dict!A:AA,4,0)</f>
        <v>В оформлении и после покупки</v>
      </c>
      <c r="N56" t="str">
        <f>VLOOKUP(H56,metric_dict!A:AA,5,0)</f>
        <v>Проработать механики кросс-продаж</v>
      </c>
      <c r="O56">
        <f>VLOOKUP(H56,metric_dict!A:AA,6,0)</f>
        <v>5</v>
      </c>
      <c r="P56" t="s">
        <v>97</v>
      </c>
      <c r="Q56">
        <f>VLOOKUP(H56,metric_dict!A:AA,7,0)</f>
        <v>8</v>
      </c>
    </row>
    <row r="57" spans="1:17" x14ac:dyDescent="0.2">
      <c r="A57">
        <v>239</v>
      </c>
      <c r="B57">
        <v>240</v>
      </c>
      <c r="C57">
        <v>239</v>
      </c>
      <c r="D57">
        <v>238</v>
      </c>
      <c r="E57" t="s">
        <v>251</v>
      </c>
      <c r="F57" t="s">
        <v>49</v>
      </c>
      <c r="G57">
        <v>32</v>
      </c>
      <c r="H57" t="s">
        <v>162</v>
      </c>
      <c r="I57">
        <v>0</v>
      </c>
      <c r="J57">
        <v>0</v>
      </c>
      <c r="K57" t="str">
        <f>VLOOKUP(H57,metric_dict!A:B,2,0)</f>
        <v>Механики</v>
      </c>
      <c r="L57" t="str">
        <f>IF(VLOOKUP(H57,metric_dict!A:C,3,0)=0,"",VLOOKUP(H57,metric_dict!A:C,3,0))</f>
        <v/>
      </c>
      <c r="M57" t="str">
        <f>VLOOKUP(H57,metric_dict!A:AA,4,0)</f>
        <v>В оформлении и после покупки</v>
      </c>
      <c r="N57" t="str">
        <f>VLOOKUP(H57,metric_dict!A:AA,5,0)</f>
        <v>Проработать механики кросс-продаж</v>
      </c>
      <c r="O57">
        <f>VLOOKUP(H57,metric_dict!A:AA,6,0)</f>
        <v>5</v>
      </c>
      <c r="P57" t="s">
        <v>97</v>
      </c>
      <c r="Q57">
        <f>VLOOKUP(H57,metric_dict!A:AA,7,0)</f>
        <v>8</v>
      </c>
    </row>
    <row r="58" spans="1:17" x14ac:dyDescent="0.2">
      <c r="A58">
        <v>239</v>
      </c>
      <c r="B58">
        <v>240</v>
      </c>
      <c r="C58">
        <v>239</v>
      </c>
      <c r="D58">
        <v>238</v>
      </c>
      <c r="E58" t="s">
        <v>251</v>
      </c>
      <c r="F58" t="s">
        <v>49</v>
      </c>
      <c r="G58">
        <v>33</v>
      </c>
      <c r="H58" t="s">
        <v>363</v>
      </c>
      <c r="I58">
        <v>1</v>
      </c>
      <c r="J58">
        <v>1</v>
      </c>
      <c r="K58" t="str">
        <f>VLOOKUP(H58,metric_dict!A:B,2,0)</f>
        <v>Механики</v>
      </c>
      <c r="L58" t="str">
        <f>IF(VLOOKUP(H58,metric_dict!A:C,3,0)=0,"",VLOOKUP(H58,metric_dict!A:C,3,0))</f>
        <v/>
      </c>
      <c r="M58" t="str">
        <f>VLOOKUP(H58,metric_dict!A:AA,4,0)</f>
        <v>Переход клиента на более ценный продукт или расширенный пакет услуг</v>
      </c>
      <c r="N58" t="str">
        <f>VLOOKUP(H58,metric_dict!A:AA,5,0)</f>
        <v>Настроить мониторинг по ключевым механикам</v>
      </c>
      <c r="O58">
        <f>VLOOKUP(H58,metric_dict!A:AA,6,0)</f>
        <v>5</v>
      </c>
      <c r="P58" t="s">
        <v>97</v>
      </c>
      <c r="Q58">
        <f>VLOOKUP(H58,metric_dict!A:AA,7,0)</f>
        <v>10</v>
      </c>
    </row>
    <row r="59" spans="1:17" x14ac:dyDescent="0.2">
      <c r="A59">
        <v>239</v>
      </c>
      <c r="B59">
        <v>240</v>
      </c>
      <c r="C59">
        <v>239</v>
      </c>
      <c r="D59">
        <v>238</v>
      </c>
      <c r="E59" t="s">
        <v>251</v>
      </c>
      <c r="F59" t="s">
        <v>49</v>
      </c>
      <c r="G59">
        <v>34</v>
      </c>
      <c r="H59" t="s">
        <v>265</v>
      </c>
      <c r="I59">
        <v>0</v>
      </c>
      <c r="J59">
        <v>0</v>
      </c>
      <c r="K59" t="str">
        <f>VLOOKUP(H59,metric_dict!A:B,2,0)</f>
        <v>Механики</v>
      </c>
      <c r="L59" t="str">
        <f>IF(VLOOKUP(H59,metric_dict!A:C,3,0)=0,"",VLOOKUP(H59,metric_dict!A:C,3,0))</f>
        <v/>
      </c>
      <c r="M59" t="str">
        <f>VLOOKUP(H59,metric_dict!A:AA,4,0)</f>
        <v>Настроен по ключевым механикам работы с клиентской базой</v>
      </c>
      <c r="N59" t="str">
        <f>VLOOKUP(H59,metric_dict!A:AA,5,0)</f>
        <v>Настроить мониторинг по ключевым механикам</v>
      </c>
      <c r="O59">
        <f>VLOOKUP(H59,metric_dict!A:AA,6,0)</f>
        <v>2</v>
      </c>
      <c r="P59" t="s">
        <v>97</v>
      </c>
      <c r="Q59">
        <f>VLOOKUP(H59,metric_dict!A:AA,7,0)</f>
        <v>22</v>
      </c>
    </row>
    <row r="60" spans="1:17" x14ac:dyDescent="0.2">
      <c r="A60">
        <v>239</v>
      </c>
      <c r="B60">
        <v>240</v>
      </c>
      <c r="C60">
        <v>239</v>
      </c>
      <c r="D60">
        <v>238</v>
      </c>
      <c r="E60" t="s">
        <v>251</v>
      </c>
      <c r="F60" t="s">
        <v>49</v>
      </c>
      <c r="G60">
        <v>35</v>
      </c>
      <c r="H60" t="s">
        <v>165</v>
      </c>
      <c r="I60">
        <v>0.5</v>
      </c>
      <c r="J60">
        <v>1</v>
      </c>
      <c r="K60" t="str">
        <f>VLOOKUP(H60,metric_dict!A:B,2,0)</f>
        <v>Гипотезы и инициативы</v>
      </c>
      <c r="L60" t="str">
        <f>IF(VLOOKUP(H60,metric_dict!A:C,3,0)=0,"",VLOOKUP(H60,metric_dict!A:C,3,0))</f>
        <v/>
      </c>
      <c r="M60" t="str">
        <f>VLOOKUP(H60,metric_dict!A:AA,4,0)</f>
        <v>Доля исследовательских задач DA</v>
      </c>
      <c r="N60" t="str">
        <f>VLOOKUP(H60,metric_dict!A:AA,5,0)</f>
        <v>Сфокусировать бэклог аналитиков на research-задачи</v>
      </c>
      <c r="O60">
        <f>VLOOKUP(H60,metric_dict!A:AA,6,0)</f>
        <v>5</v>
      </c>
      <c r="P60" t="s">
        <v>97</v>
      </c>
      <c r="Q60">
        <f>VLOOKUP(H60,metric_dict!A:AA,7,0)</f>
        <v>1</v>
      </c>
    </row>
    <row r="61" spans="1:17" x14ac:dyDescent="0.2">
      <c r="A61">
        <v>239</v>
      </c>
      <c r="B61">
        <v>240</v>
      </c>
      <c r="C61">
        <v>239</v>
      </c>
      <c r="D61">
        <v>238</v>
      </c>
      <c r="E61" t="s">
        <v>251</v>
      </c>
      <c r="F61" t="s">
        <v>49</v>
      </c>
      <c r="G61">
        <v>36</v>
      </c>
      <c r="H61" t="s">
        <v>169</v>
      </c>
      <c r="I61">
        <v>0</v>
      </c>
      <c r="J61">
        <v>0</v>
      </c>
      <c r="K61" t="e">
        <f>VLOOKUP(H61,metric_dict!A:B,2,0)</f>
        <v>#N/A</v>
      </c>
      <c r="L61" t="e">
        <f>IF(VLOOKUP(H61,metric_dict!A:C,3,0)=0,"",VLOOKUP(H61,metric_dict!A:C,3,0))</f>
        <v>#N/A</v>
      </c>
      <c r="M61" t="e">
        <f>VLOOKUP(H61,metric_dict!A:AA,4,0)</f>
        <v>#N/A</v>
      </c>
      <c r="N61" t="e">
        <f>VLOOKUP(H61,metric_dict!A:AA,5,0)</f>
        <v>#N/A</v>
      </c>
      <c r="O61" t="e">
        <f>VLOOKUP(H61,metric_dict!A:AA,6,0)</f>
        <v>#N/A</v>
      </c>
      <c r="P61" t="s">
        <v>97</v>
      </c>
      <c r="Q61" t="e">
        <f>VLOOKUP(H61,metric_dict!A:AA,7,0)</f>
        <v>#N/A</v>
      </c>
    </row>
    <row r="62" spans="1:17" x14ac:dyDescent="0.2">
      <c r="A62">
        <v>239</v>
      </c>
      <c r="B62">
        <v>240</v>
      </c>
      <c r="C62">
        <v>239</v>
      </c>
      <c r="D62">
        <v>238</v>
      </c>
      <c r="E62" t="s">
        <v>251</v>
      </c>
      <c r="F62" t="s">
        <v>49</v>
      </c>
      <c r="G62">
        <v>38</v>
      </c>
      <c r="H62" t="s">
        <v>170</v>
      </c>
      <c r="I62">
        <v>0.5</v>
      </c>
      <c r="J62">
        <v>0.5</v>
      </c>
      <c r="K62" t="str">
        <f>VLOOKUP(H62,metric_dict!A:B,2,0)</f>
        <v>Воронка привлечения</v>
      </c>
      <c r="L62" t="str">
        <f>IF(VLOOKUP(H62,metric_dict!A:C,3,0)=0,"",VLOOKUP(H62,metric_dict!A:C,3,0))</f>
        <v/>
      </c>
      <c r="M62" t="str">
        <f>VLOOKUP(H62,metric_dict!A:AA,4,0)</f>
        <v>Self-service / кампейнинг, успешность</v>
      </c>
      <c r="N62" t="str">
        <f>VLOOKUP(H62,metric_dict!A:AA,5,0)</f>
        <v>Развитие кампейнинга</v>
      </c>
      <c r="O62">
        <f>VLOOKUP(H62,metric_dict!A:AA,6,0)</f>
        <v>2</v>
      </c>
      <c r="P62" t="s">
        <v>97</v>
      </c>
      <c r="Q62">
        <f>VLOOKUP(H62,metric_dict!A:AA,7,0)</f>
        <v>6</v>
      </c>
    </row>
    <row r="63" spans="1:17" x14ac:dyDescent="0.2">
      <c r="A63">
        <v>239</v>
      </c>
      <c r="B63">
        <v>240</v>
      </c>
      <c r="C63">
        <v>239</v>
      </c>
      <c r="D63">
        <v>238</v>
      </c>
      <c r="E63" t="s">
        <v>251</v>
      </c>
      <c r="F63" t="s">
        <v>49</v>
      </c>
      <c r="G63">
        <v>39</v>
      </c>
      <c r="H63" t="s">
        <v>170</v>
      </c>
      <c r="I63">
        <v>0.5</v>
      </c>
      <c r="J63">
        <v>0.5</v>
      </c>
      <c r="K63" t="str">
        <f>VLOOKUP(H63,metric_dict!A:B,2,0)</f>
        <v>Воронка привлечения</v>
      </c>
      <c r="L63" t="str">
        <f>IF(VLOOKUP(H63,metric_dict!A:C,3,0)=0,"",VLOOKUP(H63,metric_dict!A:C,3,0))</f>
        <v/>
      </c>
      <c r="M63" t="str">
        <f>VLOOKUP(H63,metric_dict!A:AA,4,0)</f>
        <v>Self-service / кампейнинг, успешность</v>
      </c>
      <c r="N63" t="str">
        <f>VLOOKUP(H63,metric_dict!A:AA,5,0)</f>
        <v>Развитие кампейнинга</v>
      </c>
      <c r="O63">
        <f>VLOOKUP(H63,metric_dict!A:AA,6,0)</f>
        <v>2</v>
      </c>
      <c r="P63" t="s">
        <v>97</v>
      </c>
      <c r="Q63">
        <f>VLOOKUP(H63,metric_dict!A:AA,7,0)</f>
        <v>6</v>
      </c>
    </row>
    <row r="64" spans="1:17" x14ac:dyDescent="0.2">
      <c r="A64">
        <v>239</v>
      </c>
      <c r="B64">
        <v>240</v>
      </c>
      <c r="C64">
        <v>239</v>
      </c>
      <c r="D64">
        <v>238</v>
      </c>
      <c r="E64" t="s">
        <v>251</v>
      </c>
      <c r="F64" t="s">
        <v>49</v>
      </c>
      <c r="G64">
        <v>40</v>
      </c>
      <c r="H64" t="s">
        <v>170</v>
      </c>
      <c r="I64">
        <v>0.5</v>
      </c>
      <c r="J64">
        <v>0.5</v>
      </c>
      <c r="K64" t="str">
        <f>VLOOKUP(H64,metric_dict!A:B,2,0)</f>
        <v>Воронка привлечения</v>
      </c>
      <c r="L64" t="str">
        <f>IF(VLOOKUP(H64,metric_dict!A:C,3,0)=0,"",VLOOKUP(H64,metric_dict!A:C,3,0))</f>
        <v/>
      </c>
      <c r="M64" t="str">
        <f>VLOOKUP(H64,metric_dict!A:AA,4,0)</f>
        <v>Self-service / кампейнинг, успешность</v>
      </c>
      <c r="N64" t="str">
        <f>VLOOKUP(H64,metric_dict!A:AA,5,0)</f>
        <v>Развитие кампейнинга</v>
      </c>
      <c r="O64">
        <f>VLOOKUP(H64,metric_dict!A:AA,6,0)</f>
        <v>2</v>
      </c>
      <c r="P64" t="s">
        <v>97</v>
      </c>
      <c r="Q64">
        <f>VLOOKUP(H64,metric_dict!A:AA,7,0)</f>
        <v>6</v>
      </c>
    </row>
    <row r="65" spans="1:17" x14ac:dyDescent="0.2">
      <c r="A65">
        <v>239</v>
      </c>
      <c r="B65">
        <v>240</v>
      </c>
      <c r="C65">
        <v>239</v>
      </c>
      <c r="D65">
        <v>238</v>
      </c>
      <c r="E65" t="s">
        <v>251</v>
      </c>
      <c r="F65" t="s">
        <v>49</v>
      </c>
      <c r="G65">
        <v>41</v>
      </c>
      <c r="H65" t="s">
        <v>173</v>
      </c>
      <c r="I65">
        <v>0</v>
      </c>
      <c r="J65">
        <v>1</v>
      </c>
      <c r="K65" t="str">
        <f>VLOOKUP(H65,metric_dict!A:B,2,0)</f>
        <v>Воронка привлечения</v>
      </c>
      <c r="L65" t="str">
        <f>IF(VLOOKUP(H65,metric_dict!A:C,3,0)=0,"",VLOOKUP(H65,metric_dict!A:C,3,0))</f>
        <v/>
      </c>
      <c r="M65" t="str">
        <f>VLOOKUP(H65,metric_dict!A:AA,4,0)</f>
        <v>Покрытие черновиков коммуникациями</v>
      </c>
      <c r="N65" t="str">
        <f>VLOOKUP(H65,metric_dict!A:AA,5,0)</f>
        <v>Увеличить покрытие черновиков</v>
      </c>
      <c r="O65">
        <f>VLOOKUP(H65,metric_dict!A:AA,6,0)</f>
        <v>5</v>
      </c>
      <c r="P65" t="s">
        <v>97</v>
      </c>
      <c r="Q65">
        <f>VLOOKUP(H65,metric_dict!A:AA,7,0)</f>
        <v>7</v>
      </c>
    </row>
    <row r="66" spans="1:17" x14ac:dyDescent="0.2">
      <c r="A66">
        <v>239</v>
      </c>
      <c r="B66">
        <v>240</v>
      </c>
      <c r="C66">
        <v>239</v>
      </c>
      <c r="D66">
        <v>238</v>
      </c>
      <c r="E66" t="s">
        <v>251</v>
      </c>
      <c r="F66" t="s">
        <v>49</v>
      </c>
      <c r="G66">
        <v>42</v>
      </c>
      <c r="H66" t="s">
        <v>176</v>
      </c>
      <c r="I66">
        <v>1</v>
      </c>
      <c r="J66">
        <v>1</v>
      </c>
      <c r="K66" t="str">
        <f>VLOOKUP(H66,metric_dict!A:B,2,0)</f>
        <v>Клиентский опыт</v>
      </c>
      <c r="L66" t="str">
        <f>IF(VLOOKUP(H66,metric_dict!A:C,3,0)=0,"",VLOOKUP(H66,metric_dict!A:C,3,0))</f>
        <v/>
      </c>
      <c r="M66" t="str">
        <f>VLOOKUP(H66,metric_dict!A:AA,4,0)</f>
        <v>Зелёная зона клиентского пути</v>
      </c>
      <c r="N66" t="str">
        <f>VLOOKUP(H66,metric_dict!A:AA,5,0)</f>
        <v>Достигнуть целевого CX Score</v>
      </c>
      <c r="O66">
        <f>VLOOKUP(H66,metric_dict!A:AA,6,0)</f>
        <v>5</v>
      </c>
      <c r="P66" t="s">
        <v>97</v>
      </c>
      <c r="Q66">
        <f>VLOOKUP(H66,metric_dict!A:AA,7,0)</f>
        <v>1</v>
      </c>
    </row>
    <row r="67" spans="1:17" x14ac:dyDescent="0.2">
      <c r="A67">
        <v>239</v>
      </c>
      <c r="B67">
        <v>240</v>
      </c>
      <c r="C67">
        <v>239</v>
      </c>
      <c r="D67">
        <v>238</v>
      </c>
      <c r="E67" t="s">
        <v>251</v>
      </c>
      <c r="F67" t="s">
        <v>49</v>
      </c>
      <c r="G67">
        <v>43</v>
      </c>
      <c r="H67" t="s">
        <v>179</v>
      </c>
      <c r="I67">
        <v>0</v>
      </c>
      <c r="J67">
        <v>0</v>
      </c>
      <c r="K67" t="str">
        <f>VLOOKUP(H67,metric_dict!A:B,2,0)</f>
        <v>Гипотезы и инициативы</v>
      </c>
      <c r="L67" t="str">
        <f>IF(VLOOKUP(H67,metric_dict!A:C,3,0)=0,"",VLOOKUP(H67,metric_dict!A:C,3,0))</f>
        <v/>
      </c>
      <c r="M67" t="str">
        <f>VLOOKUP(H67,metric_dict!A:AA,4,0)</f>
        <v>Проведение A/B тестов</v>
      </c>
      <c r="N67" t="str">
        <f>VLOOKUP(H67,metric_dict!A:AA,5,0)</f>
        <v>Запустить A/B-тестирование</v>
      </c>
      <c r="O67">
        <f>VLOOKUP(H67,metric_dict!A:AA,6,0)</f>
        <v>5</v>
      </c>
      <c r="P67" t="s">
        <v>97</v>
      </c>
      <c r="Q67">
        <f>VLOOKUP(H67,metric_dict!A:AA,7,0)</f>
        <v>3</v>
      </c>
    </row>
    <row r="68" spans="1:17" x14ac:dyDescent="0.2">
      <c r="A68">
        <v>239</v>
      </c>
      <c r="B68">
        <v>240</v>
      </c>
      <c r="C68">
        <v>239</v>
      </c>
      <c r="D68">
        <v>238</v>
      </c>
      <c r="E68" t="s">
        <v>251</v>
      </c>
      <c r="F68" t="s">
        <v>49</v>
      </c>
      <c r="G68">
        <v>44</v>
      </c>
      <c r="H68" t="s">
        <v>182</v>
      </c>
      <c r="I68">
        <v>0</v>
      </c>
      <c r="J68">
        <v>1</v>
      </c>
      <c r="K68" t="str">
        <f>VLOOKUP(H68,metric_dict!A:B,2,0)</f>
        <v>Гипотезы и инициативы</v>
      </c>
      <c r="L68" t="str">
        <f>IF(VLOOKUP(H68,metric_dict!A:C,3,0)=0,"",VLOOKUP(H68,metric_dict!A:C,3,0))</f>
        <v/>
      </c>
      <c r="M68" t="str">
        <f>VLOOKUP(H68,metric_dict!A:AA,4,0)</f>
        <v>Средняя оценка проведенных исследований</v>
      </c>
      <c r="N68" t="str">
        <f>VLOOKUP(H68,metric_dict!A:AA,5,0)</f>
        <v>Повысить качество проведенных исследований</v>
      </c>
      <c r="O68">
        <f>VLOOKUP(H68,metric_dict!A:AA,6,0)</f>
        <v>5</v>
      </c>
      <c r="P68" t="s">
        <v>97</v>
      </c>
      <c r="Q68">
        <f>VLOOKUP(H68,metric_dict!A:AA,7,0)</f>
        <v>2</v>
      </c>
    </row>
    <row r="69" spans="1:17" x14ac:dyDescent="0.2">
      <c r="A69">
        <v>239</v>
      </c>
      <c r="B69">
        <v>240</v>
      </c>
      <c r="C69">
        <v>239</v>
      </c>
      <c r="D69">
        <v>238</v>
      </c>
      <c r="E69" t="s">
        <v>251</v>
      </c>
      <c r="F69" t="s">
        <v>49</v>
      </c>
      <c r="G69">
        <v>45</v>
      </c>
      <c r="H69" t="s">
        <v>185</v>
      </c>
      <c r="I69">
        <v>1</v>
      </c>
      <c r="J69">
        <v>1</v>
      </c>
      <c r="K69" t="str">
        <f>VLOOKUP(H69,metric_dict!A:B,2,0)</f>
        <v>Гипотезы и инициативы</v>
      </c>
      <c r="L69" t="str">
        <f>IF(VLOOKUP(H69,metric_dict!A:C,3,0)=0,"",VLOOKUP(H69,metric_dict!A:C,3,0))</f>
        <v/>
      </c>
      <c r="M69" t="str">
        <f>VLOOKUP(H69,metric_dict!A:AA,4,0)</f>
        <v>В реестре инициатив</v>
      </c>
      <c r="N69" t="str">
        <f>VLOOKUP(H69,metric_dict!A:AA,5,0)</f>
        <v>Сформировать перечень инициатив</v>
      </c>
      <c r="O69">
        <f>VLOOKUP(H69,metric_dict!A:AA,6,0)</f>
        <v>3</v>
      </c>
      <c r="P69" t="s">
        <v>97</v>
      </c>
      <c r="Q69">
        <f>VLOOKUP(H69,metric_dict!A:AA,7,0)</f>
        <v>4</v>
      </c>
    </row>
    <row r="70" spans="1:17" x14ac:dyDescent="0.2">
      <c r="A70">
        <v>239</v>
      </c>
      <c r="B70">
        <v>240</v>
      </c>
      <c r="C70">
        <v>239</v>
      </c>
      <c r="D70">
        <v>238</v>
      </c>
      <c r="E70" t="s">
        <v>251</v>
      </c>
      <c r="F70" t="s">
        <v>49</v>
      </c>
      <c r="G70">
        <v>47</v>
      </c>
      <c r="H70" t="s">
        <v>187</v>
      </c>
      <c r="I70">
        <v>0</v>
      </c>
      <c r="J70">
        <v>0.2</v>
      </c>
      <c r="K70" t="str">
        <f>VLOOKUP(H70,metric_dict!A:B,2,0)</f>
        <v>Знание ключевых метрик</v>
      </c>
      <c r="L70" t="str">
        <f>IF(VLOOKUP(H70,metric_dict!A:C,3,0)=0,"",VLOOKUP(H70,metric_dict!A:C,3,0))</f>
        <v/>
      </c>
      <c r="M70" t="str">
        <f>VLOOKUP(H70,metric_dict!A:AA,4,0)</f>
        <v>Оценка потенциального объема клиентов в Сбере</v>
      </c>
      <c r="N70" t="str">
        <f>VLOOKUP(H70,metric_dict!A:AA,5,0)</f>
        <v>Знание метрик и инструментов</v>
      </c>
      <c r="O70">
        <f>VLOOKUP(H70,metric_dict!A:AA,6,0)</f>
        <v>1</v>
      </c>
      <c r="P70" t="s">
        <v>97</v>
      </c>
      <c r="Q70">
        <f>VLOOKUP(H70,metric_dict!A:AA,7,0)</f>
        <v>2</v>
      </c>
    </row>
    <row r="71" spans="1:17" x14ac:dyDescent="0.2">
      <c r="A71">
        <v>239</v>
      </c>
      <c r="B71">
        <v>240</v>
      </c>
      <c r="C71">
        <v>239</v>
      </c>
      <c r="D71">
        <v>238</v>
      </c>
      <c r="E71" t="s">
        <v>251</v>
      </c>
      <c r="F71" t="s">
        <v>49</v>
      </c>
      <c r="G71">
        <v>48</v>
      </c>
      <c r="H71" t="s">
        <v>189</v>
      </c>
      <c r="I71">
        <v>0.2</v>
      </c>
      <c r="J71">
        <v>0.2</v>
      </c>
      <c r="K71" t="str">
        <f>VLOOKUP(H71,metric_dict!A:B,2,0)</f>
        <v>Знание ключевых метрик</v>
      </c>
      <c r="L71" t="str">
        <f>IF(VLOOKUP(H71,metric_dict!A:C,3,0)=0,"",VLOOKUP(H71,metric_dict!A:C,3,0))</f>
        <v/>
      </c>
      <c r="M71" t="str">
        <f>VLOOKUP(H71,metric_dict!A:AA,4,0)</f>
        <v>Фактическая база клиентов продукта</v>
      </c>
      <c r="N71" t="str">
        <f>VLOOKUP(H71,metric_dict!A:AA,5,0)</f>
        <v>Знание метрик и инструментов</v>
      </c>
      <c r="O71">
        <f>VLOOKUP(H71,metric_dict!A:AA,6,0)</f>
        <v>1</v>
      </c>
      <c r="P71" t="s">
        <v>97</v>
      </c>
      <c r="Q71">
        <f>VLOOKUP(H71,metric_dict!A:AA,7,0)</f>
        <v>3</v>
      </c>
    </row>
    <row r="72" spans="1:17" x14ac:dyDescent="0.2">
      <c r="A72">
        <v>239</v>
      </c>
      <c r="B72">
        <v>240</v>
      </c>
      <c r="C72">
        <v>239</v>
      </c>
      <c r="D72">
        <v>238</v>
      </c>
      <c r="E72" t="s">
        <v>251</v>
      </c>
      <c r="F72" t="s">
        <v>49</v>
      </c>
      <c r="G72">
        <v>49</v>
      </c>
      <c r="H72" t="s">
        <v>191</v>
      </c>
      <c r="I72">
        <v>0.2</v>
      </c>
      <c r="J72">
        <v>0.2</v>
      </c>
      <c r="K72" t="str">
        <f>VLOOKUP(H72,metric_dict!A:B,2,0)</f>
        <v>Знание ключевых метрик</v>
      </c>
      <c r="L72" t="str">
        <f>IF(VLOOKUP(H72,metric_dict!A:C,3,0)=0,"",VLOOKUP(H72,metric_dict!A:C,3,0))</f>
        <v/>
      </c>
      <c r="M72" t="str">
        <f>VLOOKUP(H72,metric_dict!A:AA,4,0)</f>
        <v>Активная месячная аудитория продукта</v>
      </c>
      <c r="N72" t="str">
        <f>VLOOKUP(H72,metric_dict!A:AA,5,0)</f>
        <v>Знание метрик и инструментов</v>
      </c>
      <c r="O72">
        <f>VLOOKUP(H72,metric_dict!A:AA,6,0)</f>
        <v>1</v>
      </c>
      <c r="P72" t="s">
        <v>97</v>
      </c>
      <c r="Q72">
        <f>VLOOKUP(H72,metric_dict!A:AA,7,0)</f>
        <v>4</v>
      </c>
    </row>
    <row r="73" spans="1:17" x14ac:dyDescent="0.2">
      <c r="A73">
        <v>239</v>
      </c>
      <c r="B73">
        <v>240</v>
      </c>
      <c r="C73">
        <v>239</v>
      </c>
      <c r="D73">
        <v>238</v>
      </c>
      <c r="E73" t="s">
        <v>251</v>
      </c>
      <c r="F73" t="s">
        <v>49</v>
      </c>
      <c r="G73">
        <v>50</v>
      </c>
      <c r="H73" t="s">
        <v>193</v>
      </c>
      <c r="I73">
        <v>0.1</v>
      </c>
      <c r="J73">
        <v>0.1</v>
      </c>
      <c r="K73" t="str">
        <f>VLOOKUP(H73,metric_dict!A:B,2,0)</f>
        <v>Знание ключевых метрик</v>
      </c>
      <c r="L73" t="str">
        <f>IF(VLOOKUP(H73,metric_dict!A:C,3,0)=0,"",VLOOKUP(H73,metric_dict!A:C,3,0))</f>
        <v/>
      </c>
      <c r="M73" t="str">
        <f>VLOOKUP(H73,metric_dict!A:AA,4,0)</f>
        <v>Понимание связанных продуктов и сценариев</v>
      </c>
      <c r="N73" t="str">
        <f>VLOOKUP(H73,metric_dict!A:AA,5,0)</f>
        <v>Знание метрик и инструментов</v>
      </c>
      <c r="O73">
        <f>VLOOKUP(H73,metric_dict!A:AA,6,0)</f>
        <v>1</v>
      </c>
      <c r="P73" t="s">
        <v>97</v>
      </c>
      <c r="Q73">
        <f>VLOOKUP(H73,metric_dict!A:AA,7,0)</f>
        <v>12</v>
      </c>
    </row>
    <row r="74" spans="1:17" x14ac:dyDescent="0.2">
      <c r="A74">
        <v>239</v>
      </c>
      <c r="B74">
        <v>240</v>
      </c>
      <c r="C74">
        <v>239</v>
      </c>
      <c r="D74">
        <v>238</v>
      </c>
      <c r="E74" t="s">
        <v>251</v>
      </c>
      <c r="F74" t="s">
        <v>49</v>
      </c>
      <c r="G74">
        <v>51</v>
      </c>
      <c r="H74" t="s">
        <v>193</v>
      </c>
      <c r="I74">
        <v>0.1</v>
      </c>
      <c r="J74">
        <v>0.1</v>
      </c>
      <c r="K74" t="str">
        <f>VLOOKUP(H74,metric_dict!A:B,2,0)</f>
        <v>Знание ключевых метрик</v>
      </c>
      <c r="L74" t="str">
        <f>IF(VLOOKUP(H74,metric_dict!A:C,3,0)=0,"",VLOOKUP(H74,metric_dict!A:C,3,0))</f>
        <v/>
      </c>
      <c r="M74" t="str">
        <f>VLOOKUP(H74,metric_dict!A:AA,4,0)</f>
        <v>Понимание связанных продуктов и сценариев</v>
      </c>
      <c r="N74" t="str">
        <f>VLOOKUP(H74,metric_dict!A:AA,5,0)</f>
        <v>Знание метрик и инструментов</v>
      </c>
      <c r="O74">
        <f>VLOOKUP(H74,metric_dict!A:AA,6,0)</f>
        <v>1</v>
      </c>
      <c r="P74" t="s">
        <v>97</v>
      </c>
      <c r="Q74">
        <f>VLOOKUP(H74,metric_dict!A:AA,7,0)</f>
        <v>12</v>
      </c>
    </row>
    <row r="75" spans="1:17" x14ac:dyDescent="0.2">
      <c r="A75">
        <v>239</v>
      </c>
      <c r="B75">
        <v>240</v>
      </c>
      <c r="C75">
        <v>239</v>
      </c>
      <c r="D75">
        <v>238</v>
      </c>
      <c r="E75" t="s">
        <v>251</v>
      </c>
      <c r="F75" t="s">
        <v>49</v>
      </c>
      <c r="G75">
        <v>97</v>
      </c>
      <c r="H75" t="s">
        <v>265</v>
      </c>
      <c r="I75">
        <v>0.25</v>
      </c>
      <c r="J75">
        <v>0.25</v>
      </c>
      <c r="K75" t="str">
        <f>VLOOKUP(H75,metric_dict!A:B,2,0)</f>
        <v>Механики</v>
      </c>
      <c r="L75" t="str">
        <f>IF(VLOOKUP(H75,metric_dict!A:C,3,0)=0,"",VLOOKUP(H75,metric_dict!A:C,3,0))</f>
        <v/>
      </c>
      <c r="M75" t="str">
        <f>VLOOKUP(H75,metric_dict!A:AA,4,0)</f>
        <v>Настроен по ключевым механикам работы с клиентской базой</v>
      </c>
      <c r="N75" t="str">
        <f>VLOOKUP(H75,metric_dict!A:AA,5,0)</f>
        <v>Настроить мониторинг по ключевым механикам</v>
      </c>
      <c r="O75">
        <f>VLOOKUP(H75,metric_dict!A:AA,6,0)</f>
        <v>2</v>
      </c>
      <c r="P75" t="s">
        <v>97</v>
      </c>
      <c r="Q75">
        <f>VLOOKUP(H75,metric_dict!A:AA,7,0)</f>
        <v>22</v>
      </c>
    </row>
    <row r="76" spans="1:17" x14ac:dyDescent="0.2">
      <c r="A76">
        <v>239</v>
      </c>
      <c r="B76">
        <v>240</v>
      </c>
      <c r="C76">
        <v>239</v>
      </c>
      <c r="D76">
        <v>238</v>
      </c>
      <c r="E76" t="s">
        <v>251</v>
      </c>
      <c r="F76" t="s">
        <v>49</v>
      </c>
      <c r="G76">
        <v>96</v>
      </c>
      <c r="H76" t="s">
        <v>265</v>
      </c>
      <c r="I76">
        <v>0</v>
      </c>
      <c r="J76">
        <v>0</v>
      </c>
      <c r="K76" t="str">
        <f>VLOOKUP(H76,metric_dict!A:B,2,0)</f>
        <v>Механики</v>
      </c>
      <c r="L76" t="str">
        <f>IF(VLOOKUP(H76,metric_dict!A:C,3,0)=0,"",VLOOKUP(H76,metric_dict!A:C,3,0))</f>
        <v/>
      </c>
      <c r="M76" t="str">
        <f>VLOOKUP(H76,metric_dict!A:AA,4,0)</f>
        <v>Настроен по ключевым механикам работы с клиентской базой</v>
      </c>
      <c r="N76" t="str">
        <f>VLOOKUP(H76,metric_dict!A:AA,5,0)</f>
        <v>Настроить мониторинг по ключевым механикам</v>
      </c>
      <c r="O76">
        <f>VLOOKUP(H76,metric_dict!A:AA,6,0)</f>
        <v>2</v>
      </c>
      <c r="P76" t="s">
        <v>97</v>
      </c>
      <c r="Q76">
        <f>VLOOKUP(H76,metric_dict!A:AA,7,0)</f>
        <v>22</v>
      </c>
    </row>
    <row r="77" spans="1:17" x14ac:dyDescent="0.2">
      <c r="A77">
        <v>239</v>
      </c>
      <c r="B77">
        <v>240</v>
      </c>
      <c r="C77">
        <v>239</v>
      </c>
      <c r="D77">
        <v>238</v>
      </c>
      <c r="E77" t="s">
        <v>251</v>
      </c>
      <c r="F77" t="s">
        <v>49</v>
      </c>
      <c r="G77">
        <v>99</v>
      </c>
      <c r="H77" t="s">
        <v>265</v>
      </c>
      <c r="I77">
        <v>0</v>
      </c>
      <c r="J77">
        <v>0</v>
      </c>
      <c r="K77" t="str">
        <f>VLOOKUP(H77,metric_dict!A:B,2,0)</f>
        <v>Механики</v>
      </c>
      <c r="L77" t="str">
        <f>IF(VLOOKUP(H77,metric_dict!A:C,3,0)=0,"",VLOOKUP(H77,metric_dict!A:C,3,0))</f>
        <v/>
      </c>
      <c r="M77" t="str">
        <f>VLOOKUP(H77,metric_dict!A:AA,4,0)</f>
        <v>Настроен по ключевым механикам работы с клиентской базой</v>
      </c>
      <c r="N77" t="str">
        <f>VLOOKUP(H77,metric_dict!A:AA,5,0)</f>
        <v>Настроить мониторинг по ключевым механикам</v>
      </c>
      <c r="O77">
        <f>VLOOKUP(H77,metric_dict!A:AA,6,0)</f>
        <v>2</v>
      </c>
      <c r="P77" t="s">
        <v>97</v>
      </c>
      <c r="Q77">
        <f>VLOOKUP(H77,metric_dict!A:AA,7,0)</f>
        <v>22</v>
      </c>
    </row>
    <row r="78" spans="1:17" x14ac:dyDescent="0.2">
      <c r="A78">
        <v>239</v>
      </c>
      <c r="B78">
        <v>240</v>
      </c>
      <c r="C78">
        <v>239</v>
      </c>
      <c r="D78">
        <v>238</v>
      </c>
      <c r="E78" t="s">
        <v>251</v>
      </c>
      <c r="F78" t="s">
        <v>49</v>
      </c>
      <c r="G78">
        <v>98</v>
      </c>
      <c r="H78" t="s">
        <v>204</v>
      </c>
      <c r="I78">
        <v>0</v>
      </c>
      <c r="J78">
        <v>1</v>
      </c>
      <c r="K78" t="str">
        <f>VLOOKUP(H78,metric_dict!A:B,2,0)</f>
        <v>Механики</v>
      </c>
      <c r="L78" t="str">
        <f>IF(VLOOKUP(H78,metric_dict!A:C,3,0)=0,"",VLOOKUP(H78,metric_dict!A:C,3,0))</f>
        <v/>
      </c>
      <c r="M78" t="str">
        <f>VLOOKUP(H78,metric_dict!A:AA,4,0)</f>
        <v>Возможность изменить набор опций по продукту без IT-разработки</v>
      </c>
      <c r="N78" t="str">
        <f>VLOOKUP(H78,metric_dict!A:AA,5,0)</f>
        <v>Выстроить процесс гибкого изменения условий без IT</v>
      </c>
      <c r="O78">
        <f>VLOOKUP(H78,metric_dict!A:AA,6,0)</f>
        <v>10</v>
      </c>
      <c r="P78" t="s">
        <v>97</v>
      </c>
      <c r="Q78">
        <f>VLOOKUP(H78,metric_dict!A:AA,7,0)</f>
        <v>7</v>
      </c>
    </row>
    <row r="79" spans="1:17" x14ac:dyDescent="0.2">
      <c r="A79">
        <v>229</v>
      </c>
      <c r="B79">
        <v>230</v>
      </c>
      <c r="C79">
        <v>229</v>
      </c>
      <c r="D79">
        <v>228</v>
      </c>
      <c r="E79" t="s">
        <v>251</v>
      </c>
      <c r="F79" t="s">
        <v>47</v>
      </c>
      <c r="G79">
        <v>1</v>
      </c>
      <c r="H79" t="s">
        <v>92</v>
      </c>
      <c r="I79">
        <v>0</v>
      </c>
      <c r="J79">
        <v>0.2</v>
      </c>
      <c r="K79" t="str">
        <f>VLOOKUP(H79,metric_dict!A:B,2,0)</f>
        <v>Знание ключевых метрик</v>
      </c>
      <c r="L79" t="str">
        <f>IF(VLOOKUP(H79,metric_dict!A:C,3,0)=0,"",VLOOKUP(H79,metric_dict!A:C,3,0))</f>
        <v/>
      </c>
      <c r="M79" t="str">
        <f>VLOOKUP(H79,metric_dict!A:AA,4,0)</f>
        <v>Оценка потенциального объема клиентов в России</v>
      </c>
      <c r="N79" t="str">
        <f>VLOOKUP(H79,metric_dict!A:AA,5,0)</f>
        <v>Знание метрик и инструментов</v>
      </c>
      <c r="O79">
        <f>VLOOKUP(H79,metric_dict!A:AA,6,0)</f>
        <v>1</v>
      </c>
      <c r="P79" t="s">
        <v>97</v>
      </c>
      <c r="Q79">
        <f>VLOOKUP(H79,metric_dict!A:AA,7,0)</f>
        <v>1</v>
      </c>
    </row>
    <row r="80" spans="1:17" x14ac:dyDescent="0.2">
      <c r="A80">
        <v>229</v>
      </c>
      <c r="B80">
        <v>230</v>
      </c>
      <c r="C80">
        <v>229</v>
      </c>
      <c r="D80">
        <v>228</v>
      </c>
      <c r="E80" t="s">
        <v>251</v>
      </c>
      <c r="F80" t="s">
        <v>47</v>
      </c>
      <c r="G80">
        <v>2</v>
      </c>
      <c r="H80" t="s">
        <v>98</v>
      </c>
      <c r="I80">
        <v>0.25</v>
      </c>
      <c r="J80">
        <v>0.5</v>
      </c>
      <c r="K80" t="str">
        <f>VLOOKUP(H80,metric_dict!A:B,2,0)</f>
        <v>Знание ключевых метрик</v>
      </c>
      <c r="L80" t="str">
        <f>IF(VLOOKUP(H80,metric_dict!A:C,3,0)=0,"",VLOOKUP(H80,metric_dict!A:C,3,0))</f>
        <v/>
      </c>
      <c r="M80" t="str">
        <f>VLOOKUP(H80,metric_dict!A:AA,4,0)</f>
        <v>Понимание доступной отчетности и регулярного мониторинга</v>
      </c>
      <c r="N80" t="str">
        <f>VLOOKUP(H80,metric_dict!A:AA,5,0)</f>
        <v>Знание метрик и инструментов</v>
      </c>
      <c r="O80">
        <f>VLOOKUP(H80,metric_dict!A:AA,6,0)</f>
        <v>1</v>
      </c>
      <c r="P80" t="s">
        <v>97</v>
      </c>
      <c r="Q80">
        <f>VLOOKUP(H80,metric_dict!A:AA,7,0)</f>
        <v>13</v>
      </c>
    </row>
    <row r="81" spans="1:17" x14ac:dyDescent="0.2">
      <c r="A81">
        <v>229</v>
      </c>
      <c r="B81">
        <v>230</v>
      </c>
      <c r="C81">
        <v>229</v>
      </c>
      <c r="D81">
        <v>228</v>
      </c>
      <c r="E81" t="s">
        <v>251</v>
      </c>
      <c r="F81" t="s">
        <v>47</v>
      </c>
      <c r="G81">
        <v>3</v>
      </c>
      <c r="H81" t="s">
        <v>100</v>
      </c>
      <c r="I81">
        <v>0.5</v>
      </c>
      <c r="J81">
        <v>1</v>
      </c>
      <c r="K81" t="str">
        <f>VLOOKUP(H81,metric_dict!A:B,2,0)</f>
        <v>Цели</v>
      </c>
      <c r="L81" t="str">
        <f>IF(VLOOKUP(H81,metric_dict!A:C,3,0)=0,"",VLOOKUP(H81,metric_dict!A:C,3,0))</f>
        <v/>
      </c>
      <c r="M81" t="str">
        <f>VLOOKUP(H81,metric_dict!A:AA,4,0)</f>
        <v>Регулярное обновление в Навигаторе</v>
      </c>
      <c r="N81" t="str">
        <f>VLOOKUP(H81,metric_dict!A:AA,5,0)</f>
        <v>Обогащение целей/драйверов/прогнозов в Навигаторе</v>
      </c>
      <c r="O81">
        <f>VLOOKUP(H81,metric_dict!A:AA,6,0)</f>
        <v>2</v>
      </c>
      <c r="P81" t="s">
        <v>97</v>
      </c>
      <c r="Q81">
        <f>VLOOKUP(H81,metric_dict!A:AA,7,0)</f>
        <v>1</v>
      </c>
    </row>
    <row r="82" spans="1:17" x14ac:dyDescent="0.2">
      <c r="A82">
        <v>229</v>
      </c>
      <c r="B82">
        <v>230</v>
      </c>
      <c r="C82">
        <v>229</v>
      </c>
      <c r="D82">
        <v>228</v>
      </c>
      <c r="E82" t="s">
        <v>251</v>
      </c>
      <c r="F82" t="s">
        <v>47</v>
      </c>
      <c r="G82">
        <v>4</v>
      </c>
      <c r="H82" t="s">
        <v>104</v>
      </c>
      <c r="I82">
        <v>0</v>
      </c>
      <c r="J82">
        <v>1</v>
      </c>
      <c r="K82" t="str">
        <f>VLOOKUP(H82,metric_dict!A:B,2,0)</f>
        <v>Цели</v>
      </c>
      <c r="L82" t="str">
        <f>IF(VLOOKUP(H82,metric_dict!A:C,3,0)=0,"",VLOOKUP(H82,metric_dict!A:C,3,0))</f>
        <v/>
      </c>
      <c r="M82" t="str">
        <f>VLOOKUP(H82,metric_dict!A:AA,4,0)</f>
        <v>Согласно модели бизнес-процесса</v>
      </c>
      <c r="N82" t="str">
        <f>VLOOKUP(H82,metric_dict!A:AA,5,0)</f>
        <v>Декомпозировать значения целей на драйверы</v>
      </c>
      <c r="O82">
        <f>VLOOKUP(H82,metric_dict!A:AA,6,0)</f>
        <v>7</v>
      </c>
      <c r="P82" t="s">
        <v>97</v>
      </c>
      <c r="Q82">
        <f>VLOOKUP(H82,metric_dict!A:AA,7,0)</f>
        <v>2</v>
      </c>
    </row>
    <row r="83" spans="1:17" x14ac:dyDescent="0.2">
      <c r="A83">
        <v>229</v>
      </c>
      <c r="B83">
        <v>230</v>
      </c>
      <c r="C83">
        <v>229</v>
      </c>
      <c r="D83">
        <v>228</v>
      </c>
      <c r="E83" t="s">
        <v>251</v>
      </c>
      <c r="F83" t="s">
        <v>47</v>
      </c>
      <c r="G83">
        <v>5</v>
      </c>
      <c r="H83" t="s">
        <v>108</v>
      </c>
      <c r="I83">
        <v>0.5</v>
      </c>
      <c r="J83">
        <v>1</v>
      </c>
      <c r="K83" t="str">
        <f>VLOOKUP(H83,metric_dict!A:B,2,0)</f>
        <v>Цели</v>
      </c>
      <c r="L83" t="str">
        <f>IF(VLOOKUP(H83,metric_dict!A:C,3,0)=0,"",VLOOKUP(H83,metric_dict!A:C,3,0))</f>
        <v/>
      </c>
      <c r="M83" t="str">
        <f>VLOOKUP(H83,metric_dict!A:AA,4,0)</f>
        <v>Прогноз выведен в Навигатор</v>
      </c>
      <c r="N83" t="str">
        <f>VLOOKUP(H83,metric_dict!A:AA,5,0)</f>
        <v>Сформировать прогнозные значения по целям</v>
      </c>
      <c r="O83">
        <f>VLOOKUP(H83,metric_dict!A:AA,6,0)</f>
        <v>8</v>
      </c>
      <c r="P83" t="s">
        <v>97</v>
      </c>
      <c r="Q83">
        <f>VLOOKUP(H83,metric_dict!A:AA,7,0)</f>
        <v>3</v>
      </c>
    </row>
    <row r="84" spans="1:17" x14ac:dyDescent="0.2">
      <c r="A84">
        <v>229</v>
      </c>
      <c r="B84">
        <v>230</v>
      </c>
      <c r="C84">
        <v>229</v>
      </c>
      <c r="D84">
        <v>228</v>
      </c>
      <c r="E84" t="s">
        <v>251</v>
      </c>
      <c r="F84" t="s">
        <v>47</v>
      </c>
      <c r="G84">
        <v>9</v>
      </c>
      <c r="H84" t="s">
        <v>111</v>
      </c>
      <c r="I84">
        <v>0.5</v>
      </c>
      <c r="J84">
        <v>0.5</v>
      </c>
      <c r="K84" t="str">
        <f>VLOOKUP(H84,metric_dict!A:B,2,0)</f>
        <v>Воронка привлечения</v>
      </c>
      <c r="L84" t="str">
        <f>IF(VLOOKUP(H84,metric_dict!A:C,3,0)=0,"",VLOOKUP(H84,metric_dict!A:C,3,0))</f>
        <v>Отчетность</v>
      </c>
      <c r="M84" t="str">
        <f>VLOOKUP(H84,metric_dict!A:AA,4,0)</f>
        <v>Настроена по воронке</v>
      </c>
      <c r="N84" t="str">
        <f>VLOOKUP(H84,metric_dict!A:AA,5,0)</f>
        <v>Настроить мониторинг по воронке привлечения</v>
      </c>
      <c r="O84">
        <f>VLOOKUP(H84,metric_dict!A:AA,6,0)</f>
        <v>2</v>
      </c>
      <c r="P84" t="s">
        <v>97</v>
      </c>
      <c r="Q84">
        <f>VLOOKUP(H84,metric_dict!A:AA,7,0)</f>
        <v>1</v>
      </c>
    </row>
    <row r="85" spans="1:17" x14ac:dyDescent="0.2">
      <c r="A85">
        <v>229</v>
      </c>
      <c r="B85">
        <v>230</v>
      </c>
      <c r="C85">
        <v>229</v>
      </c>
      <c r="D85">
        <v>228</v>
      </c>
      <c r="E85" t="s">
        <v>251</v>
      </c>
      <c r="F85" t="s">
        <v>47</v>
      </c>
      <c r="G85">
        <v>10</v>
      </c>
      <c r="H85" t="s">
        <v>115</v>
      </c>
      <c r="I85">
        <v>0.25</v>
      </c>
      <c r="J85">
        <v>0.5</v>
      </c>
      <c r="K85" t="str">
        <f>VLOOKUP(H85,metric_dict!A:B,2,0)</f>
        <v>Воронка привлечения</v>
      </c>
      <c r="L85" t="str">
        <f>IF(VLOOKUP(H85,metric_dict!A:C,3,0)=0,"",VLOOKUP(H85,metric_dict!A:C,3,0))</f>
        <v>Отчетность</v>
      </c>
      <c r="M85" t="str">
        <f>VLOOKUP(H85,metric_dict!A:AA,4,0)</f>
        <v>Источники, CR, объёмы, сегменты</v>
      </c>
      <c r="N85" t="str">
        <f>VLOOKUP(H85,metric_dict!A:AA,5,0)</f>
        <v>Донасытить метриками мониторинг по воронке привлечения</v>
      </c>
      <c r="O85">
        <f>VLOOKUP(H85,metric_dict!A:AA,6,0)</f>
        <v>3</v>
      </c>
      <c r="P85" t="s">
        <v>97</v>
      </c>
      <c r="Q85">
        <f>VLOOKUP(H85,metric_dict!A:AA,7,0)</f>
        <v>2</v>
      </c>
    </row>
    <row r="86" spans="1:17" x14ac:dyDescent="0.2">
      <c r="A86">
        <v>229</v>
      </c>
      <c r="B86">
        <v>230</v>
      </c>
      <c r="C86">
        <v>229</v>
      </c>
      <c r="D86">
        <v>228</v>
      </c>
      <c r="E86" t="s">
        <v>251</v>
      </c>
      <c r="F86" t="s">
        <v>47</v>
      </c>
      <c r="G86">
        <v>11</v>
      </c>
      <c r="H86" t="s">
        <v>118</v>
      </c>
      <c r="I86">
        <v>1</v>
      </c>
      <c r="J86">
        <v>1</v>
      </c>
      <c r="K86" t="str">
        <f>VLOOKUP(H86,metric_dict!A:B,2,0)</f>
        <v>Воронка привлечения</v>
      </c>
      <c r="L86" t="str">
        <f>IF(VLOOKUP(H86,metric_dict!A:C,3,0)=0,"",VLOOKUP(H86,metric_dict!A:C,3,0))</f>
        <v>Отчетность</v>
      </c>
      <c r="M86" t="str">
        <f>VLOOKUP(H86,metric_dict!A:AA,4,0)</f>
        <v>Daily / weekly</v>
      </c>
      <c r="N86" t="str">
        <f>VLOOKUP(H86,metric_dict!A:AA,5,0)</f>
        <v>Автоматизировать расчет воронки привлечения</v>
      </c>
      <c r="O86">
        <f>VLOOKUP(H86,metric_dict!A:AA,6,0)</f>
        <v>4</v>
      </c>
      <c r="P86" t="s">
        <v>97</v>
      </c>
      <c r="Q86">
        <f>VLOOKUP(H86,metric_dict!A:AA,7,0)</f>
        <v>3</v>
      </c>
    </row>
    <row r="87" spans="1:17" x14ac:dyDescent="0.2">
      <c r="A87">
        <v>229</v>
      </c>
      <c r="B87">
        <v>230</v>
      </c>
      <c r="C87">
        <v>229</v>
      </c>
      <c r="D87">
        <v>228</v>
      </c>
      <c r="E87" t="s">
        <v>251</v>
      </c>
      <c r="F87" t="s">
        <v>47</v>
      </c>
      <c r="G87">
        <v>12</v>
      </c>
      <c r="H87" t="s">
        <v>121</v>
      </c>
      <c r="I87">
        <v>0.5</v>
      </c>
      <c r="J87">
        <v>0.5</v>
      </c>
      <c r="K87" t="str">
        <f>VLOOKUP(H87,metric_dict!A:B,2,0)</f>
        <v>Воронка оттока</v>
      </c>
      <c r="L87" t="str">
        <f>IF(VLOOKUP(H87,metric_dict!A:C,3,0)=0,"",VLOOKUP(H87,metric_dict!A:C,3,0))</f>
        <v>Отчетность</v>
      </c>
      <c r="M87" t="str">
        <f>VLOOKUP(H87,metric_dict!A:AA,4,0)</f>
        <v>Настроена по воронке</v>
      </c>
      <c r="N87" t="str">
        <f>VLOOKUP(H87,metric_dict!A:AA,5,0)</f>
        <v>Настроить мониторинг по воронке оттока</v>
      </c>
      <c r="O87">
        <f>VLOOKUP(H87,metric_dict!A:AA,6,0)</f>
        <v>2</v>
      </c>
      <c r="P87" t="s">
        <v>97</v>
      </c>
      <c r="Q87">
        <f>VLOOKUP(H87,metric_dict!A:AA,7,0)</f>
        <v>1</v>
      </c>
    </row>
    <row r="88" spans="1:17" x14ac:dyDescent="0.2">
      <c r="A88">
        <v>229</v>
      </c>
      <c r="B88">
        <v>230</v>
      </c>
      <c r="C88">
        <v>229</v>
      </c>
      <c r="D88">
        <v>228</v>
      </c>
      <c r="E88" t="s">
        <v>251</v>
      </c>
      <c r="F88" t="s">
        <v>47</v>
      </c>
      <c r="G88">
        <v>13</v>
      </c>
      <c r="H88" t="s">
        <v>124</v>
      </c>
      <c r="I88">
        <v>0.25</v>
      </c>
      <c r="J88">
        <v>0.5</v>
      </c>
      <c r="K88" t="str">
        <f>VLOOKUP(H88,metric_dict!A:B,2,0)</f>
        <v>Воронка оттока</v>
      </c>
      <c r="L88" t="str">
        <f>IF(VLOOKUP(H88,metric_dict!A:C,3,0)=0,"",VLOOKUP(H88,metric_dict!A:C,3,0))</f>
        <v>Отчетность</v>
      </c>
      <c r="M88" t="str">
        <f>VLOOKUP(H88,metric_dict!A:AA,4,0)</f>
        <v>Retention, CR, удержание</v>
      </c>
      <c r="N88" t="str">
        <f>VLOOKUP(H88,metric_dict!A:AA,5,0)</f>
        <v>Донасытить метриками мониторинг по воронке оттока</v>
      </c>
      <c r="O88">
        <f>VLOOKUP(H88,metric_dict!A:AA,6,0)</f>
        <v>3</v>
      </c>
      <c r="P88" t="s">
        <v>97</v>
      </c>
      <c r="Q88">
        <f>VLOOKUP(H88,metric_dict!A:AA,7,0)</f>
        <v>2</v>
      </c>
    </row>
    <row r="89" spans="1:17" x14ac:dyDescent="0.2">
      <c r="A89">
        <v>229</v>
      </c>
      <c r="B89">
        <v>230</v>
      </c>
      <c r="C89">
        <v>229</v>
      </c>
      <c r="D89">
        <v>228</v>
      </c>
      <c r="E89" t="s">
        <v>251</v>
      </c>
      <c r="F89" t="s">
        <v>47</v>
      </c>
      <c r="G89">
        <v>14</v>
      </c>
      <c r="H89" t="s">
        <v>127</v>
      </c>
      <c r="I89">
        <v>1</v>
      </c>
      <c r="J89">
        <v>1</v>
      </c>
      <c r="K89" t="str">
        <f>VLOOKUP(H89,metric_dict!A:B,2,0)</f>
        <v>Воронка оттока</v>
      </c>
      <c r="L89" t="str">
        <f>IF(VLOOKUP(H89,metric_dict!A:C,3,0)=0,"",VLOOKUP(H89,metric_dict!A:C,3,0))</f>
        <v>Отчетность</v>
      </c>
      <c r="M89" t="str">
        <f>VLOOKUP(H89,metric_dict!A:AA,4,0)</f>
        <v>Daily / weekly</v>
      </c>
      <c r="N89" t="str">
        <f>VLOOKUP(H89,metric_dict!A:AA,5,0)</f>
        <v>Автоматизировать расчет воронки оттока</v>
      </c>
      <c r="O89">
        <f>VLOOKUP(H89,metric_dict!A:AA,6,0)</f>
        <v>4</v>
      </c>
      <c r="P89" t="s">
        <v>97</v>
      </c>
      <c r="Q89">
        <f>VLOOKUP(H89,metric_dict!A:AA,7,0)</f>
        <v>3</v>
      </c>
    </row>
    <row r="90" spans="1:17" x14ac:dyDescent="0.2">
      <c r="A90">
        <v>229</v>
      </c>
      <c r="B90">
        <v>230</v>
      </c>
      <c r="C90">
        <v>229</v>
      </c>
      <c r="D90">
        <v>228</v>
      </c>
      <c r="E90" t="s">
        <v>251</v>
      </c>
      <c r="F90" t="s">
        <v>47</v>
      </c>
      <c r="G90">
        <v>15</v>
      </c>
      <c r="H90" t="s">
        <v>129</v>
      </c>
      <c r="I90">
        <v>1</v>
      </c>
      <c r="J90">
        <v>1</v>
      </c>
      <c r="K90" t="str">
        <f>VLOOKUP(H90,metric_dict!A:B,2,0)</f>
        <v>BENCHMARKS</v>
      </c>
      <c r="L90" t="str">
        <f>IF(VLOOKUP(H90,metric_dict!A:C,3,0)=0,"",VLOOKUP(H90,metric_dict!A:C,3,0))</f>
        <v/>
      </c>
      <c r="M90" t="str">
        <f>VLOOKUP(H90,metric_dict!A:AA,4,0)</f>
        <v>Цели / динамика / рынок</v>
      </c>
      <c r="N90" t="str">
        <f>VLOOKUP(H90,metric_dict!A:AA,5,0)</f>
        <v>Сформировать бенчмарки по продуктовым метрикам</v>
      </c>
      <c r="O90">
        <f>VLOOKUP(H90,metric_dict!A:AA,6,0)</f>
        <v>5</v>
      </c>
      <c r="P90" t="s">
        <v>97</v>
      </c>
      <c r="Q90">
        <f>VLOOKUP(H90,metric_dict!A:AA,7,0)</f>
        <v>6</v>
      </c>
    </row>
    <row r="91" spans="1:17" x14ac:dyDescent="0.2">
      <c r="A91">
        <v>229</v>
      </c>
      <c r="B91">
        <v>230</v>
      </c>
      <c r="C91">
        <v>229</v>
      </c>
      <c r="D91">
        <v>228</v>
      </c>
      <c r="E91" t="s">
        <v>251</v>
      </c>
      <c r="F91" t="s">
        <v>47</v>
      </c>
      <c r="G91">
        <v>16</v>
      </c>
      <c r="H91" t="s">
        <v>133</v>
      </c>
      <c r="I91">
        <v>0</v>
      </c>
      <c r="J91">
        <v>0</v>
      </c>
      <c r="K91" t="e">
        <f>VLOOKUP(H91,metric_dict!A:B,2,0)</f>
        <v>#N/A</v>
      </c>
      <c r="L91" t="e">
        <f>IF(VLOOKUP(H91,metric_dict!A:C,3,0)=0,"",VLOOKUP(H91,metric_dict!A:C,3,0))</f>
        <v>#N/A</v>
      </c>
      <c r="M91" t="e">
        <f>VLOOKUP(H91,metric_dict!A:AA,4,0)</f>
        <v>#N/A</v>
      </c>
      <c r="N91" t="e">
        <f>VLOOKUP(H91,metric_dict!A:AA,5,0)</f>
        <v>#N/A</v>
      </c>
      <c r="O91" t="e">
        <f>VLOOKUP(H91,metric_dict!A:AA,6,0)</f>
        <v>#N/A</v>
      </c>
      <c r="P91" t="s">
        <v>97</v>
      </c>
      <c r="Q91" t="e">
        <f>VLOOKUP(H91,metric_dict!A:AA,7,0)</f>
        <v>#N/A</v>
      </c>
    </row>
    <row r="92" spans="1:17" x14ac:dyDescent="0.2">
      <c r="A92">
        <v>229</v>
      </c>
      <c r="B92">
        <v>230</v>
      </c>
      <c r="C92">
        <v>229</v>
      </c>
      <c r="D92">
        <v>228</v>
      </c>
      <c r="E92" t="s">
        <v>251</v>
      </c>
      <c r="F92" t="s">
        <v>47</v>
      </c>
      <c r="G92">
        <v>17</v>
      </c>
      <c r="H92" t="s">
        <v>134</v>
      </c>
      <c r="I92">
        <v>0.5</v>
      </c>
      <c r="J92">
        <v>1</v>
      </c>
      <c r="K92" t="str">
        <f>VLOOKUP(H92,metric_dict!A:B,2,0)</f>
        <v>Воронка привлечения</v>
      </c>
      <c r="L92" t="str">
        <f>IF(VLOOKUP(H92,metric_dict!A:C,3,0)=0,"",VLOOKUP(H92,metric_dict!A:C,3,0))</f>
        <v/>
      </c>
      <c r="M92" t="str">
        <f>VLOOKUP(H92,metric_dict!A:AA,4,0)</f>
        <v>Оценка эффективности, поиск точек роста</v>
      </c>
      <c r="N92" t="str">
        <f>VLOOKUP(H92,metric_dict!A:AA,5,0)</f>
        <v>Провести анализ привлечения, выявить точки роста</v>
      </c>
      <c r="O92">
        <f>VLOOKUP(H92,metric_dict!A:AA,6,0)</f>
        <v>5</v>
      </c>
      <c r="P92" t="s">
        <v>97</v>
      </c>
      <c r="Q92">
        <f>VLOOKUP(H92,metric_dict!A:AA,7,0)</f>
        <v>4</v>
      </c>
    </row>
    <row r="93" spans="1:17" x14ac:dyDescent="0.2">
      <c r="A93">
        <v>229</v>
      </c>
      <c r="B93">
        <v>230</v>
      </c>
      <c r="C93">
        <v>229</v>
      </c>
      <c r="D93">
        <v>228</v>
      </c>
      <c r="E93" t="s">
        <v>251</v>
      </c>
      <c r="F93" t="s">
        <v>47</v>
      </c>
      <c r="G93">
        <v>18</v>
      </c>
      <c r="H93" t="s">
        <v>137</v>
      </c>
      <c r="I93">
        <v>1</v>
      </c>
      <c r="J93">
        <v>1</v>
      </c>
      <c r="K93" t="str">
        <f>VLOOKUP(H93,metric_dict!A:B,2,0)</f>
        <v>Воронка привлечения</v>
      </c>
      <c r="L93" t="str">
        <f>IF(VLOOKUP(H93,metric_dict!A:C,3,0)=0,"",VLOOKUP(H93,metric_dict!A:C,3,0))</f>
        <v/>
      </c>
      <c r="M93" t="str">
        <f>VLOOKUP(H93,metric_dict!A:AA,4,0)</f>
        <v>План действий по росту</v>
      </c>
      <c r="N93" t="str">
        <f>VLOOKUP(H93,metric_dict!A:AA,5,0)</f>
        <v>Сформировать перечень инициатив</v>
      </c>
      <c r="O93">
        <f>VLOOKUP(H93,metric_dict!A:AA,6,0)</f>
        <v>5</v>
      </c>
      <c r="P93" t="s">
        <v>97</v>
      </c>
      <c r="Q93">
        <f>VLOOKUP(H93,metric_dict!A:AA,7,0)</f>
        <v>5</v>
      </c>
    </row>
    <row r="94" spans="1:17" x14ac:dyDescent="0.2">
      <c r="A94">
        <v>229</v>
      </c>
      <c r="B94">
        <v>230</v>
      </c>
      <c r="C94">
        <v>229</v>
      </c>
      <c r="D94">
        <v>228</v>
      </c>
      <c r="E94" t="s">
        <v>251</v>
      </c>
      <c r="F94" t="s">
        <v>47</v>
      </c>
      <c r="G94">
        <v>19</v>
      </c>
      <c r="H94" t="s">
        <v>140</v>
      </c>
      <c r="I94">
        <v>1</v>
      </c>
      <c r="J94">
        <v>1</v>
      </c>
      <c r="K94" t="str">
        <f>VLOOKUP(H94,metric_dict!A:B,2,0)</f>
        <v>Воронка оттока</v>
      </c>
      <c r="L94" t="str">
        <f>IF(VLOOKUP(H94,metric_dict!A:C,3,0)=0,"",VLOOKUP(H94,metric_dict!A:C,3,0))</f>
        <v/>
      </c>
      <c r="M94" t="str">
        <f>VLOOKUP(H94,metric_dict!A:AA,4,0)</f>
        <v>Оценка причин и узких мест</v>
      </c>
      <c r="N94" t="str">
        <f>VLOOKUP(H94,metric_dict!A:AA,5,0)</f>
        <v>Провести анализ оттока, выявить точки роста</v>
      </c>
      <c r="O94">
        <f>VLOOKUP(H94,metric_dict!A:AA,6,0)</f>
        <v>5</v>
      </c>
      <c r="P94" t="s">
        <v>97</v>
      </c>
      <c r="Q94">
        <f>VLOOKUP(H94,metric_dict!A:AA,7,0)</f>
        <v>4</v>
      </c>
    </row>
    <row r="95" spans="1:17" x14ac:dyDescent="0.2">
      <c r="A95">
        <v>229</v>
      </c>
      <c r="B95">
        <v>230</v>
      </c>
      <c r="C95">
        <v>229</v>
      </c>
      <c r="D95">
        <v>228</v>
      </c>
      <c r="E95" t="s">
        <v>251</v>
      </c>
      <c r="F95" t="s">
        <v>47</v>
      </c>
      <c r="G95">
        <v>20</v>
      </c>
      <c r="H95" t="s">
        <v>143</v>
      </c>
      <c r="I95">
        <v>1</v>
      </c>
      <c r="J95">
        <v>1</v>
      </c>
      <c r="K95" t="str">
        <f>VLOOKUP(H95,metric_dict!A:B,2,0)</f>
        <v>Воронка оттока</v>
      </c>
      <c r="L95" t="str">
        <f>IF(VLOOKUP(H95,metric_dict!A:C,3,0)=0,"",VLOOKUP(H95,metric_dict!A:C,3,0))</f>
        <v/>
      </c>
      <c r="M95" t="str">
        <f>VLOOKUP(H95,metric_dict!A:AA,4,0)</f>
        <v>План действий по отклонениям</v>
      </c>
      <c r="N95" t="str">
        <f>VLOOKUP(H95,metric_dict!A:AA,5,0)</f>
        <v>Сформировать список мероприятий по снижению оттока</v>
      </c>
      <c r="O95">
        <f>VLOOKUP(H95,metric_dict!A:AA,6,0)</f>
        <v>4</v>
      </c>
      <c r="P95" t="s">
        <v>97</v>
      </c>
      <c r="Q95">
        <f>VLOOKUP(H95,metric_dict!A:AA,7,0)</f>
        <v>5</v>
      </c>
    </row>
    <row r="96" spans="1:17" x14ac:dyDescent="0.2">
      <c r="A96">
        <v>229</v>
      </c>
      <c r="B96">
        <v>230</v>
      </c>
      <c r="C96">
        <v>229</v>
      </c>
      <c r="D96">
        <v>228</v>
      </c>
      <c r="E96" t="s">
        <v>251</v>
      </c>
      <c r="F96" t="s">
        <v>47</v>
      </c>
      <c r="G96">
        <v>21</v>
      </c>
      <c r="H96" t="s">
        <v>146</v>
      </c>
      <c r="I96">
        <v>0</v>
      </c>
      <c r="J96">
        <v>1</v>
      </c>
      <c r="K96" t="str">
        <f>VLOOKUP(H96,metric_dict!A:B,2,0)</f>
        <v>Алерты</v>
      </c>
      <c r="L96" t="str">
        <f>IF(VLOOKUP(H96,metric_dict!A:C,3,0)=0,"",VLOOKUP(H96,metric_dict!A:C,3,0))</f>
        <v/>
      </c>
      <c r="M96" t="str">
        <f>VLOOKUP(H96,metric_dict!A:AA,4,0)</f>
        <v>Авто-алерты по IT-инфраструктуре</v>
      </c>
      <c r="N96" t="str">
        <f>VLOOKUP(H96,metric_dict!A:AA,5,0)</f>
        <v>Внедрить систему оповещений</v>
      </c>
      <c r="O96">
        <f>VLOOKUP(H96,metric_dict!A:AA,6,0)</f>
        <v>5</v>
      </c>
      <c r="P96" t="s">
        <v>97</v>
      </c>
      <c r="Q96">
        <f>VLOOKUP(H96,metric_dict!A:AA,7,0)</f>
        <v>1</v>
      </c>
    </row>
    <row r="97" spans="1:17" x14ac:dyDescent="0.2">
      <c r="A97">
        <v>229</v>
      </c>
      <c r="B97">
        <v>230</v>
      </c>
      <c r="C97">
        <v>229</v>
      </c>
      <c r="D97">
        <v>228</v>
      </c>
      <c r="E97" t="s">
        <v>251</v>
      </c>
      <c r="F97" t="s">
        <v>47</v>
      </c>
      <c r="G97">
        <v>22</v>
      </c>
      <c r="H97" t="s">
        <v>150</v>
      </c>
      <c r="I97">
        <v>0.5</v>
      </c>
      <c r="J97">
        <v>1</v>
      </c>
      <c r="K97" t="str">
        <f>VLOOKUP(H97,metric_dict!A:B,2,0)</f>
        <v>Алерты</v>
      </c>
      <c r="L97" t="str">
        <f>IF(VLOOKUP(H97,metric_dict!A:C,3,0)=0,"",VLOOKUP(H97,metric_dict!A:C,3,0))</f>
        <v/>
      </c>
      <c r="M97" t="str">
        <f>VLOOKUP(H97,metric_dict!A:AA,4,0)</f>
        <v>Светофоры целей, драйверов, воронок</v>
      </c>
      <c r="N97" t="str">
        <f>VLOOKUP(H97,metric_dict!A:AA,5,0)</f>
        <v>Внедрить систему оповещений</v>
      </c>
      <c r="O97">
        <f>VLOOKUP(H97,metric_dict!A:AA,6,0)</f>
        <v>3</v>
      </c>
      <c r="P97" t="s">
        <v>97</v>
      </c>
      <c r="Q97">
        <f>VLOOKUP(H97,metric_dict!A:AA,7,0)</f>
        <v>2</v>
      </c>
    </row>
    <row r="98" spans="1:17" x14ac:dyDescent="0.2">
      <c r="A98">
        <v>229</v>
      </c>
      <c r="B98">
        <v>230</v>
      </c>
      <c r="C98">
        <v>229</v>
      </c>
      <c r="D98">
        <v>228</v>
      </c>
      <c r="E98" t="s">
        <v>251</v>
      </c>
      <c r="F98" t="s">
        <v>47</v>
      </c>
      <c r="G98">
        <v>23</v>
      </c>
      <c r="H98" t="s">
        <v>265</v>
      </c>
      <c r="I98">
        <v>0</v>
      </c>
      <c r="J98">
        <v>0</v>
      </c>
      <c r="K98" t="str">
        <f>VLOOKUP(H98,metric_dict!A:B,2,0)</f>
        <v>Механики</v>
      </c>
      <c r="L98" t="str">
        <f>IF(VLOOKUP(H98,metric_dict!A:C,3,0)=0,"",VLOOKUP(H98,metric_dict!A:C,3,0))</f>
        <v/>
      </c>
      <c r="M98" t="str">
        <f>VLOOKUP(H98,metric_dict!A:AA,4,0)</f>
        <v>Настроен по ключевым механикам работы с клиентской базой</v>
      </c>
      <c r="N98" t="str">
        <f>VLOOKUP(H98,metric_dict!A:AA,5,0)</f>
        <v>Настроить мониторинг по ключевым механикам</v>
      </c>
      <c r="O98">
        <f>VLOOKUP(H98,metric_dict!A:AA,6,0)</f>
        <v>2</v>
      </c>
      <c r="P98" t="s">
        <v>97</v>
      </c>
      <c r="Q98">
        <f>VLOOKUP(H98,metric_dict!A:AA,7,0)</f>
        <v>22</v>
      </c>
    </row>
    <row r="99" spans="1:17" x14ac:dyDescent="0.2">
      <c r="A99">
        <v>229</v>
      </c>
      <c r="B99">
        <v>230</v>
      </c>
      <c r="C99">
        <v>229</v>
      </c>
      <c r="D99">
        <v>228</v>
      </c>
      <c r="E99" t="s">
        <v>251</v>
      </c>
      <c r="F99" t="s">
        <v>47</v>
      </c>
      <c r="G99">
        <v>24</v>
      </c>
      <c r="H99" t="s">
        <v>156</v>
      </c>
      <c r="I99">
        <v>0.5</v>
      </c>
      <c r="J99">
        <v>0.5</v>
      </c>
      <c r="K99" t="str">
        <f>VLOOKUP(H99,metric_dict!A:B,2,0)</f>
        <v>Механики</v>
      </c>
      <c r="L99" t="str">
        <f>IF(VLOOKUP(H99,metric_dict!A:C,3,0)=0,"",VLOOKUP(H99,metric_dict!A:C,3,0))</f>
        <v/>
      </c>
      <c r="M99" t="str">
        <f>VLOOKUP(H99,metric_dict!A:AA,4,0)</f>
        <v>Коммуникация + ценность</v>
      </c>
      <c r="N99" t="str">
        <f>VLOOKUP(H99,metric_dict!A:AA,5,0)</f>
        <v>Проработать механики удержания клиентов</v>
      </c>
      <c r="O99">
        <f>VLOOKUP(H99,metric_dict!A:AA,6,0)</f>
        <v>5</v>
      </c>
      <c r="P99" t="s">
        <v>97</v>
      </c>
      <c r="Q99">
        <f>VLOOKUP(H99,metric_dict!A:AA,7,0)</f>
        <v>6</v>
      </c>
    </row>
    <row r="100" spans="1:17" x14ac:dyDescent="0.2">
      <c r="A100">
        <v>229</v>
      </c>
      <c r="B100">
        <v>230</v>
      </c>
      <c r="C100">
        <v>229</v>
      </c>
      <c r="D100">
        <v>228</v>
      </c>
      <c r="E100" t="s">
        <v>251</v>
      </c>
      <c r="F100" t="s">
        <v>47</v>
      </c>
      <c r="G100">
        <v>25</v>
      </c>
      <c r="H100" t="s">
        <v>156</v>
      </c>
      <c r="I100">
        <v>0.5</v>
      </c>
      <c r="J100">
        <v>0.5</v>
      </c>
      <c r="K100" t="str">
        <f>VLOOKUP(H100,metric_dict!A:B,2,0)</f>
        <v>Механики</v>
      </c>
      <c r="L100" t="str">
        <f>IF(VLOOKUP(H100,metric_dict!A:C,3,0)=0,"",VLOOKUP(H100,metric_dict!A:C,3,0))</f>
        <v/>
      </c>
      <c r="M100" t="str">
        <f>VLOOKUP(H100,metric_dict!A:AA,4,0)</f>
        <v>Коммуникация + ценность</v>
      </c>
      <c r="N100" t="str">
        <f>VLOOKUP(H100,metric_dict!A:AA,5,0)</f>
        <v>Проработать механики удержания клиентов</v>
      </c>
      <c r="O100">
        <f>VLOOKUP(H100,metric_dict!A:AA,6,0)</f>
        <v>5</v>
      </c>
      <c r="P100" t="s">
        <v>97</v>
      </c>
      <c r="Q100">
        <f>VLOOKUP(H100,metric_dict!A:AA,7,0)</f>
        <v>6</v>
      </c>
    </row>
    <row r="101" spans="1:17" x14ac:dyDescent="0.2">
      <c r="A101">
        <v>229</v>
      </c>
      <c r="B101">
        <v>230</v>
      </c>
      <c r="C101">
        <v>229</v>
      </c>
      <c r="D101">
        <v>228</v>
      </c>
      <c r="E101" t="s">
        <v>251</v>
      </c>
      <c r="F101" t="s">
        <v>47</v>
      </c>
      <c r="G101">
        <v>225</v>
      </c>
      <c r="H101" t="s">
        <v>265</v>
      </c>
      <c r="I101">
        <v>0.25</v>
      </c>
      <c r="J101">
        <v>0.25</v>
      </c>
      <c r="K101" t="str">
        <f>VLOOKUP(H101,metric_dict!A:B,2,0)</f>
        <v>Механики</v>
      </c>
      <c r="L101" t="str">
        <f>IF(VLOOKUP(H101,metric_dict!A:C,3,0)=0,"",VLOOKUP(H101,metric_dict!A:C,3,0))</f>
        <v/>
      </c>
      <c r="M101" t="str">
        <f>VLOOKUP(H101,metric_dict!A:AA,4,0)</f>
        <v>Настроен по ключевым механикам работы с клиентской базой</v>
      </c>
      <c r="N101" t="str">
        <f>VLOOKUP(H101,metric_dict!A:AA,5,0)</f>
        <v>Настроить мониторинг по ключевым механикам</v>
      </c>
      <c r="O101">
        <f>VLOOKUP(H101,metric_dict!A:AA,6,0)</f>
        <v>2</v>
      </c>
      <c r="P101" t="s">
        <v>97</v>
      </c>
      <c r="Q101">
        <f>VLOOKUP(H101,metric_dict!A:AA,7,0)</f>
        <v>22</v>
      </c>
    </row>
    <row r="102" spans="1:17" x14ac:dyDescent="0.2">
      <c r="A102">
        <v>229</v>
      </c>
      <c r="B102">
        <v>230</v>
      </c>
      <c r="C102">
        <v>229</v>
      </c>
      <c r="D102">
        <v>228</v>
      </c>
      <c r="E102" t="s">
        <v>251</v>
      </c>
      <c r="F102" t="s">
        <v>47</v>
      </c>
      <c r="G102">
        <v>27</v>
      </c>
      <c r="H102" t="s">
        <v>159</v>
      </c>
      <c r="I102">
        <v>0.5</v>
      </c>
      <c r="J102">
        <v>0.5</v>
      </c>
      <c r="K102" t="str">
        <f>VLOOKUP(H102,metric_dict!A:B,2,0)</f>
        <v>Механики</v>
      </c>
      <c r="L102" t="str">
        <f>IF(VLOOKUP(H102,metric_dict!A:C,3,0)=0,"",VLOOKUP(H102,metric_dict!A:C,3,0))</f>
        <v/>
      </c>
      <c r="M102" t="str">
        <f>VLOOKUP(H102,metric_dict!A:AA,4,0)</f>
        <v>Реактивация оттекающих клиентов</v>
      </c>
      <c r="N102" t="str">
        <f>VLOOKUP(H102,metric_dict!A:AA,5,0)</f>
        <v>Проработать механики реактивации клиентов</v>
      </c>
      <c r="O102">
        <f>VLOOKUP(H102,metric_dict!A:AA,6,0)</f>
        <v>5</v>
      </c>
      <c r="P102" t="s">
        <v>97</v>
      </c>
      <c r="Q102">
        <f>VLOOKUP(H102,metric_dict!A:AA,7,0)</f>
        <v>4</v>
      </c>
    </row>
    <row r="103" spans="1:17" x14ac:dyDescent="0.2">
      <c r="A103">
        <v>229</v>
      </c>
      <c r="B103">
        <v>230</v>
      </c>
      <c r="C103">
        <v>229</v>
      </c>
      <c r="D103">
        <v>228</v>
      </c>
      <c r="E103" t="s">
        <v>251</v>
      </c>
      <c r="F103" t="s">
        <v>47</v>
      </c>
      <c r="G103">
        <v>28</v>
      </c>
      <c r="H103" t="s">
        <v>159</v>
      </c>
      <c r="I103">
        <v>0</v>
      </c>
      <c r="J103">
        <v>0.5</v>
      </c>
      <c r="K103" t="str">
        <f>VLOOKUP(H103,metric_dict!A:B,2,0)</f>
        <v>Механики</v>
      </c>
      <c r="L103" t="str">
        <f>IF(VLOOKUP(H103,metric_dict!A:C,3,0)=0,"",VLOOKUP(H103,metric_dict!A:C,3,0))</f>
        <v/>
      </c>
      <c r="M103" t="str">
        <f>VLOOKUP(H103,metric_dict!A:AA,4,0)</f>
        <v>Реактивация оттекающих клиентов</v>
      </c>
      <c r="N103" t="str">
        <f>VLOOKUP(H103,metric_dict!A:AA,5,0)</f>
        <v>Проработать механики реактивации клиентов</v>
      </c>
      <c r="O103">
        <f>VLOOKUP(H103,metric_dict!A:AA,6,0)</f>
        <v>5</v>
      </c>
      <c r="P103" t="s">
        <v>97</v>
      </c>
      <c r="Q103">
        <f>VLOOKUP(H103,metric_dict!A:AA,7,0)</f>
        <v>4</v>
      </c>
    </row>
    <row r="104" spans="1:17" x14ac:dyDescent="0.2">
      <c r="A104">
        <v>229</v>
      </c>
      <c r="B104">
        <v>230</v>
      </c>
      <c r="C104">
        <v>229</v>
      </c>
      <c r="D104">
        <v>228</v>
      </c>
      <c r="E104" t="s">
        <v>251</v>
      </c>
      <c r="F104" t="s">
        <v>47</v>
      </c>
      <c r="G104">
        <v>29</v>
      </c>
      <c r="H104" t="s">
        <v>265</v>
      </c>
      <c r="I104">
        <v>0</v>
      </c>
      <c r="J104">
        <v>0</v>
      </c>
      <c r="K104" t="str">
        <f>VLOOKUP(H104,metric_dict!A:B,2,0)</f>
        <v>Механики</v>
      </c>
      <c r="L104" t="str">
        <f>IF(VLOOKUP(H104,metric_dict!A:C,3,0)=0,"",VLOOKUP(H104,metric_dict!A:C,3,0))</f>
        <v/>
      </c>
      <c r="M104" t="str">
        <f>VLOOKUP(H104,metric_dict!A:AA,4,0)</f>
        <v>Настроен по ключевым механикам работы с клиентской базой</v>
      </c>
      <c r="N104" t="str">
        <f>VLOOKUP(H104,metric_dict!A:AA,5,0)</f>
        <v>Настроить мониторинг по ключевым механикам</v>
      </c>
      <c r="O104">
        <f>VLOOKUP(H104,metric_dict!A:AA,6,0)</f>
        <v>2</v>
      </c>
      <c r="P104" t="s">
        <v>97</v>
      </c>
      <c r="Q104">
        <f>VLOOKUP(H104,metric_dict!A:AA,7,0)</f>
        <v>22</v>
      </c>
    </row>
    <row r="105" spans="1:17" x14ac:dyDescent="0.2">
      <c r="A105">
        <v>229</v>
      </c>
      <c r="B105">
        <v>230</v>
      </c>
      <c r="C105">
        <v>229</v>
      </c>
      <c r="D105">
        <v>228</v>
      </c>
      <c r="E105" t="s">
        <v>251</v>
      </c>
      <c r="F105" t="s">
        <v>47</v>
      </c>
      <c r="G105">
        <v>30</v>
      </c>
      <c r="H105" t="s">
        <v>162</v>
      </c>
      <c r="I105">
        <v>0</v>
      </c>
      <c r="J105" t="s">
        <v>196</v>
      </c>
      <c r="K105" t="str">
        <f>VLOOKUP(H105,metric_dict!A:B,2,0)</f>
        <v>Механики</v>
      </c>
      <c r="L105" t="str">
        <f>IF(VLOOKUP(H105,metric_dict!A:C,3,0)=0,"",VLOOKUP(H105,metric_dict!A:C,3,0))</f>
        <v/>
      </c>
      <c r="M105" t="str">
        <f>VLOOKUP(H105,metric_dict!A:AA,4,0)</f>
        <v>В оформлении и после покупки</v>
      </c>
      <c r="N105" t="str">
        <f>VLOOKUP(H105,metric_dict!A:AA,5,0)</f>
        <v>Проработать механики кросс-продаж</v>
      </c>
      <c r="O105">
        <f>VLOOKUP(H105,metric_dict!A:AA,6,0)</f>
        <v>5</v>
      </c>
      <c r="P105" t="s">
        <v>97</v>
      </c>
      <c r="Q105">
        <f>VLOOKUP(H105,metric_dict!A:AA,7,0)</f>
        <v>8</v>
      </c>
    </row>
    <row r="106" spans="1:17" x14ac:dyDescent="0.2">
      <c r="A106">
        <v>229</v>
      </c>
      <c r="B106">
        <v>230</v>
      </c>
      <c r="C106">
        <v>229</v>
      </c>
      <c r="D106">
        <v>228</v>
      </c>
      <c r="E106" t="s">
        <v>251</v>
      </c>
      <c r="F106" t="s">
        <v>47</v>
      </c>
      <c r="G106">
        <v>31</v>
      </c>
      <c r="H106" t="s">
        <v>162</v>
      </c>
      <c r="I106">
        <v>0</v>
      </c>
      <c r="J106">
        <v>0</v>
      </c>
      <c r="K106" t="str">
        <f>VLOOKUP(H106,metric_dict!A:B,2,0)</f>
        <v>Механики</v>
      </c>
      <c r="L106" t="str">
        <f>IF(VLOOKUP(H106,metric_dict!A:C,3,0)=0,"",VLOOKUP(H106,metric_dict!A:C,3,0))</f>
        <v/>
      </c>
      <c r="M106" t="str">
        <f>VLOOKUP(H106,metric_dict!A:AA,4,0)</f>
        <v>В оформлении и после покупки</v>
      </c>
      <c r="N106" t="str">
        <f>VLOOKUP(H106,metric_dict!A:AA,5,0)</f>
        <v>Проработать механики кросс-продаж</v>
      </c>
      <c r="O106">
        <f>VLOOKUP(H106,metric_dict!A:AA,6,0)</f>
        <v>5</v>
      </c>
      <c r="P106" t="s">
        <v>97</v>
      </c>
      <c r="Q106">
        <f>VLOOKUP(H106,metric_dict!A:AA,7,0)</f>
        <v>8</v>
      </c>
    </row>
    <row r="107" spans="1:17" x14ac:dyDescent="0.2">
      <c r="A107">
        <v>229</v>
      </c>
      <c r="B107">
        <v>230</v>
      </c>
      <c r="C107">
        <v>229</v>
      </c>
      <c r="D107">
        <v>228</v>
      </c>
      <c r="E107" t="s">
        <v>251</v>
      </c>
      <c r="F107" t="s">
        <v>47</v>
      </c>
      <c r="G107">
        <v>32</v>
      </c>
      <c r="H107" t="s">
        <v>162</v>
      </c>
      <c r="I107">
        <v>0</v>
      </c>
      <c r="J107">
        <v>0</v>
      </c>
      <c r="K107" t="str">
        <f>VLOOKUP(H107,metric_dict!A:B,2,0)</f>
        <v>Механики</v>
      </c>
      <c r="L107" t="str">
        <f>IF(VLOOKUP(H107,metric_dict!A:C,3,0)=0,"",VLOOKUP(H107,metric_dict!A:C,3,0))</f>
        <v/>
      </c>
      <c r="M107" t="str">
        <f>VLOOKUP(H107,metric_dict!A:AA,4,0)</f>
        <v>В оформлении и после покупки</v>
      </c>
      <c r="N107" t="str">
        <f>VLOOKUP(H107,metric_dict!A:AA,5,0)</f>
        <v>Проработать механики кросс-продаж</v>
      </c>
      <c r="O107">
        <f>VLOOKUP(H107,metric_dict!A:AA,6,0)</f>
        <v>5</v>
      </c>
      <c r="P107" t="s">
        <v>97</v>
      </c>
      <c r="Q107">
        <f>VLOOKUP(H107,metric_dict!A:AA,7,0)</f>
        <v>8</v>
      </c>
    </row>
    <row r="108" spans="1:17" x14ac:dyDescent="0.2">
      <c r="A108">
        <v>229</v>
      </c>
      <c r="B108">
        <v>230</v>
      </c>
      <c r="C108">
        <v>229</v>
      </c>
      <c r="D108">
        <v>228</v>
      </c>
      <c r="E108" t="s">
        <v>251</v>
      </c>
      <c r="F108" t="s">
        <v>47</v>
      </c>
      <c r="G108">
        <v>33</v>
      </c>
      <c r="H108" t="s">
        <v>363</v>
      </c>
      <c r="I108">
        <v>1</v>
      </c>
      <c r="J108">
        <v>1</v>
      </c>
      <c r="K108" t="str">
        <f>VLOOKUP(H108,metric_dict!A:B,2,0)</f>
        <v>Механики</v>
      </c>
      <c r="L108" t="str">
        <f>IF(VLOOKUP(H108,metric_dict!A:C,3,0)=0,"",VLOOKUP(H108,metric_dict!A:C,3,0))</f>
        <v/>
      </c>
      <c r="M108" t="str">
        <f>VLOOKUP(H108,metric_dict!A:AA,4,0)</f>
        <v>Переход клиента на более ценный продукт или расширенный пакет услуг</v>
      </c>
      <c r="N108" t="str">
        <f>VLOOKUP(H108,metric_dict!A:AA,5,0)</f>
        <v>Настроить мониторинг по ключевым механикам</v>
      </c>
      <c r="O108">
        <f>VLOOKUP(H108,metric_dict!A:AA,6,0)</f>
        <v>5</v>
      </c>
      <c r="P108" t="s">
        <v>97</v>
      </c>
      <c r="Q108">
        <f>VLOOKUP(H108,metric_dict!A:AA,7,0)</f>
        <v>10</v>
      </c>
    </row>
    <row r="109" spans="1:17" x14ac:dyDescent="0.2">
      <c r="A109">
        <v>229</v>
      </c>
      <c r="B109">
        <v>230</v>
      </c>
      <c r="C109">
        <v>229</v>
      </c>
      <c r="D109">
        <v>228</v>
      </c>
      <c r="E109" t="s">
        <v>251</v>
      </c>
      <c r="F109" t="s">
        <v>47</v>
      </c>
      <c r="G109">
        <v>34</v>
      </c>
      <c r="H109" t="s">
        <v>265</v>
      </c>
      <c r="I109">
        <v>0</v>
      </c>
      <c r="J109">
        <v>0</v>
      </c>
      <c r="K109" t="str">
        <f>VLOOKUP(H109,metric_dict!A:B,2,0)</f>
        <v>Механики</v>
      </c>
      <c r="L109" t="str">
        <f>IF(VLOOKUP(H109,metric_dict!A:C,3,0)=0,"",VLOOKUP(H109,metric_dict!A:C,3,0))</f>
        <v/>
      </c>
      <c r="M109" t="str">
        <f>VLOOKUP(H109,metric_dict!A:AA,4,0)</f>
        <v>Настроен по ключевым механикам работы с клиентской базой</v>
      </c>
      <c r="N109" t="str">
        <f>VLOOKUP(H109,metric_dict!A:AA,5,0)</f>
        <v>Настроить мониторинг по ключевым механикам</v>
      </c>
      <c r="O109">
        <f>VLOOKUP(H109,metric_dict!A:AA,6,0)</f>
        <v>2</v>
      </c>
      <c r="P109" t="s">
        <v>97</v>
      </c>
      <c r="Q109">
        <f>VLOOKUP(H109,metric_dict!A:AA,7,0)</f>
        <v>22</v>
      </c>
    </row>
    <row r="110" spans="1:17" x14ac:dyDescent="0.2">
      <c r="A110">
        <v>229</v>
      </c>
      <c r="B110">
        <v>230</v>
      </c>
      <c r="C110">
        <v>229</v>
      </c>
      <c r="D110">
        <v>228</v>
      </c>
      <c r="E110" t="s">
        <v>251</v>
      </c>
      <c r="F110" t="s">
        <v>47</v>
      </c>
      <c r="G110">
        <v>35</v>
      </c>
      <c r="H110" t="s">
        <v>165</v>
      </c>
      <c r="I110">
        <v>0.5</v>
      </c>
      <c r="J110">
        <v>1</v>
      </c>
      <c r="K110" t="str">
        <f>VLOOKUP(H110,metric_dict!A:B,2,0)</f>
        <v>Гипотезы и инициативы</v>
      </c>
      <c r="L110" t="str">
        <f>IF(VLOOKUP(H110,metric_dict!A:C,3,0)=0,"",VLOOKUP(H110,metric_dict!A:C,3,0))</f>
        <v/>
      </c>
      <c r="M110" t="str">
        <f>VLOOKUP(H110,metric_dict!A:AA,4,0)</f>
        <v>Доля исследовательских задач DA</v>
      </c>
      <c r="N110" t="str">
        <f>VLOOKUP(H110,metric_dict!A:AA,5,0)</f>
        <v>Сфокусировать бэклог аналитиков на research-задачи</v>
      </c>
      <c r="O110">
        <f>VLOOKUP(H110,metric_dict!A:AA,6,0)</f>
        <v>5</v>
      </c>
      <c r="P110" t="s">
        <v>97</v>
      </c>
      <c r="Q110">
        <f>VLOOKUP(H110,metric_dict!A:AA,7,0)</f>
        <v>1</v>
      </c>
    </row>
    <row r="111" spans="1:17" x14ac:dyDescent="0.2">
      <c r="A111">
        <v>229</v>
      </c>
      <c r="B111">
        <v>230</v>
      </c>
      <c r="C111">
        <v>229</v>
      </c>
      <c r="D111">
        <v>228</v>
      </c>
      <c r="E111" t="s">
        <v>251</v>
      </c>
      <c r="F111" t="s">
        <v>47</v>
      </c>
      <c r="G111">
        <v>36</v>
      </c>
      <c r="H111" t="s">
        <v>169</v>
      </c>
      <c r="I111">
        <v>0</v>
      </c>
      <c r="J111">
        <v>0</v>
      </c>
      <c r="K111" t="e">
        <f>VLOOKUP(H111,metric_dict!A:B,2,0)</f>
        <v>#N/A</v>
      </c>
      <c r="L111" t="e">
        <f>IF(VLOOKUP(H111,metric_dict!A:C,3,0)=0,"",VLOOKUP(H111,metric_dict!A:C,3,0))</f>
        <v>#N/A</v>
      </c>
      <c r="M111" t="e">
        <f>VLOOKUP(H111,metric_dict!A:AA,4,0)</f>
        <v>#N/A</v>
      </c>
      <c r="N111" t="e">
        <f>VLOOKUP(H111,metric_dict!A:AA,5,0)</f>
        <v>#N/A</v>
      </c>
      <c r="O111" t="e">
        <f>VLOOKUP(H111,metric_dict!A:AA,6,0)</f>
        <v>#N/A</v>
      </c>
      <c r="P111" t="s">
        <v>97</v>
      </c>
      <c r="Q111" t="e">
        <f>VLOOKUP(H111,metric_dict!A:AA,7,0)</f>
        <v>#N/A</v>
      </c>
    </row>
    <row r="112" spans="1:17" x14ac:dyDescent="0.2">
      <c r="A112">
        <v>229</v>
      </c>
      <c r="B112">
        <v>230</v>
      </c>
      <c r="C112">
        <v>229</v>
      </c>
      <c r="D112">
        <v>228</v>
      </c>
      <c r="E112" t="s">
        <v>251</v>
      </c>
      <c r="F112" t="s">
        <v>47</v>
      </c>
      <c r="G112">
        <v>38</v>
      </c>
      <c r="H112" t="s">
        <v>170</v>
      </c>
      <c r="I112">
        <v>0.5</v>
      </c>
      <c r="J112">
        <v>0.5</v>
      </c>
      <c r="K112" t="str">
        <f>VLOOKUP(H112,metric_dict!A:B,2,0)</f>
        <v>Воронка привлечения</v>
      </c>
      <c r="L112" t="str">
        <f>IF(VLOOKUP(H112,metric_dict!A:C,3,0)=0,"",VLOOKUP(H112,metric_dict!A:C,3,0))</f>
        <v/>
      </c>
      <c r="M112" t="str">
        <f>VLOOKUP(H112,metric_dict!A:AA,4,0)</f>
        <v>Self-service / кампейнинг, успешность</v>
      </c>
      <c r="N112" t="str">
        <f>VLOOKUP(H112,metric_dict!A:AA,5,0)</f>
        <v>Развитие кампейнинга</v>
      </c>
      <c r="O112">
        <f>VLOOKUP(H112,metric_dict!A:AA,6,0)</f>
        <v>2</v>
      </c>
      <c r="P112" t="s">
        <v>97</v>
      </c>
      <c r="Q112">
        <f>VLOOKUP(H112,metric_dict!A:AA,7,0)</f>
        <v>6</v>
      </c>
    </row>
    <row r="113" spans="1:17" x14ac:dyDescent="0.2">
      <c r="A113">
        <v>229</v>
      </c>
      <c r="B113">
        <v>230</v>
      </c>
      <c r="C113">
        <v>229</v>
      </c>
      <c r="D113">
        <v>228</v>
      </c>
      <c r="E113" t="s">
        <v>251</v>
      </c>
      <c r="F113" t="s">
        <v>47</v>
      </c>
      <c r="G113">
        <v>39</v>
      </c>
      <c r="H113" t="s">
        <v>170</v>
      </c>
      <c r="I113">
        <v>0</v>
      </c>
      <c r="J113">
        <v>0.5</v>
      </c>
      <c r="K113" t="str">
        <f>VLOOKUP(H113,metric_dict!A:B,2,0)</f>
        <v>Воронка привлечения</v>
      </c>
      <c r="L113" t="str">
        <f>IF(VLOOKUP(H113,metric_dict!A:C,3,0)=0,"",VLOOKUP(H113,metric_dict!A:C,3,0))</f>
        <v/>
      </c>
      <c r="M113" t="str">
        <f>VLOOKUP(H113,metric_dict!A:AA,4,0)</f>
        <v>Self-service / кампейнинг, успешность</v>
      </c>
      <c r="N113" t="str">
        <f>VLOOKUP(H113,metric_dict!A:AA,5,0)</f>
        <v>Развитие кампейнинга</v>
      </c>
      <c r="O113">
        <f>VLOOKUP(H113,metric_dict!A:AA,6,0)</f>
        <v>2</v>
      </c>
      <c r="P113" t="s">
        <v>97</v>
      </c>
      <c r="Q113">
        <f>VLOOKUP(H113,metric_dict!A:AA,7,0)</f>
        <v>6</v>
      </c>
    </row>
    <row r="114" spans="1:17" x14ac:dyDescent="0.2">
      <c r="A114">
        <v>229</v>
      </c>
      <c r="B114">
        <v>230</v>
      </c>
      <c r="C114">
        <v>229</v>
      </c>
      <c r="D114">
        <v>228</v>
      </c>
      <c r="E114" t="s">
        <v>251</v>
      </c>
      <c r="F114" t="s">
        <v>47</v>
      </c>
      <c r="G114">
        <v>40</v>
      </c>
      <c r="H114" t="s">
        <v>170</v>
      </c>
      <c r="I114">
        <v>0.5</v>
      </c>
      <c r="J114">
        <v>0.5</v>
      </c>
      <c r="K114" t="str">
        <f>VLOOKUP(H114,metric_dict!A:B,2,0)</f>
        <v>Воронка привлечения</v>
      </c>
      <c r="L114" t="str">
        <f>IF(VLOOKUP(H114,metric_dict!A:C,3,0)=0,"",VLOOKUP(H114,metric_dict!A:C,3,0))</f>
        <v/>
      </c>
      <c r="M114" t="str">
        <f>VLOOKUP(H114,metric_dict!A:AA,4,0)</f>
        <v>Self-service / кампейнинг, успешность</v>
      </c>
      <c r="N114" t="str">
        <f>VLOOKUP(H114,metric_dict!A:AA,5,0)</f>
        <v>Развитие кампейнинга</v>
      </c>
      <c r="O114">
        <f>VLOOKUP(H114,metric_dict!A:AA,6,0)</f>
        <v>2</v>
      </c>
      <c r="P114" t="s">
        <v>97</v>
      </c>
      <c r="Q114">
        <f>VLOOKUP(H114,metric_dict!A:AA,7,0)</f>
        <v>6</v>
      </c>
    </row>
    <row r="115" spans="1:17" x14ac:dyDescent="0.2">
      <c r="A115">
        <v>229</v>
      </c>
      <c r="B115">
        <v>230</v>
      </c>
      <c r="C115">
        <v>229</v>
      </c>
      <c r="D115">
        <v>228</v>
      </c>
      <c r="E115" t="s">
        <v>251</v>
      </c>
      <c r="F115" t="s">
        <v>47</v>
      </c>
      <c r="G115">
        <v>41</v>
      </c>
      <c r="H115" t="s">
        <v>173</v>
      </c>
      <c r="I115">
        <v>0.5</v>
      </c>
      <c r="J115">
        <v>1</v>
      </c>
      <c r="K115" t="str">
        <f>VLOOKUP(H115,metric_dict!A:B,2,0)</f>
        <v>Воронка привлечения</v>
      </c>
      <c r="L115" t="str">
        <f>IF(VLOOKUP(H115,metric_dict!A:C,3,0)=0,"",VLOOKUP(H115,metric_dict!A:C,3,0))</f>
        <v/>
      </c>
      <c r="M115" t="str">
        <f>VLOOKUP(H115,metric_dict!A:AA,4,0)</f>
        <v>Покрытие черновиков коммуникациями</v>
      </c>
      <c r="N115" t="str">
        <f>VLOOKUP(H115,metric_dict!A:AA,5,0)</f>
        <v>Увеличить покрытие черновиков</v>
      </c>
      <c r="O115">
        <f>VLOOKUP(H115,metric_dict!A:AA,6,0)</f>
        <v>5</v>
      </c>
      <c r="P115" t="s">
        <v>97</v>
      </c>
      <c r="Q115">
        <f>VLOOKUP(H115,metric_dict!A:AA,7,0)</f>
        <v>7</v>
      </c>
    </row>
    <row r="116" spans="1:17" x14ac:dyDescent="0.2">
      <c r="A116">
        <v>229</v>
      </c>
      <c r="B116">
        <v>230</v>
      </c>
      <c r="C116">
        <v>229</v>
      </c>
      <c r="D116">
        <v>228</v>
      </c>
      <c r="E116" t="s">
        <v>251</v>
      </c>
      <c r="F116" t="s">
        <v>47</v>
      </c>
      <c r="G116">
        <v>42</v>
      </c>
      <c r="H116" t="s">
        <v>176</v>
      </c>
      <c r="I116">
        <v>0.5</v>
      </c>
      <c r="J116">
        <v>1</v>
      </c>
      <c r="K116" t="str">
        <f>VLOOKUP(H116,metric_dict!A:B,2,0)</f>
        <v>Клиентский опыт</v>
      </c>
      <c r="L116" t="str">
        <f>IF(VLOOKUP(H116,metric_dict!A:C,3,0)=0,"",VLOOKUP(H116,metric_dict!A:C,3,0))</f>
        <v/>
      </c>
      <c r="M116" t="str">
        <f>VLOOKUP(H116,metric_dict!A:AA,4,0)</f>
        <v>Зелёная зона клиентского пути</v>
      </c>
      <c r="N116" t="str">
        <f>VLOOKUP(H116,metric_dict!A:AA,5,0)</f>
        <v>Достигнуть целевого CX Score</v>
      </c>
      <c r="O116">
        <f>VLOOKUP(H116,metric_dict!A:AA,6,0)</f>
        <v>5</v>
      </c>
      <c r="P116" t="s">
        <v>97</v>
      </c>
      <c r="Q116">
        <f>VLOOKUP(H116,metric_dict!A:AA,7,0)</f>
        <v>1</v>
      </c>
    </row>
    <row r="117" spans="1:17" x14ac:dyDescent="0.2">
      <c r="A117">
        <v>229</v>
      </c>
      <c r="B117">
        <v>230</v>
      </c>
      <c r="C117">
        <v>229</v>
      </c>
      <c r="D117">
        <v>228</v>
      </c>
      <c r="E117" t="s">
        <v>251</v>
      </c>
      <c r="F117" t="s">
        <v>47</v>
      </c>
      <c r="G117">
        <v>43</v>
      </c>
      <c r="H117" t="s">
        <v>179</v>
      </c>
      <c r="I117">
        <v>0</v>
      </c>
      <c r="J117">
        <v>0</v>
      </c>
      <c r="K117" t="str">
        <f>VLOOKUP(H117,metric_dict!A:B,2,0)</f>
        <v>Гипотезы и инициативы</v>
      </c>
      <c r="L117" t="str">
        <f>IF(VLOOKUP(H117,metric_dict!A:C,3,0)=0,"",VLOOKUP(H117,metric_dict!A:C,3,0))</f>
        <v/>
      </c>
      <c r="M117" t="str">
        <f>VLOOKUP(H117,metric_dict!A:AA,4,0)</f>
        <v>Проведение A/B тестов</v>
      </c>
      <c r="N117" t="str">
        <f>VLOOKUP(H117,metric_dict!A:AA,5,0)</f>
        <v>Запустить A/B-тестирование</v>
      </c>
      <c r="O117">
        <f>VLOOKUP(H117,metric_dict!A:AA,6,0)</f>
        <v>5</v>
      </c>
      <c r="P117" t="s">
        <v>97</v>
      </c>
      <c r="Q117">
        <f>VLOOKUP(H117,metric_dict!A:AA,7,0)</f>
        <v>3</v>
      </c>
    </row>
    <row r="118" spans="1:17" x14ac:dyDescent="0.2">
      <c r="A118">
        <v>229</v>
      </c>
      <c r="B118">
        <v>230</v>
      </c>
      <c r="C118">
        <v>229</v>
      </c>
      <c r="D118">
        <v>228</v>
      </c>
      <c r="E118" t="s">
        <v>251</v>
      </c>
      <c r="F118" t="s">
        <v>47</v>
      </c>
      <c r="G118">
        <v>44</v>
      </c>
      <c r="H118" t="s">
        <v>182</v>
      </c>
      <c r="I118">
        <v>1</v>
      </c>
      <c r="J118">
        <v>1</v>
      </c>
      <c r="K118" t="str">
        <f>VLOOKUP(H118,metric_dict!A:B,2,0)</f>
        <v>Гипотезы и инициативы</v>
      </c>
      <c r="L118" t="str">
        <f>IF(VLOOKUP(H118,metric_dict!A:C,3,0)=0,"",VLOOKUP(H118,metric_dict!A:C,3,0))</f>
        <v/>
      </c>
      <c r="M118" t="str">
        <f>VLOOKUP(H118,metric_dict!A:AA,4,0)</f>
        <v>Средняя оценка проведенных исследований</v>
      </c>
      <c r="N118" t="str">
        <f>VLOOKUP(H118,metric_dict!A:AA,5,0)</f>
        <v>Повысить качество проведенных исследований</v>
      </c>
      <c r="O118">
        <f>VLOOKUP(H118,metric_dict!A:AA,6,0)</f>
        <v>5</v>
      </c>
      <c r="P118" t="s">
        <v>97</v>
      </c>
      <c r="Q118">
        <f>VLOOKUP(H118,metric_dict!A:AA,7,0)</f>
        <v>2</v>
      </c>
    </row>
    <row r="119" spans="1:17" x14ac:dyDescent="0.2">
      <c r="A119">
        <v>229</v>
      </c>
      <c r="B119">
        <v>230</v>
      </c>
      <c r="C119">
        <v>229</v>
      </c>
      <c r="D119">
        <v>228</v>
      </c>
      <c r="E119" t="s">
        <v>251</v>
      </c>
      <c r="F119" t="s">
        <v>47</v>
      </c>
      <c r="G119">
        <v>45</v>
      </c>
      <c r="H119" t="s">
        <v>185</v>
      </c>
      <c r="I119">
        <v>1</v>
      </c>
      <c r="J119">
        <v>1</v>
      </c>
      <c r="K119" t="str">
        <f>VLOOKUP(H119,metric_dict!A:B,2,0)</f>
        <v>Гипотезы и инициативы</v>
      </c>
      <c r="L119" t="str">
        <f>IF(VLOOKUP(H119,metric_dict!A:C,3,0)=0,"",VLOOKUP(H119,metric_dict!A:C,3,0))</f>
        <v/>
      </c>
      <c r="M119" t="str">
        <f>VLOOKUP(H119,metric_dict!A:AA,4,0)</f>
        <v>В реестре инициатив</v>
      </c>
      <c r="N119" t="str">
        <f>VLOOKUP(H119,metric_dict!A:AA,5,0)</f>
        <v>Сформировать перечень инициатив</v>
      </c>
      <c r="O119">
        <f>VLOOKUP(H119,metric_dict!A:AA,6,0)</f>
        <v>3</v>
      </c>
      <c r="P119" t="s">
        <v>97</v>
      </c>
      <c r="Q119">
        <f>VLOOKUP(H119,metric_dict!A:AA,7,0)</f>
        <v>4</v>
      </c>
    </row>
    <row r="120" spans="1:17" x14ac:dyDescent="0.2">
      <c r="A120">
        <v>229</v>
      </c>
      <c r="B120">
        <v>230</v>
      </c>
      <c r="C120">
        <v>229</v>
      </c>
      <c r="D120">
        <v>228</v>
      </c>
      <c r="E120" t="s">
        <v>251</v>
      </c>
      <c r="F120" t="s">
        <v>47</v>
      </c>
      <c r="G120">
        <v>47</v>
      </c>
      <c r="H120" t="s">
        <v>187</v>
      </c>
      <c r="I120">
        <v>0</v>
      </c>
      <c r="J120">
        <v>0.2</v>
      </c>
      <c r="K120" t="str">
        <f>VLOOKUP(H120,metric_dict!A:B,2,0)</f>
        <v>Знание ключевых метрик</v>
      </c>
      <c r="L120" t="str">
        <f>IF(VLOOKUP(H120,metric_dict!A:C,3,0)=0,"",VLOOKUP(H120,metric_dict!A:C,3,0))</f>
        <v/>
      </c>
      <c r="M120" t="str">
        <f>VLOOKUP(H120,metric_dict!A:AA,4,0)</f>
        <v>Оценка потенциального объема клиентов в Сбере</v>
      </c>
      <c r="N120" t="str">
        <f>VLOOKUP(H120,metric_dict!A:AA,5,0)</f>
        <v>Знание метрик и инструментов</v>
      </c>
      <c r="O120">
        <f>VLOOKUP(H120,metric_dict!A:AA,6,0)</f>
        <v>1</v>
      </c>
      <c r="P120" t="s">
        <v>97</v>
      </c>
      <c r="Q120">
        <f>VLOOKUP(H120,metric_dict!A:AA,7,0)</f>
        <v>2</v>
      </c>
    </row>
    <row r="121" spans="1:17" x14ac:dyDescent="0.2">
      <c r="A121">
        <v>229</v>
      </c>
      <c r="B121">
        <v>230</v>
      </c>
      <c r="C121">
        <v>229</v>
      </c>
      <c r="D121">
        <v>228</v>
      </c>
      <c r="E121" t="s">
        <v>251</v>
      </c>
      <c r="F121" t="s">
        <v>47</v>
      </c>
      <c r="G121">
        <v>48</v>
      </c>
      <c r="H121" t="s">
        <v>189</v>
      </c>
      <c r="I121">
        <v>0.2</v>
      </c>
      <c r="J121">
        <v>0.2</v>
      </c>
      <c r="K121" t="str">
        <f>VLOOKUP(H121,metric_dict!A:B,2,0)</f>
        <v>Знание ключевых метрик</v>
      </c>
      <c r="L121" t="str">
        <f>IF(VLOOKUP(H121,metric_dict!A:C,3,0)=0,"",VLOOKUP(H121,metric_dict!A:C,3,0))</f>
        <v/>
      </c>
      <c r="M121" t="str">
        <f>VLOOKUP(H121,metric_dict!A:AA,4,0)</f>
        <v>Фактическая база клиентов продукта</v>
      </c>
      <c r="N121" t="str">
        <f>VLOOKUP(H121,metric_dict!A:AA,5,0)</f>
        <v>Знание метрик и инструментов</v>
      </c>
      <c r="O121">
        <f>VLOOKUP(H121,metric_dict!A:AA,6,0)</f>
        <v>1</v>
      </c>
      <c r="P121" t="s">
        <v>97</v>
      </c>
      <c r="Q121">
        <f>VLOOKUP(H121,metric_dict!A:AA,7,0)</f>
        <v>3</v>
      </c>
    </row>
    <row r="122" spans="1:17" x14ac:dyDescent="0.2">
      <c r="A122">
        <v>229</v>
      </c>
      <c r="B122">
        <v>230</v>
      </c>
      <c r="C122">
        <v>229</v>
      </c>
      <c r="D122">
        <v>228</v>
      </c>
      <c r="E122" t="s">
        <v>251</v>
      </c>
      <c r="F122" t="s">
        <v>47</v>
      </c>
      <c r="G122">
        <v>49</v>
      </c>
      <c r="H122" t="s">
        <v>191</v>
      </c>
      <c r="I122">
        <v>0.2</v>
      </c>
      <c r="J122">
        <v>0.2</v>
      </c>
      <c r="K122" t="str">
        <f>VLOOKUP(H122,metric_dict!A:B,2,0)</f>
        <v>Знание ключевых метрик</v>
      </c>
      <c r="L122" t="str">
        <f>IF(VLOOKUP(H122,metric_dict!A:C,3,0)=0,"",VLOOKUP(H122,metric_dict!A:C,3,0))</f>
        <v/>
      </c>
      <c r="M122" t="str">
        <f>VLOOKUP(H122,metric_dict!A:AA,4,0)</f>
        <v>Активная месячная аудитория продукта</v>
      </c>
      <c r="N122" t="str">
        <f>VLOOKUP(H122,metric_dict!A:AA,5,0)</f>
        <v>Знание метрик и инструментов</v>
      </c>
      <c r="O122">
        <f>VLOOKUP(H122,metric_dict!A:AA,6,0)</f>
        <v>1</v>
      </c>
      <c r="P122" t="s">
        <v>97</v>
      </c>
      <c r="Q122">
        <f>VLOOKUP(H122,metric_dict!A:AA,7,0)</f>
        <v>4</v>
      </c>
    </row>
    <row r="123" spans="1:17" x14ac:dyDescent="0.2">
      <c r="A123">
        <v>229</v>
      </c>
      <c r="B123">
        <v>230</v>
      </c>
      <c r="C123">
        <v>229</v>
      </c>
      <c r="D123">
        <v>228</v>
      </c>
      <c r="E123" t="s">
        <v>251</v>
      </c>
      <c r="F123" t="s">
        <v>47</v>
      </c>
      <c r="G123">
        <v>50</v>
      </c>
      <c r="H123" t="s">
        <v>193</v>
      </c>
      <c r="I123">
        <v>0.1</v>
      </c>
      <c r="J123">
        <v>0.1</v>
      </c>
      <c r="K123" t="str">
        <f>VLOOKUP(H123,metric_dict!A:B,2,0)</f>
        <v>Знание ключевых метрик</v>
      </c>
      <c r="L123" t="str">
        <f>IF(VLOOKUP(H123,metric_dict!A:C,3,0)=0,"",VLOOKUP(H123,metric_dict!A:C,3,0))</f>
        <v/>
      </c>
      <c r="M123" t="str">
        <f>VLOOKUP(H123,metric_dict!A:AA,4,0)</f>
        <v>Понимание связанных продуктов и сценариев</v>
      </c>
      <c r="N123" t="str">
        <f>VLOOKUP(H123,metric_dict!A:AA,5,0)</f>
        <v>Знание метрик и инструментов</v>
      </c>
      <c r="O123">
        <f>VLOOKUP(H123,metric_dict!A:AA,6,0)</f>
        <v>1</v>
      </c>
      <c r="P123" t="s">
        <v>97</v>
      </c>
      <c r="Q123">
        <f>VLOOKUP(H123,metric_dict!A:AA,7,0)</f>
        <v>12</v>
      </c>
    </row>
    <row r="124" spans="1:17" x14ac:dyDescent="0.2">
      <c r="A124">
        <v>229</v>
      </c>
      <c r="B124">
        <v>230</v>
      </c>
      <c r="C124">
        <v>229</v>
      </c>
      <c r="D124">
        <v>228</v>
      </c>
      <c r="E124" t="s">
        <v>251</v>
      </c>
      <c r="F124" t="s">
        <v>47</v>
      </c>
      <c r="G124">
        <v>51</v>
      </c>
      <c r="H124" t="s">
        <v>193</v>
      </c>
      <c r="I124">
        <v>0</v>
      </c>
      <c r="J124">
        <v>0.1</v>
      </c>
      <c r="K124" t="str">
        <f>VLOOKUP(H124,metric_dict!A:B,2,0)</f>
        <v>Знание ключевых метрик</v>
      </c>
      <c r="L124" t="str">
        <f>IF(VLOOKUP(H124,metric_dict!A:C,3,0)=0,"",VLOOKUP(H124,metric_dict!A:C,3,0))</f>
        <v/>
      </c>
      <c r="M124" t="str">
        <f>VLOOKUP(H124,metric_dict!A:AA,4,0)</f>
        <v>Понимание связанных продуктов и сценариев</v>
      </c>
      <c r="N124" t="str">
        <f>VLOOKUP(H124,metric_dict!A:AA,5,0)</f>
        <v>Знание метрик и инструментов</v>
      </c>
      <c r="O124">
        <f>VLOOKUP(H124,metric_dict!A:AA,6,0)</f>
        <v>1</v>
      </c>
      <c r="P124" t="s">
        <v>97</v>
      </c>
      <c r="Q124">
        <f>VLOOKUP(H124,metric_dict!A:AA,7,0)</f>
        <v>12</v>
      </c>
    </row>
    <row r="125" spans="1:17" x14ac:dyDescent="0.2">
      <c r="A125">
        <v>229</v>
      </c>
      <c r="B125">
        <v>230</v>
      </c>
      <c r="C125">
        <v>229</v>
      </c>
      <c r="D125">
        <v>228</v>
      </c>
      <c r="E125" t="s">
        <v>251</v>
      </c>
      <c r="F125" t="s">
        <v>47</v>
      </c>
      <c r="G125">
        <v>96</v>
      </c>
      <c r="H125" t="s">
        <v>265</v>
      </c>
      <c r="I125">
        <v>0</v>
      </c>
      <c r="J125">
        <v>0</v>
      </c>
      <c r="K125" t="str">
        <f>VLOOKUP(H125,metric_dict!A:B,2,0)</f>
        <v>Механики</v>
      </c>
      <c r="L125" t="str">
        <f>IF(VLOOKUP(H125,metric_dict!A:C,3,0)=0,"",VLOOKUP(H125,metric_dict!A:C,3,0))</f>
        <v/>
      </c>
      <c r="M125" t="str">
        <f>VLOOKUP(H125,metric_dict!A:AA,4,0)</f>
        <v>Настроен по ключевым механикам работы с клиентской базой</v>
      </c>
      <c r="N125" t="str">
        <f>VLOOKUP(H125,metric_dict!A:AA,5,0)</f>
        <v>Настроить мониторинг по ключевым механикам</v>
      </c>
      <c r="O125">
        <f>VLOOKUP(H125,metric_dict!A:AA,6,0)</f>
        <v>2</v>
      </c>
      <c r="P125" t="s">
        <v>97</v>
      </c>
      <c r="Q125">
        <f>VLOOKUP(H125,metric_dict!A:AA,7,0)</f>
        <v>22</v>
      </c>
    </row>
    <row r="126" spans="1:17" x14ac:dyDescent="0.2">
      <c r="A126">
        <v>229</v>
      </c>
      <c r="B126">
        <v>230</v>
      </c>
      <c r="C126">
        <v>229</v>
      </c>
      <c r="D126">
        <v>228</v>
      </c>
      <c r="E126" t="s">
        <v>251</v>
      </c>
      <c r="F126" t="s">
        <v>47</v>
      </c>
      <c r="G126">
        <v>99</v>
      </c>
      <c r="H126" t="s">
        <v>265</v>
      </c>
      <c r="I126">
        <v>0</v>
      </c>
      <c r="J126">
        <v>0</v>
      </c>
      <c r="K126" t="str">
        <f>VLOOKUP(H126,metric_dict!A:B,2,0)</f>
        <v>Механики</v>
      </c>
      <c r="L126" t="str">
        <f>IF(VLOOKUP(H126,metric_dict!A:C,3,0)=0,"",VLOOKUP(H126,metric_dict!A:C,3,0))</f>
        <v/>
      </c>
      <c r="M126" t="str">
        <f>VLOOKUP(H126,metric_dict!A:AA,4,0)</f>
        <v>Настроен по ключевым механикам работы с клиентской базой</v>
      </c>
      <c r="N126" t="str">
        <f>VLOOKUP(H126,metric_dict!A:AA,5,0)</f>
        <v>Настроить мониторинг по ключевым механикам</v>
      </c>
      <c r="O126">
        <f>VLOOKUP(H126,metric_dict!A:AA,6,0)</f>
        <v>2</v>
      </c>
      <c r="P126" t="s">
        <v>97</v>
      </c>
      <c r="Q126">
        <f>VLOOKUP(H126,metric_dict!A:AA,7,0)</f>
        <v>22</v>
      </c>
    </row>
    <row r="127" spans="1:17" x14ac:dyDescent="0.2">
      <c r="A127">
        <v>229</v>
      </c>
      <c r="B127">
        <v>230</v>
      </c>
      <c r="C127">
        <v>229</v>
      </c>
      <c r="D127">
        <v>228</v>
      </c>
      <c r="E127" t="s">
        <v>251</v>
      </c>
      <c r="F127" t="s">
        <v>47</v>
      </c>
      <c r="G127">
        <v>98</v>
      </c>
      <c r="H127" t="s">
        <v>204</v>
      </c>
      <c r="I127">
        <v>0</v>
      </c>
      <c r="J127">
        <v>1</v>
      </c>
      <c r="K127" t="str">
        <f>VLOOKUP(H127,metric_dict!A:B,2,0)</f>
        <v>Механики</v>
      </c>
      <c r="L127" t="str">
        <f>IF(VLOOKUP(H127,metric_dict!A:C,3,0)=0,"",VLOOKUP(H127,metric_dict!A:C,3,0))</f>
        <v/>
      </c>
      <c r="M127" t="str">
        <f>VLOOKUP(H127,metric_dict!A:AA,4,0)</f>
        <v>Возможность изменить набор опций по продукту без IT-разработки</v>
      </c>
      <c r="N127" t="str">
        <f>VLOOKUP(H127,metric_dict!A:AA,5,0)</f>
        <v>Выстроить процесс гибкого изменения условий без IT</v>
      </c>
      <c r="O127">
        <f>VLOOKUP(H127,metric_dict!A:AA,6,0)</f>
        <v>10</v>
      </c>
      <c r="P127" t="s">
        <v>97</v>
      </c>
      <c r="Q127">
        <f>VLOOKUP(H127,metric_dict!A:AA,7,0)</f>
        <v>7</v>
      </c>
    </row>
    <row r="128" spans="1:17" x14ac:dyDescent="0.2">
      <c r="A128">
        <v>239</v>
      </c>
      <c r="B128">
        <v>240</v>
      </c>
      <c r="C128">
        <v>239</v>
      </c>
      <c r="D128">
        <v>238</v>
      </c>
      <c r="E128" t="s">
        <v>251</v>
      </c>
      <c r="F128" t="s">
        <v>49</v>
      </c>
      <c r="G128">
        <v>53</v>
      </c>
      <c r="H128" t="s">
        <v>201</v>
      </c>
      <c r="I128">
        <v>0</v>
      </c>
      <c r="J128">
        <v>0</v>
      </c>
      <c r="K128" t="e">
        <f>VLOOKUP(H128,metric_dict!A:B,2,0)</f>
        <v>#N/A</v>
      </c>
      <c r="L128" t="e">
        <f>IF(VLOOKUP(H128,metric_dict!A:C,3,0)=0,"",VLOOKUP(H128,metric_dict!A:C,3,0))</f>
        <v>#N/A</v>
      </c>
      <c r="M128" t="e">
        <f>VLOOKUP(H128,metric_dict!A:AA,4,0)</f>
        <v>#N/A</v>
      </c>
      <c r="N128" t="e">
        <f>VLOOKUP(H128,metric_dict!A:AA,5,0)</f>
        <v>#N/A</v>
      </c>
      <c r="O128" t="e">
        <f>VLOOKUP(H128,metric_dict!A:AA,6,0)</f>
        <v>#N/A</v>
      </c>
      <c r="P128" t="s">
        <v>97</v>
      </c>
      <c r="Q128" t="e">
        <f>VLOOKUP(H128,metric_dict!A:AA,7,0)</f>
        <v>#N/A</v>
      </c>
    </row>
    <row r="129" spans="1:17" x14ac:dyDescent="0.2">
      <c r="A129">
        <v>229</v>
      </c>
      <c r="B129">
        <v>230</v>
      </c>
      <c r="C129">
        <v>229</v>
      </c>
      <c r="D129">
        <v>228</v>
      </c>
      <c r="E129" t="s">
        <v>251</v>
      </c>
      <c r="F129" t="s">
        <v>47</v>
      </c>
      <c r="G129">
        <v>53</v>
      </c>
      <c r="H129" t="s">
        <v>201</v>
      </c>
      <c r="I129">
        <v>0</v>
      </c>
      <c r="J129" t="s">
        <v>287</v>
      </c>
      <c r="K129" t="e">
        <f>VLOOKUP(H129,metric_dict!A:B,2,0)</f>
        <v>#N/A</v>
      </c>
      <c r="L129" t="e">
        <f>IF(VLOOKUP(H129,metric_dict!A:C,3,0)=0,"",VLOOKUP(H129,metric_dict!A:C,3,0))</f>
        <v>#N/A</v>
      </c>
      <c r="M129" t="e">
        <f>VLOOKUP(H129,metric_dict!A:AA,4,0)</f>
        <v>#N/A</v>
      </c>
      <c r="N129" t="e">
        <f>VLOOKUP(H129,metric_dict!A:AA,5,0)</f>
        <v>#N/A</v>
      </c>
      <c r="O129" t="e">
        <f>VLOOKUP(H129,metric_dict!A:AA,6,0)</f>
        <v>#N/A</v>
      </c>
      <c r="P129" t="s">
        <v>97</v>
      </c>
      <c r="Q129" t="e">
        <f>VLOOKUP(H129,metric_dict!A:AA,7,0)</f>
        <v>#N/A</v>
      </c>
    </row>
    <row r="130" spans="1:17" x14ac:dyDescent="0.2">
      <c r="A130">
        <v>239</v>
      </c>
      <c r="B130">
        <v>240</v>
      </c>
      <c r="C130">
        <v>239</v>
      </c>
      <c r="D130">
        <v>238</v>
      </c>
      <c r="E130" t="s">
        <v>251</v>
      </c>
      <c r="F130" t="s">
        <v>49</v>
      </c>
      <c r="G130">
        <v>54</v>
      </c>
      <c r="H130" t="s">
        <v>203</v>
      </c>
      <c r="I130">
        <v>0</v>
      </c>
      <c r="J130" t="s">
        <v>294</v>
      </c>
      <c r="K130" t="e">
        <f>VLOOKUP(H130,metric_dict!A:B,2,0)</f>
        <v>#N/A</v>
      </c>
      <c r="L130" t="e">
        <f>IF(VLOOKUP(H130,metric_dict!A:C,3,0)=0,"",VLOOKUP(H130,metric_dict!A:C,3,0))</f>
        <v>#N/A</v>
      </c>
      <c r="M130" t="e">
        <f>VLOOKUP(H130,metric_dict!A:AA,4,0)</f>
        <v>#N/A</v>
      </c>
      <c r="N130" t="e">
        <f>VLOOKUP(H130,metric_dict!A:AA,5,0)</f>
        <v>#N/A</v>
      </c>
      <c r="O130" t="e">
        <f>VLOOKUP(H130,metric_dict!A:AA,6,0)</f>
        <v>#N/A</v>
      </c>
      <c r="P130" t="s">
        <v>97</v>
      </c>
      <c r="Q130" t="e">
        <f>VLOOKUP(H130,metric_dict!A:AA,7,0)</f>
        <v>#N/A</v>
      </c>
    </row>
    <row r="131" spans="1:17" x14ac:dyDescent="0.2">
      <c r="A131">
        <v>229</v>
      </c>
      <c r="B131">
        <v>230</v>
      </c>
      <c r="C131">
        <v>229</v>
      </c>
      <c r="D131">
        <v>228</v>
      </c>
      <c r="E131" t="s">
        <v>251</v>
      </c>
      <c r="F131" t="s">
        <v>47</v>
      </c>
      <c r="G131">
        <v>52</v>
      </c>
      <c r="H131" t="s">
        <v>200</v>
      </c>
      <c r="I131">
        <v>0</v>
      </c>
      <c r="J131" t="s">
        <v>287</v>
      </c>
      <c r="K131" t="e">
        <f>VLOOKUP(H131,metric_dict!A:B,2,0)</f>
        <v>#N/A</v>
      </c>
      <c r="L131" t="e">
        <f>IF(VLOOKUP(H131,metric_dict!A:C,3,0)=0,"",VLOOKUP(H131,metric_dict!A:C,3,0))</f>
        <v>#N/A</v>
      </c>
      <c r="M131" t="e">
        <f>VLOOKUP(H131,metric_dict!A:AA,4,0)</f>
        <v>#N/A</v>
      </c>
      <c r="N131" t="e">
        <f>VLOOKUP(H131,metric_dict!A:AA,5,0)</f>
        <v>#N/A</v>
      </c>
      <c r="O131" t="e">
        <f>VLOOKUP(H131,metric_dict!A:AA,6,0)</f>
        <v>#N/A</v>
      </c>
      <c r="P131" t="s">
        <v>97</v>
      </c>
      <c r="Q131" t="e">
        <f>VLOOKUP(H131,metric_dict!A:AA,7,0)</f>
        <v>#N/A</v>
      </c>
    </row>
    <row r="132" spans="1:17" x14ac:dyDescent="0.2">
      <c r="A132">
        <v>239</v>
      </c>
      <c r="B132">
        <v>240</v>
      </c>
      <c r="C132">
        <v>239</v>
      </c>
      <c r="D132">
        <v>238</v>
      </c>
      <c r="E132" t="s">
        <v>251</v>
      </c>
      <c r="F132" t="s">
        <v>49</v>
      </c>
      <c r="G132">
        <v>101</v>
      </c>
      <c r="H132" t="s">
        <v>208</v>
      </c>
      <c r="I132">
        <v>0</v>
      </c>
      <c r="J132">
        <v>1</v>
      </c>
      <c r="K132" t="e">
        <f>VLOOKUP(H132,metric_dict!A:B,2,0)</f>
        <v>#N/A</v>
      </c>
      <c r="L132" t="e">
        <f>IF(VLOOKUP(H132,metric_dict!A:C,3,0)=0,"",VLOOKUP(H132,metric_dict!A:C,3,0))</f>
        <v>#N/A</v>
      </c>
      <c r="M132" t="e">
        <f>VLOOKUP(H132,metric_dict!A:AA,4,0)</f>
        <v>#N/A</v>
      </c>
      <c r="N132" t="e">
        <f>VLOOKUP(H132,metric_dict!A:AA,5,0)</f>
        <v>#N/A</v>
      </c>
      <c r="O132" t="e">
        <f>VLOOKUP(H132,metric_dict!A:AA,6,0)</f>
        <v>#N/A</v>
      </c>
      <c r="P132" t="s">
        <v>97</v>
      </c>
      <c r="Q132" t="e">
        <f>VLOOKUP(H132,metric_dict!A:AA,7,0)</f>
        <v>#N/A</v>
      </c>
    </row>
    <row r="133" spans="1:17" x14ac:dyDescent="0.2">
      <c r="A133">
        <v>229</v>
      </c>
      <c r="B133">
        <v>230</v>
      </c>
      <c r="C133">
        <v>229</v>
      </c>
      <c r="D133">
        <v>228</v>
      </c>
      <c r="E133" t="s">
        <v>251</v>
      </c>
      <c r="F133" t="s">
        <v>47</v>
      </c>
      <c r="G133">
        <v>101</v>
      </c>
      <c r="H133" t="s">
        <v>208</v>
      </c>
      <c r="I133">
        <v>1</v>
      </c>
      <c r="J133">
        <v>1</v>
      </c>
      <c r="K133" t="e">
        <f>VLOOKUP(H133,metric_dict!A:B,2,0)</f>
        <v>#N/A</v>
      </c>
      <c r="L133" t="e">
        <f>IF(VLOOKUP(H133,metric_dict!A:C,3,0)=0,"",VLOOKUP(H133,metric_dict!A:C,3,0))</f>
        <v>#N/A</v>
      </c>
      <c r="M133" t="e">
        <f>VLOOKUP(H133,metric_dict!A:AA,4,0)</f>
        <v>#N/A</v>
      </c>
      <c r="N133" t="e">
        <f>VLOOKUP(H133,metric_dict!A:AA,5,0)</f>
        <v>#N/A</v>
      </c>
      <c r="O133" t="e">
        <f>VLOOKUP(H133,metric_dict!A:AA,6,0)</f>
        <v>#N/A</v>
      </c>
      <c r="P133" t="s">
        <v>97</v>
      </c>
      <c r="Q133" t="e">
        <f>VLOOKUP(H133,metric_dict!A:AA,7,0)</f>
        <v>#N/A</v>
      </c>
    </row>
    <row r="134" spans="1:17" x14ac:dyDescent="0.2">
      <c r="A134">
        <v>239</v>
      </c>
      <c r="B134">
        <v>240</v>
      </c>
      <c r="C134">
        <v>239</v>
      </c>
      <c r="D134">
        <v>238</v>
      </c>
      <c r="E134" t="s">
        <v>251</v>
      </c>
      <c r="F134" t="s">
        <v>49</v>
      </c>
      <c r="G134">
        <v>102</v>
      </c>
      <c r="H134" t="s">
        <v>209</v>
      </c>
      <c r="I134">
        <v>0</v>
      </c>
      <c r="J134">
        <v>1</v>
      </c>
      <c r="K134" t="e">
        <f>VLOOKUP(H134,metric_dict!A:B,2,0)</f>
        <v>#N/A</v>
      </c>
      <c r="L134" t="e">
        <f>IF(VLOOKUP(H134,metric_dict!A:C,3,0)=0,"",VLOOKUP(H134,metric_dict!A:C,3,0))</f>
        <v>#N/A</v>
      </c>
      <c r="M134" t="e">
        <f>VLOOKUP(H134,metric_dict!A:AA,4,0)</f>
        <v>#N/A</v>
      </c>
      <c r="N134" t="e">
        <f>VLOOKUP(H134,metric_dict!A:AA,5,0)</f>
        <v>#N/A</v>
      </c>
      <c r="O134" t="e">
        <f>VLOOKUP(H134,metric_dict!A:AA,6,0)</f>
        <v>#N/A</v>
      </c>
      <c r="P134" t="s">
        <v>97</v>
      </c>
      <c r="Q134" t="e">
        <f>VLOOKUP(H134,metric_dict!A:AA,7,0)</f>
        <v>#N/A</v>
      </c>
    </row>
    <row r="135" spans="1:17" x14ac:dyDescent="0.2">
      <c r="A135">
        <v>229</v>
      </c>
      <c r="B135">
        <v>230</v>
      </c>
      <c r="C135">
        <v>229</v>
      </c>
      <c r="D135">
        <v>228</v>
      </c>
      <c r="E135" t="s">
        <v>251</v>
      </c>
      <c r="F135" t="s">
        <v>47</v>
      </c>
      <c r="G135">
        <v>102</v>
      </c>
      <c r="H135" t="s">
        <v>209</v>
      </c>
      <c r="I135">
        <v>0</v>
      </c>
      <c r="J135">
        <v>1</v>
      </c>
      <c r="K135" t="e">
        <f>VLOOKUP(H135,metric_dict!A:B,2,0)</f>
        <v>#N/A</v>
      </c>
      <c r="L135" t="e">
        <f>IF(VLOOKUP(H135,metric_dict!A:C,3,0)=0,"",VLOOKUP(H135,metric_dict!A:C,3,0))</f>
        <v>#N/A</v>
      </c>
      <c r="M135" t="e">
        <f>VLOOKUP(H135,metric_dict!A:AA,4,0)</f>
        <v>#N/A</v>
      </c>
      <c r="N135" t="e">
        <f>VLOOKUP(H135,metric_dict!A:AA,5,0)</f>
        <v>#N/A</v>
      </c>
      <c r="O135" t="e">
        <f>VLOOKUP(H135,metric_dict!A:AA,6,0)</f>
        <v>#N/A</v>
      </c>
      <c r="P135" t="s">
        <v>97</v>
      </c>
      <c r="Q135" t="e">
        <f>VLOOKUP(H135,metric_dict!A:AA,7,0)</f>
        <v>#N/A</v>
      </c>
    </row>
    <row r="136" spans="1:17" x14ac:dyDescent="0.2">
      <c r="A136">
        <v>239</v>
      </c>
      <c r="B136">
        <v>240</v>
      </c>
      <c r="C136">
        <v>239</v>
      </c>
      <c r="D136">
        <v>238</v>
      </c>
      <c r="E136" t="s">
        <v>251</v>
      </c>
      <c r="F136" t="s">
        <v>49</v>
      </c>
      <c r="G136">
        <v>103</v>
      </c>
      <c r="H136" t="s">
        <v>210</v>
      </c>
      <c r="I136">
        <v>0</v>
      </c>
      <c r="J136">
        <v>1</v>
      </c>
      <c r="K136" t="e">
        <f>VLOOKUP(H136,metric_dict!A:B,2,0)</f>
        <v>#N/A</v>
      </c>
      <c r="L136" t="e">
        <f>IF(VLOOKUP(H136,metric_dict!A:C,3,0)=0,"",VLOOKUP(H136,metric_dict!A:C,3,0))</f>
        <v>#N/A</v>
      </c>
      <c r="M136" t="e">
        <f>VLOOKUP(H136,metric_dict!A:AA,4,0)</f>
        <v>#N/A</v>
      </c>
      <c r="N136" t="e">
        <f>VLOOKUP(H136,metric_dict!A:AA,5,0)</f>
        <v>#N/A</v>
      </c>
      <c r="O136" t="e">
        <f>VLOOKUP(H136,metric_dict!A:AA,6,0)</f>
        <v>#N/A</v>
      </c>
      <c r="P136" t="s">
        <v>97</v>
      </c>
      <c r="Q136" t="e">
        <f>VLOOKUP(H136,metric_dict!A:AA,7,0)</f>
        <v>#N/A</v>
      </c>
    </row>
    <row r="137" spans="1:17" x14ac:dyDescent="0.2">
      <c r="A137">
        <v>229</v>
      </c>
      <c r="B137">
        <v>230</v>
      </c>
      <c r="C137">
        <v>229</v>
      </c>
      <c r="D137">
        <v>228</v>
      </c>
      <c r="E137" t="s">
        <v>251</v>
      </c>
      <c r="F137" t="s">
        <v>47</v>
      </c>
      <c r="G137">
        <v>103</v>
      </c>
      <c r="H137" t="s">
        <v>210</v>
      </c>
      <c r="I137">
        <v>0</v>
      </c>
      <c r="J137">
        <v>1</v>
      </c>
      <c r="K137" t="e">
        <f>VLOOKUP(H137,metric_dict!A:B,2,0)</f>
        <v>#N/A</v>
      </c>
      <c r="L137" t="e">
        <f>IF(VLOOKUP(H137,metric_dict!A:C,3,0)=0,"",VLOOKUP(H137,metric_dict!A:C,3,0))</f>
        <v>#N/A</v>
      </c>
      <c r="M137" t="e">
        <f>VLOOKUP(H137,metric_dict!A:AA,4,0)</f>
        <v>#N/A</v>
      </c>
      <c r="N137" t="e">
        <f>VLOOKUP(H137,metric_dict!A:AA,5,0)</f>
        <v>#N/A</v>
      </c>
      <c r="O137" t="e">
        <f>VLOOKUP(H137,metric_dict!A:AA,6,0)</f>
        <v>#N/A</v>
      </c>
      <c r="P137" t="s">
        <v>97</v>
      </c>
      <c r="Q137" t="e">
        <f>VLOOKUP(H137,metric_dict!A:AA,7,0)</f>
        <v>#N/A</v>
      </c>
    </row>
    <row r="138" spans="1:17" x14ac:dyDescent="0.2">
      <c r="A138">
        <v>13</v>
      </c>
      <c r="B138">
        <v>14</v>
      </c>
      <c r="C138">
        <v>13</v>
      </c>
      <c r="D138">
        <v>12</v>
      </c>
      <c r="E138" t="s">
        <v>251</v>
      </c>
      <c r="F138" t="s">
        <v>50</v>
      </c>
      <c r="G138">
        <v>99</v>
      </c>
      <c r="H138" t="s">
        <v>330</v>
      </c>
      <c r="I138">
        <v>0.3</v>
      </c>
      <c r="J138">
        <v>0.3</v>
      </c>
      <c r="K138" t="str">
        <f>VLOOKUP(H138,metric_dict!A:B,2,0)</f>
        <v>Знание ключевых метрик</v>
      </c>
      <c r="L138" t="str">
        <f>IF(VLOOKUP(H138,metric_dict!A:C,3,0)=0,"",VLOOKUP(H138,metric_dict!A:C,3,0))</f>
        <v/>
      </c>
      <c r="M138" t="str">
        <f>VLOOKUP(H138,metric_dict!A:AA,4,0)</f>
        <v>Знание значения метрики активной клиентской базы</v>
      </c>
      <c r="N138" t="str">
        <f>VLOOKUP(H138,metric_dict!A:AA,5,0)</f>
        <v>Знание метрик и инструментов</v>
      </c>
      <c r="O138">
        <f>VLOOKUP(H138,metric_dict!A:AA,6,0)</f>
        <v>1</v>
      </c>
      <c r="P138" t="s">
        <v>256</v>
      </c>
      <c r="Q138">
        <f>VLOOKUP(H138,metric_dict!A:AA,7,0)</f>
        <v>5</v>
      </c>
    </row>
    <row r="139" spans="1:17" x14ac:dyDescent="0.2">
      <c r="A139">
        <v>13</v>
      </c>
      <c r="B139">
        <v>14</v>
      </c>
      <c r="C139">
        <v>13</v>
      </c>
      <c r="D139">
        <v>12</v>
      </c>
      <c r="E139" t="s">
        <v>251</v>
      </c>
      <c r="F139" t="s">
        <v>50</v>
      </c>
      <c r="G139">
        <v>98</v>
      </c>
      <c r="H139" t="s">
        <v>331</v>
      </c>
      <c r="I139">
        <v>0.15</v>
      </c>
      <c r="J139">
        <v>0.3</v>
      </c>
      <c r="K139" t="str">
        <f>VLOOKUP(H139,metric_dict!A:B,2,0)</f>
        <v>Знание ключевых метрик</v>
      </c>
      <c r="L139" t="str">
        <f>IF(VLOOKUP(H139,metric_dict!A:C,3,0)=0,"",VLOOKUP(H139,metric_dict!A:C,3,0))</f>
        <v/>
      </c>
      <c r="M139" t="str">
        <f>VLOOKUP(H139,metric_dict!A:AA,4,0)</f>
        <v>Знание метрики Major</v>
      </c>
      <c r="N139" t="str">
        <f>VLOOKUP(H139,metric_dict!A:AA,5,0)</f>
        <v>Знание метрик и инструментов</v>
      </c>
      <c r="O139">
        <f>VLOOKUP(H139,metric_dict!A:AA,6,0)</f>
        <v>1</v>
      </c>
      <c r="P139" t="s">
        <v>256</v>
      </c>
      <c r="Q139">
        <f>VLOOKUP(H139,metric_dict!A:AA,7,0)</f>
        <v>6</v>
      </c>
    </row>
    <row r="140" spans="1:17" x14ac:dyDescent="0.2">
      <c r="A140">
        <v>13</v>
      </c>
      <c r="B140">
        <v>14</v>
      </c>
      <c r="C140">
        <v>13</v>
      </c>
      <c r="D140">
        <v>12</v>
      </c>
      <c r="E140" t="s">
        <v>251</v>
      </c>
      <c r="F140" t="s">
        <v>50</v>
      </c>
      <c r="G140">
        <v>97</v>
      </c>
      <c r="H140" t="s">
        <v>332</v>
      </c>
      <c r="I140">
        <v>0</v>
      </c>
      <c r="J140">
        <v>0</v>
      </c>
      <c r="K140" t="str">
        <f>VLOOKUP(H140,metric_dict!A:B,2,0)</f>
        <v>Знание ключевых метрик</v>
      </c>
      <c r="L140" t="str">
        <f>IF(VLOOKUP(H140,metric_dict!A:C,3,0)=0,"",VLOOKUP(H140,metric_dict!A:C,3,0))</f>
        <v/>
      </c>
      <c r="M140" t="str">
        <f>VLOOKUP(H140,metric_dict!A:AA,4,0)</f>
        <v>Знание метрики кол-во клиентов с 2+ нефин.сервисов</v>
      </c>
      <c r="N140" t="str">
        <f>VLOOKUP(H140,metric_dict!A:AA,5,0)</f>
        <v>Знание метрик и инструментов</v>
      </c>
      <c r="O140">
        <f>VLOOKUP(H140,metric_dict!A:AA,6,0)</f>
        <v>1</v>
      </c>
      <c r="P140" t="s">
        <v>256</v>
      </c>
      <c r="Q140">
        <f>VLOOKUP(H140,metric_dict!A:AA,7,0)</f>
        <v>7</v>
      </c>
    </row>
    <row r="141" spans="1:17" x14ac:dyDescent="0.2">
      <c r="A141">
        <v>13</v>
      </c>
      <c r="B141">
        <v>14</v>
      </c>
      <c r="C141">
        <v>13</v>
      </c>
      <c r="D141">
        <v>12</v>
      </c>
      <c r="E141" t="s">
        <v>251</v>
      </c>
      <c r="F141" t="s">
        <v>50</v>
      </c>
      <c r="G141">
        <v>2</v>
      </c>
      <c r="H141" t="s">
        <v>98</v>
      </c>
      <c r="I141">
        <v>0.25</v>
      </c>
      <c r="J141">
        <v>0.5</v>
      </c>
      <c r="K141" t="str">
        <f>VLOOKUP(H141,metric_dict!A:B,2,0)</f>
        <v>Знание ключевых метрик</v>
      </c>
      <c r="L141" t="str">
        <f>IF(VLOOKUP(H141,metric_dict!A:C,3,0)=0,"",VLOOKUP(H141,metric_dict!A:C,3,0))</f>
        <v/>
      </c>
      <c r="M141" t="str">
        <f>VLOOKUP(H141,metric_dict!A:AA,4,0)</f>
        <v>Понимание доступной отчетности и регулярного мониторинга</v>
      </c>
      <c r="N141" t="str">
        <f>VLOOKUP(H141,metric_dict!A:AA,5,0)</f>
        <v>Знание метрик и инструментов</v>
      </c>
      <c r="O141">
        <f>VLOOKUP(H141,metric_dict!A:AA,6,0)</f>
        <v>1</v>
      </c>
      <c r="P141" t="s">
        <v>256</v>
      </c>
      <c r="Q141">
        <f>VLOOKUP(H141,metric_dict!A:AA,7,0)</f>
        <v>13</v>
      </c>
    </row>
    <row r="142" spans="1:17" x14ac:dyDescent="0.2">
      <c r="A142">
        <v>13</v>
      </c>
      <c r="B142">
        <v>14</v>
      </c>
      <c r="C142">
        <v>13</v>
      </c>
      <c r="D142">
        <v>12</v>
      </c>
      <c r="E142" t="s">
        <v>251</v>
      </c>
      <c r="F142" t="s">
        <v>50</v>
      </c>
      <c r="G142">
        <v>3</v>
      </c>
      <c r="H142" t="s">
        <v>100</v>
      </c>
      <c r="I142">
        <v>0.5</v>
      </c>
      <c r="J142">
        <v>1</v>
      </c>
      <c r="K142" t="str">
        <f>VLOOKUP(H142,metric_dict!A:B,2,0)</f>
        <v>Цели</v>
      </c>
      <c r="L142" t="str">
        <f>IF(VLOOKUP(H142,metric_dict!A:C,3,0)=0,"",VLOOKUP(H142,metric_dict!A:C,3,0))</f>
        <v/>
      </c>
      <c r="M142" t="str">
        <f>VLOOKUP(H142,metric_dict!A:AA,4,0)</f>
        <v>Регулярное обновление в Навигаторе</v>
      </c>
      <c r="N142" t="str">
        <f>VLOOKUP(H142,metric_dict!A:AA,5,0)</f>
        <v>Обогащение целей/драйверов/прогнозов в Навигаторе</v>
      </c>
      <c r="O142">
        <f>VLOOKUP(H142,metric_dict!A:AA,6,0)</f>
        <v>2</v>
      </c>
      <c r="P142" t="s">
        <v>256</v>
      </c>
      <c r="Q142">
        <f>VLOOKUP(H142,metric_dict!A:AA,7,0)</f>
        <v>1</v>
      </c>
    </row>
    <row r="143" spans="1:17" x14ac:dyDescent="0.2">
      <c r="A143">
        <v>13</v>
      </c>
      <c r="B143">
        <v>14</v>
      </c>
      <c r="C143">
        <v>13</v>
      </c>
      <c r="D143">
        <v>12</v>
      </c>
      <c r="E143" t="s">
        <v>251</v>
      </c>
      <c r="F143" t="s">
        <v>50</v>
      </c>
      <c r="G143">
        <v>4</v>
      </c>
      <c r="H143" t="s">
        <v>104</v>
      </c>
      <c r="I143">
        <v>1</v>
      </c>
      <c r="J143">
        <v>1</v>
      </c>
      <c r="K143" t="str">
        <f>VLOOKUP(H143,metric_dict!A:B,2,0)</f>
        <v>Цели</v>
      </c>
      <c r="L143" t="str">
        <f>IF(VLOOKUP(H143,metric_dict!A:C,3,0)=0,"",VLOOKUP(H143,metric_dict!A:C,3,0))</f>
        <v/>
      </c>
      <c r="M143" t="str">
        <f>VLOOKUP(H143,metric_dict!A:AA,4,0)</f>
        <v>Согласно модели бизнес-процесса</v>
      </c>
      <c r="N143" t="str">
        <f>VLOOKUP(H143,metric_dict!A:AA,5,0)</f>
        <v>Декомпозировать значения целей на драйверы</v>
      </c>
      <c r="O143">
        <f>VLOOKUP(H143,metric_dict!A:AA,6,0)</f>
        <v>7</v>
      </c>
      <c r="P143" t="s">
        <v>256</v>
      </c>
      <c r="Q143">
        <f>VLOOKUP(H143,metric_dict!A:AA,7,0)</f>
        <v>2</v>
      </c>
    </row>
    <row r="144" spans="1:17" x14ac:dyDescent="0.2">
      <c r="A144">
        <v>13</v>
      </c>
      <c r="B144">
        <v>14</v>
      </c>
      <c r="C144">
        <v>13</v>
      </c>
      <c r="D144">
        <v>12</v>
      </c>
      <c r="E144" t="s">
        <v>251</v>
      </c>
      <c r="F144" t="s">
        <v>50</v>
      </c>
      <c r="G144">
        <v>5</v>
      </c>
      <c r="H144" t="s">
        <v>108</v>
      </c>
      <c r="I144">
        <v>0</v>
      </c>
      <c r="J144">
        <v>1</v>
      </c>
      <c r="K144" t="str">
        <f>VLOOKUP(H144,metric_dict!A:B,2,0)</f>
        <v>Цели</v>
      </c>
      <c r="L144" t="str">
        <f>IF(VLOOKUP(H144,metric_dict!A:C,3,0)=0,"",VLOOKUP(H144,metric_dict!A:C,3,0))</f>
        <v/>
      </c>
      <c r="M144" t="str">
        <f>VLOOKUP(H144,metric_dict!A:AA,4,0)</f>
        <v>Прогноз выведен в Навигатор</v>
      </c>
      <c r="N144" t="str">
        <f>VLOOKUP(H144,metric_dict!A:AA,5,0)</f>
        <v>Сформировать прогнозные значения по целям</v>
      </c>
      <c r="O144">
        <f>VLOOKUP(H144,metric_dict!A:AA,6,0)</f>
        <v>8</v>
      </c>
      <c r="P144" t="s">
        <v>256</v>
      </c>
      <c r="Q144">
        <f>VLOOKUP(H144,metric_dict!A:AA,7,0)</f>
        <v>3</v>
      </c>
    </row>
    <row r="145" spans="1:17" x14ac:dyDescent="0.2">
      <c r="A145">
        <v>13</v>
      </c>
      <c r="B145">
        <v>14</v>
      </c>
      <c r="C145">
        <v>13</v>
      </c>
      <c r="D145">
        <v>12</v>
      </c>
      <c r="E145" t="s">
        <v>251</v>
      </c>
      <c r="F145" t="s">
        <v>50</v>
      </c>
      <c r="G145">
        <v>9</v>
      </c>
      <c r="H145" t="s">
        <v>111</v>
      </c>
      <c r="I145">
        <v>0.5</v>
      </c>
      <c r="J145">
        <v>0.5</v>
      </c>
      <c r="K145" t="str">
        <f>VLOOKUP(H145,metric_dict!A:B,2,0)</f>
        <v>Воронка привлечения</v>
      </c>
      <c r="L145" t="str">
        <f>IF(VLOOKUP(H145,metric_dict!A:C,3,0)=0,"",VLOOKUP(H145,metric_dict!A:C,3,0))</f>
        <v>Отчетность</v>
      </c>
      <c r="M145" t="str">
        <f>VLOOKUP(H145,metric_dict!A:AA,4,0)</f>
        <v>Настроена по воронке</v>
      </c>
      <c r="N145" t="str">
        <f>VLOOKUP(H145,metric_dict!A:AA,5,0)</f>
        <v>Настроить мониторинг по воронке привлечения</v>
      </c>
      <c r="O145">
        <f>VLOOKUP(H145,metric_dict!A:AA,6,0)</f>
        <v>2</v>
      </c>
      <c r="P145" t="s">
        <v>256</v>
      </c>
      <c r="Q145">
        <f>VLOOKUP(H145,metric_dict!A:AA,7,0)</f>
        <v>1</v>
      </c>
    </row>
    <row r="146" spans="1:17" x14ac:dyDescent="0.2">
      <c r="A146">
        <v>13</v>
      </c>
      <c r="B146">
        <v>14</v>
      </c>
      <c r="C146">
        <v>13</v>
      </c>
      <c r="D146">
        <v>12</v>
      </c>
      <c r="E146" t="s">
        <v>251</v>
      </c>
      <c r="F146" t="s">
        <v>50</v>
      </c>
      <c r="G146">
        <v>10</v>
      </c>
      <c r="H146" t="s">
        <v>115</v>
      </c>
      <c r="I146">
        <v>0.25</v>
      </c>
      <c r="J146">
        <v>0.5</v>
      </c>
      <c r="K146" t="str">
        <f>VLOOKUP(H146,metric_dict!A:B,2,0)</f>
        <v>Воронка привлечения</v>
      </c>
      <c r="L146" t="str">
        <f>IF(VLOOKUP(H146,metric_dict!A:C,3,0)=0,"",VLOOKUP(H146,metric_dict!A:C,3,0))</f>
        <v>Отчетность</v>
      </c>
      <c r="M146" t="str">
        <f>VLOOKUP(H146,metric_dict!A:AA,4,0)</f>
        <v>Источники, CR, объёмы, сегменты</v>
      </c>
      <c r="N146" t="str">
        <f>VLOOKUP(H146,metric_dict!A:AA,5,0)</f>
        <v>Донасытить метриками мониторинг по воронке привлечения</v>
      </c>
      <c r="O146">
        <f>VLOOKUP(H146,metric_dict!A:AA,6,0)</f>
        <v>3</v>
      </c>
      <c r="P146" t="s">
        <v>256</v>
      </c>
      <c r="Q146">
        <f>VLOOKUP(H146,metric_dict!A:AA,7,0)</f>
        <v>2</v>
      </c>
    </row>
    <row r="147" spans="1:17" x14ac:dyDescent="0.2">
      <c r="A147">
        <v>13</v>
      </c>
      <c r="B147">
        <v>14</v>
      </c>
      <c r="C147">
        <v>13</v>
      </c>
      <c r="D147">
        <v>12</v>
      </c>
      <c r="E147" t="s">
        <v>251</v>
      </c>
      <c r="F147" t="s">
        <v>50</v>
      </c>
      <c r="G147">
        <v>12</v>
      </c>
      <c r="H147" t="s">
        <v>121</v>
      </c>
      <c r="I147">
        <v>0.25</v>
      </c>
      <c r="J147">
        <v>0.5</v>
      </c>
      <c r="K147" t="str">
        <f>VLOOKUP(H147,metric_dict!A:B,2,0)</f>
        <v>Воронка оттока</v>
      </c>
      <c r="L147" t="str">
        <f>IF(VLOOKUP(H147,metric_dict!A:C,3,0)=0,"",VLOOKUP(H147,metric_dict!A:C,3,0))</f>
        <v>Отчетность</v>
      </c>
      <c r="M147" t="str">
        <f>VLOOKUP(H147,metric_dict!A:AA,4,0)</f>
        <v>Настроена по воронке</v>
      </c>
      <c r="N147" t="str">
        <f>VLOOKUP(H147,metric_dict!A:AA,5,0)</f>
        <v>Настроить мониторинг по воронке оттока</v>
      </c>
      <c r="O147">
        <f>VLOOKUP(H147,metric_dict!A:AA,6,0)</f>
        <v>2</v>
      </c>
      <c r="P147" t="s">
        <v>256</v>
      </c>
      <c r="Q147">
        <f>VLOOKUP(H147,metric_dict!A:AA,7,0)</f>
        <v>1</v>
      </c>
    </row>
    <row r="148" spans="1:17" x14ac:dyDescent="0.2">
      <c r="A148">
        <v>13</v>
      </c>
      <c r="B148">
        <v>14</v>
      </c>
      <c r="C148">
        <v>13</v>
      </c>
      <c r="D148">
        <v>12</v>
      </c>
      <c r="E148" t="s">
        <v>251</v>
      </c>
      <c r="F148" t="s">
        <v>50</v>
      </c>
      <c r="G148">
        <v>13</v>
      </c>
      <c r="H148" t="s">
        <v>124</v>
      </c>
      <c r="I148">
        <v>0.25</v>
      </c>
      <c r="J148">
        <v>0.5</v>
      </c>
      <c r="K148" t="str">
        <f>VLOOKUP(H148,metric_dict!A:B,2,0)</f>
        <v>Воронка оттока</v>
      </c>
      <c r="L148" t="str">
        <f>IF(VLOOKUP(H148,metric_dict!A:C,3,0)=0,"",VLOOKUP(H148,metric_dict!A:C,3,0))</f>
        <v>Отчетность</v>
      </c>
      <c r="M148" t="str">
        <f>VLOOKUP(H148,metric_dict!A:AA,4,0)</f>
        <v>Retention, CR, удержание</v>
      </c>
      <c r="N148" t="str">
        <f>VLOOKUP(H148,metric_dict!A:AA,5,0)</f>
        <v>Донасытить метриками мониторинг по воронке оттока</v>
      </c>
      <c r="O148">
        <f>VLOOKUP(H148,metric_dict!A:AA,6,0)</f>
        <v>3</v>
      </c>
      <c r="P148" t="s">
        <v>256</v>
      </c>
      <c r="Q148">
        <f>VLOOKUP(H148,metric_dict!A:AA,7,0)</f>
        <v>2</v>
      </c>
    </row>
    <row r="149" spans="1:17" x14ac:dyDescent="0.2">
      <c r="A149">
        <v>13</v>
      </c>
      <c r="B149">
        <v>14</v>
      </c>
      <c r="C149">
        <v>13</v>
      </c>
      <c r="D149">
        <v>12</v>
      </c>
      <c r="E149" t="s">
        <v>251</v>
      </c>
      <c r="F149" t="s">
        <v>50</v>
      </c>
      <c r="G149">
        <v>15</v>
      </c>
      <c r="H149" t="s">
        <v>129</v>
      </c>
      <c r="I149">
        <v>0</v>
      </c>
      <c r="J149">
        <v>1</v>
      </c>
      <c r="K149" t="str">
        <f>VLOOKUP(H149,metric_dict!A:B,2,0)</f>
        <v>BENCHMARKS</v>
      </c>
      <c r="L149" t="str">
        <f>IF(VLOOKUP(H149,metric_dict!A:C,3,0)=0,"",VLOOKUP(H149,metric_dict!A:C,3,0))</f>
        <v/>
      </c>
      <c r="M149" t="str">
        <f>VLOOKUP(H149,metric_dict!A:AA,4,0)</f>
        <v>Цели / динамика / рынок</v>
      </c>
      <c r="N149" t="str">
        <f>VLOOKUP(H149,metric_dict!A:AA,5,0)</f>
        <v>Сформировать бенчмарки по продуктовым метрикам</v>
      </c>
      <c r="O149">
        <f>VLOOKUP(H149,metric_dict!A:AA,6,0)</f>
        <v>5</v>
      </c>
      <c r="P149" t="s">
        <v>256</v>
      </c>
      <c r="Q149">
        <f>VLOOKUP(H149,metric_dict!A:AA,7,0)</f>
        <v>6</v>
      </c>
    </row>
    <row r="150" spans="1:17" x14ac:dyDescent="0.2">
      <c r="A150">
        <v>13</v>
      </c>
      <c r="B150">
        <v>14</v>
      </c>
      <c r="C150">
        <v>13</v>
      </c>
      <c r="D150">
        <v>12</v>
      </c>
      <c r="E150" t="s">
        <v>251</v>
      </c>
      <c r="F150" t="s">
        <v>50</v>
      </c>
      <c r="G150">
        <v>17</v>
      </c>
      <c r="H150" t="s">
        <v>134</v>
      </c>
      <c r="I150">
        <v>1</v>
      </c>
      <c r="J150">
        <v>1</v>
      </c>
      <c r="K150" t="str">
        <f>VLOOKUP(H150,metric_dict!A:B,2,0)</f>
        <v>Воронка привлечения</v>
      </c>
      <c r="L150" t="str">
        <f>IF(VLOOKUP(H150,metric_dict!A:C,3,0)=0,"",VLOOKUP(H150,metric_dict!A:C,3,0))</f>
        <v/>
      </c>
      <c r="M150" t="str">
        <f>VLOOKUP(H150,metric_dict!A:AA,4,0)</f>
        <v>Оценка эффективности, поиск точек роста</v>
      </c>
      <c r="N150" t="str">
        <f>VLOOKUP(H150,metric_dict!A:AA,5,0)</f>
        <v>Провести анализ привлечения, выявить точки роста</v>
      </c>
      <c r="O150">
        <f>VLOOKUP(H150,metric_dict!A:AA,6,0)</f>
        <v>5</v>
      </c>
      <c r="P150" t="s">
        <v>256</v>
      </c>
      <c r="Q150">
        <f>VLOOKUP(H150,metric_dict!A:AA,7,0)</f>
        <v>4</v>
      </c>
    </row>
    <row r="151" spans="1:17" x14ac:dyDescent="0.2">
      <c r="A151">
        <v>13</v>
      </c>
      <c r="B151">
        <v>14</v>
      </c>
      <c r="C151">
        <v>13</v>
      </c>
      <c r="D151">
        <v>12</v>
      </c>
      <c r="E151" t="s">
        <v>251</v>
      </c>
      <c r="F151" t="s">
        <v>50</v>
      </c>
      <c r="G151">
        <v>18</v>
      </c>
      <c r="H151" t="s">
        <v>137</v>
      </c>
      <c r="I151">
        <v>1</v>
      </c>
      <c r="J151">
        <v>1</v>
      </c>
      <c r="K151" t="str">
        <f>VLOOKUP(H151,metric_dict!A:B,2,0)</f>
        <v>Воронка привлечения</v>
      </c>
      <c r="L151" t="str">
        <f>IF(VLOOKUP(H151,metric_dict!A:C,3,0)=0,"",VLOOKUP(H151,metric_dict!A:C,3,0))</f>
        <v/>
      </c>
      <c r="M151" t="str">
        <f>VLOOKUP(H151,metric_dict!A:AA,4,0)</f>
        <v>План действий по росту</v>
      </c>
      <c r="N151" t="str">
        <f>VLOOKUP(H151,metric_dict!A:AA,5,0)</f>
        <v>Сформировать перечень инициатив</v>
      </c>
      <c r="O151">
        <f>VLOOKUP(H151,metric_dict!A:AA,6,0)</f>
        <v>5</v>
      </c>
      <c r="P151" t="s">
        <v>256</v>
      </c>
      <c r="Q151">
        <f>VLOOKUP(H151,metric_dict!A:AA,7,0)</f>
        <v>5</v>
      </c>
    </row>
    <row r="152" spans="1:17" x14ac:dyDescent="0.2">
      <c r="A152">
        <v>13</v>
      </c>
      <c r="B152">
        <v>14</v>
      </c>
      <c r="C152">
        <v>13</v>
      </c>
      <c r="D152">
        <v>12</v>
      </c>
      <c r="E152" t="s">
        <v>251</v>
      </c>
      <c r="F152" t="s">
        <v>50</v>
      </c>
      <c r="G152">
        <v>19</v>
      </c>
      <c r="H152" t="s">
        <v>140</v>
      </c>
      <c r="I152">
        <v>1</v>
      </c>
      <c r="J152">
        <v>1</v>
      </c>
      <c r="K152" t="str">
        <f>VLOOKUP(H152,metric_dict!A:B,2,0)</f>
        <v>Воронка оттока</v>
      </c>
      <c r="L152" t="str">
        <f>IF(VLOOKUP(H152,metric_dict!A:C,3,0)=0,"",VLOOKUP(H152,metric_dict!A:C,3,0))</f>
        <v/>
      </c>
      <c r="M152" t="str">
        <f>VLOOKUP(H152,metric_dict!A:AA,4,0)</f>
        <v>Оценка причин и узких мест</v>
      </c>
      <c r="N152" t="str">
        <f>VLOOKUP(H152,metric_dict!A:AA,5,0)</f>
        <v>Провести анализ оттока, выявить точки роста</v>
      </c>
      <c r="O152">
        <f>VLOOKUP(H152,metric_dict!A:AA,6,0)</f>
        <v>5</v>
      </c>
      <c r="P152" t="s">
        <v>256</v>
      </c>
      <c r="Q152">
        <f>VLOOKUP(H152,metric_dict!A:AA,7,0)</f>
        <v>4</v>
      </c>
    </row>
    <row r="153" spans="1:17" x14ac:dyDescent="0.2">
      <c r="A153">
        <v>13</v>
      </c>
      <c r="B153">
        <v>14</v>
      </c>
      <c r="C153">
        <v>13</v>
      </c>
      <c r="D153">
        <v>12</v>
      </c>
      <c r="E153" t="s">
        <v>251</v>
      </c>
      <c r="F153" t="s">
        <v>50</v>
      </c>
      <c r="G153">
        <v>20</v>
      </c>
      <c r="H153" t="s">
        <v>143</v>
      </c>
      <c r="I153">
        <v>1</v>
      </c>
      <c r="J153">
        <v>1</v>
      </c>
      <c r="K153" t="str">
        <f>VLOOKUP(H153,metric_dict!A:B,2,0)</f>
        <v>Воронка оттока</v>
      </c>
      <c r="L153" t="str">
        <f>IF(VLOOKUP(H153,metric_dict!A:C,3,0)=0,"",VLOOKUP(H153,metric_dict!A:C,3,0))</f>
        <v/>
      </c>
      <c r="M153" t="str">
        <f>VLOOKUP(H153,metric_dict!A:AA,4,0)</f>
        <v>План действий по отклонениям</v>
      </c>
      <c r="N153" t="str">
        <f>VLOOKUP(H153,metric_dict!A:AA,5,0)</f>
        <v>Сформировать список мероприятий по снижению оттока</v>
      </c>
      <c r="O153">
        <f>VLOOKUP(H153,metric_dict!A:AA,6,0)</f>
        <v>4</v>
      </c>
      <c r="P153" t="s">
        <v>256</v>
      </c>
      <c r="Q153">
        <f>VLOOKUP(H153,metric_dict!A:AA,7,0)</f>
        <v>5</v>
      </c>
    </row>
    <row r="154" spans="1:17" x14ac:dyDescent="0.2">
      <c r="A154">
        <v>13</v>
      </c>
      <c r="B154">
        <v>14</v>
      </c>
      <c r="C154">
        <v>13</v>
      </c>
      <c r="D154">
        <v>12</v>
      </c>
      <c r="E154" t="s">
        <v>251</v>
      </c>
      <c r="F154" t="s">
        <v>50</v>
      </c>
      <c r="G154">
        <v>22</v>
      </c>
      <c r="H154" t="s">
        <v>150</v>
      </c>
      <c r="I154">
        <v>0</v>
      </c>
      <c r="J154">
        <v>1</v>
      </c>
      <c r="K154" t="str">
        <f>VLOOKUP(H154,metric_dict!A:B,2,0)</f>
        <v>Алерты</v>
      </c>
      <c r="L154" t="str">
        <f>IF(VLOOKUP(H154,metric_dict!A:C,3,0)=0,"",VLOOKUP(H154,metric_dict!A:C,3,0))</f>
        <v/>
      </c>
      <c r="M154" t="str">
        <f>VLOOKUP(H154,metric_dict!A:AA,4,0)</f>
        <v>Светофоры целей, драйверов, воронок</v>
      </c>
      <c r="N154" t="str">
        <f>VLOOKUP(H154,metric_dict!A:AA,5,0)</f>
        <v>Внедрить систему оповещений</v>
      </c>
      <c r="O154">
        <f>VLOOKUP(H154,metric_dict!A:AA,6,0)</f>
        <v>3</v>
      </c>
      <c r="P154" t="s">
        <v>256</v>
      </c>
      <c r="Q154">
        <f>VLOOKUP(H154,metric_dict!A:AA,7,0)</f>
        <v>2</v>
      </c>
    </row>
    <row r="155" spans="1:17" x14ac:dyDescent="0.2">
      <c r="A155">
        <v>13</v>
      </c>
      <c r="B155">
        <v>14</v>
      </c>
      <c r="C155">
        <v>13</v>
      </c>
      <c r="D155">
        <v>12</v>
      </c>
      <c r="E155" t="s">
        <v>251</v>
      </c>
      <c r="F155" t="s">
        <v>50</v>
      </c>
      <c r="G155">
        <v>224</v>
      </c>
      <c r="H155" s="14" t="s">
        <v>351</v>
      </c>
      <c r="I155">
        <v>1</v>
      </c>
      <c r="J155">
        <v>1</v>
      </c>
      <c r="K155" t="str">
        <f>VLOOKUP(H155,metric_dict!A:B,2,0)</f>
        <v>Механики</v>
      </c>
      <c r="L155" t="str">
        <f>IF(VLOOKUP(H155,metric_dict!A:C,3,0)=0,"",VLOOKUP(H155,metric_dict!A:C,3,0))</f>
        <v/>
      </c>
      <c r="M155" t="str">
        <f>VLOOKUP(H155,metric_dict!A:AA,4,0)</f>
        <v>Адаптация предложений и коммуникаций под контекст клиента</v>
      </c>
      <c r="N155" t="str">
        <f>VLOOKUP(H155,metric_dict!A:AA,5,0)</f>
        <v>Проработать механики персонализации клиентского опыта</v>
      </c>
      <c r="O155">
        <f>VLOOKUP(H155,metric_dict!A:AA,6,0)</f>
        <v>5</v>
      </c>
      <c r="P155" t="s">
        <v>256</v>
      </c>
      <c r="Q155">
        <f>VLOOKUP(H155,metric_dict!A:AA,7,0)</f>
        <v>1</v>
      </c>
    </row>
    <row r="156" spans="1:17" x14ac:dyDescent="0.2">
      <c r="A156">
        <v>13</v>
      </c>
      <c r="B156">
        <v>14</v>
      </c>
      <c r="C156">
        <v>13</v>
      </c>
      <c r="D156">
        <v>12</v>
      </c>
      <c r="E156" t="s">
        <v>251</v>
      </c>
      <c r="F156" t="s">
        <v>50</v>
      </c>
      <c r="G156">
        <v>222</v>
      </c>
      <c r="H156" s="14" t="s">
        <v>352</v>
      </c>
      <c r="I156">
        <v>1</v>
      </c>
      <c r="J156">
        <v>1</v>
      </c>
      <c r="K156" t="str">
        <f>VLOOKUP(H156,metric_dict!A:B,2,0)</f>
        <v>Механики</v>
      </c>
      <c r="L156" t="str">
        <f>IF(VLOOKUP(H156,metric_dict!A:C,3,0)=0,"",VLOOKUP(H156,metric_dict!A:C,3,0))</f>
        <v/>
      </c>
      <c r="M156" t="str">
        <f>VLOOKUP(H156,metric_dict!A:AA,4,0)</f>
        <v>Релевантные офферы для привлечения клиентов</v>
      </c>
      <c r="N156" t="str">
        <f>VLOOKUP(H156,metric_dict!A:AA,5,0)</f>
        <v>Проработать механики привлечения клиентов</v>
      </c>
      <c r="O156">
        <f>VLOOKUP(H156,metric_dict!A:AA,6,0)</f>
        <v>5</v>
      </c>
      <c r="P156" t="s">
        <v>256</v>
      </c>
      <c r="Q156">
        <f>VLOOKUP(H156,metric_dict!A:AA,7,0)</f>
        <v>2</v>
      </c>
    </row>
    <row r="157" spans="1:17" x14ac:dyDescent="0.2">
      <c r="A157">
        <v>13</v>
      </c>
      <c r="B157">
        <v>14</v>
      </c>
      <c r="C157">
        <v>13</v>
      </c>
      <c r="D157">
        <v>12</v>
      </c>
      <c r="E157" t="s">
        <v>251</v>
      </c>
      <c r="F157" t="s">
        <v>50</v>
      </c>
      <c r="G157">
        <v>23</v>
      </c>
      <c r="H157" s="14" t="s">
        <v>156</v>
      </c>
      <c r="I157">
        <v>0</v>
      </c>
      <c r="J157">
        <v>1</v>
      </c>
      <c r="K157" t="str">
        <f>VLOOKUP(H157,metric_dict!A:B,2,0)</f>
        <v>Механики</v>
      </c>
      <c r="L157" t="str">
        <f>IF(VLOOKUP(H157,metric_dict!A:C,3,0)=0,"",VLOOKUP(H157,metric_dict!A:C,3,0))</f>
        <v/>
      </c>
      <c r="M157" t="str">
        <f>VLOOKUP(H157,metric_dict!A:AA,4,0)</f>
        <v>Коммуникация + ценность</v>
      </c>
      <c r="N157" t="str">
        <f>VLOOKUP(H157,metric_dict!A:AA,5,0)</f>
        <v>Проработать механики удержания клиентов</v>
      </c>
      <c r="O157">
        <f>VLOOKUP(H157,metric_dict!A:AA,6,0)</f>
        <v>5</v>
      </c>
      <c r="P157" t="s">
        <v>256</v>
      </c>
      <c r="Q157">
        <f>VLOOKUP(H157,metric_dict!A:AA,7,0)</f>
        <v>6</v>
      </c>
    </row>
    <row r="158" spans="1:17" x14ac:dyDescent="0.2">
      <c r="A158">
        <v>13</v>
      </c>
      <c r="B158">
        <v>14</v>
      </c>
      <c r="C158">
        <v>13</v>
      </c>
      <c r="D158">
        <v>12</v>
      </c>
      <c r="E158" t="s">
        <v>251</v>
      </c>
      <c r="F158" t="s">
        <v>50</v>
      </c>
      <c r="G158">
        <v>223</v>
      </c>
      <c r="H158" s="14" t="s">
        <v>353</v>
      </c>
      <c r="I158">
        <v>0</v>
      </c>
      <c r="J158">
        <v>1</v>
      </c>
      <c r="K158" t="str">
        <f>VLOOKUP(H158,metric_dict!A:B,2,0)</f>
        <v>Механики</v>
      </c>
      <c r="L158" t="str">
        <f>IF(VLOOKUP(H158,metric_dict!A:C,3,0)=0,"",VLOOKUP(H158,metric_dict!A:C,3,0))</f>
        <v/>
      </c>
      <c r="M158" t="str">
        <f>VLOOKUP(H158,metric_dict!A:AA,4,0)</f>
        <v>Банковские предложения в момент изменения жизненного сценария</v>
      </c>
      <c r="N158" t="str">
        <f>VLOOKUP(H158,metric_dict!A:AA,5,0)</f>
        <v>Проработать механики реагирования на жизненные ситуации</v>
      </c>
      <c r="O158">
        <f>VLOOKUP(H158,metric_dict!A:AA,6,0)</f>
        <v>5</v>
      </c>
      <c r="P158" t="s">
        <v>256</v>
      </c>
      <c r="Q158">
        <f>VLOOKUP(H158,metric_dict!A:AA,7,0)</f>
        <v>5</v>
      </c>
    </row>
    <row r="159" spans="1:17" x14ac:dyDescent="0.2">
      <c r="A159">
        <v>13</v>
      </c>
      <c r="B159">
        <v>14</v>
      </c>
      <c r="C159">
        <v>13</v>
      </c>
      <c r="D159">
        <v>12</v>
      </c>
      <c r="E159" t="s">
        <v>251</v>
      </c>
      <c r="F159" t="s">
        <v>50</v>
      </c>
      <c r="G159">
        <v>500</v>
      </c>
      <c r="H159" t="s">
        <v>156</v>
      </c>
      <c r="I159">
        <v>0</v>
      </c>
      <c r="J159">
        <v>1</v>
      </c>
      <c r="K159" t="str">
        <f>VLOOKUP(H159,metric_dict!A:B,2,0)</f>
        <v>Механики</v>
      </c>
      <c r="L159" t="str">
        <f>IF(VLOOKUP(H159,metric_dict!A:C,3,0)=0,"",VLOOKUP(H159,metric_dict!A:C,3,0))</f>
        <v/>
      </c>
      <c r="M159" t="str">
        <f>VLOOKUP(H159,metric_dict!A:AA,4,0)</f>
        <v>Коммуникация + ценность</v>
      </c>
      <c r="N159" t="str">
        <f>VLOOKUP(H159,metric_dict!A:AA,5,0)</f>
        <v>Проработать механики удержания клиентов</v>
      </c>
      <c r="O159">
        <f>VLOOKUP(H159,metric_dict!A:AA,6,0)</f>
        <v>5</v>
      </c>
      <c r="P159" t="s">
        <v>256</v>
      </c>
      <c r="Q159">
        <f>VLOOKUP(H159,metric_dict!A:AA,7,0)</f>
        <v>6</v>
      </c>
    </row>
    <row r="160" spans="1:17" x14ac:dyDescent="0.2">
      <c r="A160">
        <v>13</v>
      </c>
      <c r="B160">
        <v>14</v>
      </c>
      <c r="C160">
        <v>13</v>
      </c>
      <c r="D160">
        <v>12</v>
      </c>
      <c r="E160" t="s">
        <v>251</v>
      </c>
      <c r="F160" t="s">
        <v>50</v>
      </c>
      <c r="G160">
        <v>501</v>
      </c>
      <c r="H160" t="s">
        <v>156</v>
      </c>
      <c r="I160">
        <v>0</v>
      </c>
      <c r="J160">
        <v>0</v>
      </c>
      <c r="K160" t="str">
        <f>VLOOKUP(H160,metric_dict!A:B,2,0)</f>
        <v>Механики</v>
      </c>
      <c r="L160" t="str">
        <f>IF(VLOOKUP(H160,metric_dict!A:C,3,0)=0,"",VLOOKUP(H160,metric_dict!A:C,3,0))</f>
        <v/>
      </c>
      <c r="M160" t="str">
        <f>VLOOKUP(H160,metric_dict!A:AA,4,0)</f>
        <v>Коммуникация + ценность</v>
      </c>
      <c r="N160" t="str">
        <f>VLOOKUP(H160,metric_dict!A:AA,5,0)</f>
        <v>Проработать механики удержания клиентов</v>
      </c>
      <c r="O160">
        <f>VLOOKUP(H160,metric_dict!A:AA,6,0)</f>
        <v>5</v>
      </c>
      <c r="P160" t="s">
        <v>256</v>
      </c>
      <c r="Q160">
        <f>VLOOKUP(H160,metric_dict!A:AA,7,0)</f>
        <v>6</v>
      </c>
    </row>
    <row r="161" spans="1:17" x14ac:dyDescent="0.2">
      <c r="A161">
        <v>13</v>
      </c>
      <c r="B161">
        <v>14</v>
      </c>
      <c r="C161">
        <v>13</v>
      </c>
      <c r="D161">
        <v>12</v>
      </c>
      <c r="E161" t="s">
        <v>251</v>
      </c>
      <c r="F161" t="s">
        <v>50</v>
      </c>
      <c r="G161">
        <v>502</v>
      </c>
      <c r="H161" t="s">
        <v>156</v>
      </c>
      <c r="I161">
        <v>0</v>
      </c>
      <c r="J161">
        <v>0</v>
      </c>
      <c r="K161" t="str">
        <f>VLOOKUP(H161,metric_dict!A:B,2,0)</f>
        <v>Механики</v>
      </c>
      <c r="L161" t="str">
        <f>IF(VLOOKUP(H161,metric_dict!A:C,3,0)=0,"",VLOOKUP(H161,metric_dict!A:C,3,0))</f>
        <v/>
      </c>
      <c r="M161" t="str">
        <f>VLOOKUP(H161,metric_dict!A:AA,4,0)</f>
        <v>Коммуникация + ценность</v>
      </c>
      <c r="N161" t="str">
        <f>VLOOKUP(H161,metric_dict!A:AA,5,0)</f>
        <v>Проработать механики удержания клиентов</v>
      </c>
      <c r="O161">
        <f>VLOOKUP(H161,metric_dict!A:AA,6,0)</f>
        <v>5</v>
      </c>
      <c r="P161" t="s">
        <v>256</v>
      </c>
      <c r="Q161">
        <f>VLOOKUP(H161,metric_dict!A:AA,7,0)</f>
        <v>6</v>
      </c>
    </row>
    <row r="162" spans="1:17" x14ac:dyDescent="0.2">
      <c r="A162">
        <v>13</v>
      </c>
      <c r="B162">
        <v>14</v>
      </c>
      <c r="C162">
        <v>13</v>
      </c>
      <c r="D162">
        <v>12</v>
      </c>
      <c r="E162" t="s">
        <v>251</v>
      </c>
      <c r="F162" t="s">
        <v>50</v>
      </c>
      <c r="G162">
        <v>225</v>
      </c>
      <c r="H162" t="s">
        <v>265</v>
      </c>
      <c r="I162">
        <v>0</v>
      </c>
      <c r="J162">
        <v>0.25</v>
      </c>
      <c r="K162" t="str">
        <f>VLOOKUP(H162,metric_dict!A:B,2,0)</f>
        <v>Механики</v>
      </c>
      <c r="L162" t="str">
        <f>IF(VLOOKUP(H162,metric_dict!A:C,3,0)=0,"",VLOOKUP(H162,metric_dict!A:C,3,0))</f>
        <v/>
      </c>
      <c r="M162" t="str">
        <f>VLOOKUP(H162,metric_dict!A:AA,4,0)</f>
        <v>Настроен по ключевым механикам работы с клиентской базой</v>
      </c>
      <c r="N162" t="str">
        <f>VLOOKUP(H162,metric_dict!A:AA,5,0)</f>
        <v>Настроить мониторинг по ключевым механикам</v>
      </c>
      <c r="O162">
        <f>VLOOKUP(H162,metric_dict!A:AA,6,0)</f>
        <v>2</v>
      </c>
      <c r="P162" t="s">
        <v>256</v>
      </c>
      <c r="Q162">
        <f>VLOOKUP(H162,metric_dict!A:AA,7,0)</f>
        <v>22</v>
      </c>
    </row>
    <row r="163" spans="1:17" x14ac:dyDescent="0.2">
      <c r="A163">
        <v>13</v>
      </c>
      <c r="B163">
        <v>14</v>
      </c>
      <c r="C163">
        <v>13</v>
      </c>
      <c r="D163">
        <v>12</v>
      </c>
      <c r="E163" t="s">
        <v>251</v>
      </c>
      <c r="F163" t="s">
        <v>50</v>
      </c>
      <c r="G163">
        <v>35</v>
      </c>
      <c r="H163" t="s">
        <v>165</v>
      </c>
      <c r="I163">
        <v>0.5</v>
      </c>
      <c r="J163">
        <v>1</v>
      </c>
      <c r="K163" t="str">
        <f>VLOOKUP(H163,metric_dict!A:B,2,0)</f>
        <v>Гипотезы и инициативы</v>
      </c>
      <c r="L163" t="str">
        <f>IF(VLOOKUP(H163,metric_dict!A:C,3,0)=0,"",VLOOKUP(H163,metric_dict!A:C,3,0))</f>
        <v/>
      </c>
      <c r="M163" t="str">
        <f>VLOOKUP(H163,metric_dict!A:AA,4,0)</f>
        <v>Доля исследовательских задач DA</v>
      </c>
      <c r="N163" t="str">
        <f>VLOOKUP(H163,metric_dict!A:AA,5,0)</f>
        <v>Сфокусировать бэклог аналитиков на research-задачи</v>
      </c>
      <c r="O163">
        <f>VLOOKUP(H163,metric_dict!A:AA,6,0)</f>
        <v>5</v>
      </c>
      <c r="P163" t="s">
        <v>256</v>
      </c>
      <c r="Q163">
        <f>VLOOKUP(H163,metric_dict!A:AA,7,0)</f>
        <v>1</v>
      </c>
    </row>
    <row r="164" spans="1:17" x14ac:dyDescent="0.2">
      <c r="A164">
        <v>13</v>
      </c>
      <c r="B164">
        <v>14</v>
      </c>
      <c r="C164">
        <v>13</v>
      </c>
      <c r="D164">
        <v>12</v>
      </c>
      <c r="E164" t="s">
        <v>251</v>
      </c>
      <c r="F164" t="s">
        <v>50</v>
      </c>
      <c r="G164">
        <v>44</v>
      </c>
      <c r="H164" t="s">
        <v>182</v>
      </c>
      <c r="I164">
        <v>1</v>
      </c>
      <c r="J164">
        <v>1</v>
      </c>
      <c r="K164" t="str">
        <f>VLOOKUP(H164,metric_dict!A:B,2,0)</f>
        <v>Гипотезы и инициативы</v>
      </c>
      <c r="L164" t="str">
        <f>IF(VLOOKUP(H164,metric_dict!A:C,3,0)=0,"",VLOOKUP(H164,metric_dict!A:C,3,0))</f>
        <v/>
      </c>
      <c r="M164" t="str">
        <f>VLOOKUP(H164,metric_dict!A:AA,4,0)</f>
        <v>Средняя оценка проведенных исследований</v>
      </c>
      <c r="N164" t="str">
        <f>VLOOKUP(H164,metric_dict!A:AA,5,0)</f>
        <v>Повысить качество проведенных исследований</v>
      </c>
      <c r="O164">
        <f>VLOOKUP(H164,metric_dict!A:AA,6,0)</f>
        <v>5</v>
      </c>
      <c r="P164" t="s">
        <v>256</v>
      </c>
      <c r="Q164">
        <f>VLOOKUP(H164,metric_dict!A:AA,7,0)</f>
        <v>2</v>
      </c>
    </row>
    <row r="165" spans="1:17" x14ac:dyDescent="0.2">
      <c r="A165">
        <v>23</v>
      </c>
      <c r="B165">
        <v>24</v>
      </c>
      <c r="C165">
        <v>23</v>
      </c>
      <c r="D165">
        <v>22</v>
      </c>
      <c r="E165" t="s">
        <v>251</v>
      </c>
      <c r="F165" t="s">
        <v>52</v>
      </c>
      <c r="G165">
        <v>99</v>
      </c>
      <c r="H165" t="s">
        <v>330</v>
      </c>
      <c r="I165">
        <v>0.3</v>
      </c>
      <c r="J165">
        <v>0.3</v>
      </c>
      <c r="K165" t="str">
        <f>VLOOKUP(H165,metric_dict!A:B,2,0)</f>
        <v>Знание ключевых метрик</v>
      </c>
      <c r="L165" t="str">
        <f>IF(VLOOKUP(H165,metric_dict!A:C,3,0)=0,"",VLOOKUP(H165,metric_dict!A:C,3,0))</f>
        <v/>
      </c>
      <c r="M165" t="str">
        <f>VLOOKUP(H165,metric_dict!A:AA,4,0)</f>
        <v>Знание значения метрики активной клиентской базы</v>
      </c>
      <c r="N165" t="str">
        <f>VLOOKUP(H165,metric_dict!A:AA,5,0)</f>
        <v>Знание метрик и инструментов</v>
      </c>
      <c r="O165">
        <f>VLOOKUP(H165,metric_dict!A:AA,6,0)</f>
        <v>1</v>
      </c>
      <c r="P165" t="s">
        <v>256</v>
      </c>
      <c r="Q165">
        <f>VLOOKUP(H165,metric_dict!A:AA,7,0)</f>
        <v>5</v>
      </c>
    </row>
    <row r="166" spans="1:17" x14ac:dyDescent="0.2">
      <c r="A166">
        <v>23</v>
      </c>
      <c r="B166">
        <v>24</v>
      </c>
      <c r="C166">
        <v>23</v>
      </c>
      <c r="D166">
        <v>22</v>
      </c>
      <c r="E166" t="s">
        <v>251</v>
      </c>
      <c r="F166" t="s">
        <v>52</v>
      </c>
      <c r="G166">
        <v>98</v>
      </c>
      <c r="H166" t="s">
        <v>331</v>
      </c>
      <c r="I166">
        <v>0.3</v>
      </c>
      <c r="J166">
        <v>0.3</v>
      </c>
      <c r="K166" t="str">
        <f>VLOOKUP(H166,metric_dict!A:B,2,0)</f>
        <v>Знание ключевых метрик</v>
      </c>
      <c r="L166" t="str">
        <f>IF(VLOOKUP(H166,metric_dict!A:C,3,0)=0,"",VLOOKUP(H166,metric_dict!A:C,3,0))</f>
        <v/>
      </c>
      <c r="M166" t="str">
        <f>VLOOKUP(H166,metric_dict!A:AA,4,0)</f>
        <v>Знание метрики Major</v>
      </c>
      <c r="N166" t="str">
        <f>VLOOKUP(H166,metric_dict!A:AA,5,0)</f>
        <v>Знание метрик и инструментов</v>
      </c>
      <c r="O166">
        <f>VLOOKUP(H166,metric_dict!A:AA,6,0)</f>
        <v>1</v>
      </c>
      <c r="P166" t="s">
        <v>256</v>
      </c>
      <c r="Q166">
        <f>VLOOKUP(H166,metric_dict!A:AA,7,0)</f>
        <v>6</v>
      </c>
    </row>
    <row r="167" spans="1:17" x14ac:dyDescent="0.2">
      <c r="A167">
        <v>23</v>
      </c>
      <c r="B167">
        <v>24</v>
      </c>
      <c r="C167">
        <v>23</v>
      </c>
      <c r="D167">
        <v>22</v>
      </c>
      <c r="E167" t="s">
        <v>251</v>
      </c>
      <c r="F167" t="s">
        <v>52</v>
      </c>
      <c r="G167">
        <v>97</v>
      </c>
      <c r="H167" t="s">
        <v>332</v>
      </c>
      <c r="I167">
        <v>0.3</v>
      </c>
      <c r="J167">
        <v>0.3</v>
      </c>
      <c r="K167" t="str">
        <f>VLOOKUP(H167,metric_dict!A:B,2,0)</f>
        <v>Знание ключевых метрик</v>
      </c>
      <c r="L167" t="str">
        <f>IF(VLOOKUP(H167,metric_dict!A:C,3,0)=0,"",VLOOKUP(H167,metric_dict!A:C,3,0))</f>
        <v/>
      </c>
      <c r="M167" t="str">
        <f>VLOOKUP(H167,metric_dict!A:AA,4,0)</f>
        <v>Знание метрики кол-во клиентов с 2+ нефин.сервисов</v>
      </c>
      <c r="N167" t="str">
        <f>VLOOKUP(H167,metric_dict!A:AA,5,0)</f>
        <v>Знание метрик и инструментов</v>
      </c>
      <c r="O167">
        <f>VLOOKUP(H167,metric_dict!A:AA,6,0)</f>
        <v>1</v>
      </c>
      <c r="P167" t="s">
        <v>256</v>
      </c>
      <c r="Q167">
        <f>VLOOKUP(H167,metric_dict!A:AA,7,0)</f>
        <v>7</v>
      </c>
    </row>
    <row r="168" spans="1:17" x14ac:dyDescent="0.2">
      <c r="A168">
        <v>23</v>
      </c>
      <c r="B168">
        <v>24</v>
      </c>
      <c r="C168">
        <v>23</v>
      </c>
      <c r="D168">
        <v>22</v>
      </c>
      <c r="E168" t="s">
        <v>251</v>
      </c>
      <c r="F168" t="s">
        <v>52</v>
      </c>
      <c r="G168">
        <v>96</v>
      </c>
      <c r="H168" t="s">
        <v>333</v>
      </c>
      <c r="I168">
        <v>0.3</v>
      </c>
      <c r="J168">
        <v>0.3</v>
      </c>
      <c r="K168" t="str">
        <f>VLOOKUP(H168,metric_dict!A:B,2,0)</f>
        <v>Знание ключевых метрик</v>
      </c>
      <c r="L168" t="str">
        <f>IF(VLOOKUP(H168,metric_dict!A:C,3,0)=0,"",VLOOKUP(H168,metric_dict!A:C,3,0))</f>
        <v/>
      </c>
      <c r="M168" t="str">
        <f>VLOOKUP(H168,metric_dict!A:AA,4,0)</f>
        <v>Знание метрики кол-во получателей ЗП</v>
      </c>
      <c r="N168" t="str">
        <f>VLOOKUP(H168,metric_dict!A:AA,5,0)</f>
        <v>Знание метрик и инструментов</v>
      </c>
      <c r="O168">
        <f>VLOOKUP(H168,metric_dict!A:AA,6,0)</f>
        <v>1</v>
      </c>
      <c r="P168" t="s">
        <v>256</v>
      </c>
      <c r="Q168">
        <f>VLOOKUP(H168,metric_dict!A:AA,7,0)</f>
        <v>8</v>
      </c>
    </row>
    <row r="169" spans="1:17" x14ac:dyDescent="0.2">
      <c r="A169">
        <v>23</v>
      </c>
      <c r="B169">
        <v>24</v>
      </c>
      <c r="C169">
        <v>23</v>
      </c>
      <c r="D169">
        <v>22</v>
      </c>
      <c r="E169" t="s">
        <v>251</v>
      </c>
      <c r="F169" t="s">
        <v>52</v>
      </c>
      <c r="G169">
        <v>95</v>
      </c>
      <c r="H169" t="s">
        <v>334</v>
      </c>
      <c r="I169">
        <v>0.3</v>
      </c>
      <c r="J169">
        <v>0.3</v>
      </c>
      <c r="K169" t="str">
        <f>VLOOKUP(H169,metric_dict!A:B,2,0)</f>
        <v>Знание ключевых метрик</v>
      </c>
      <c r="L169" t="str">
        <f>IF(VLOOKUP(H169,metric_dict!A:C,3,0)=0,"",VLOOKUP(H169,metric_dict!A:C,3,0))</f>
        <v/>
      </c>
      <c r="M169" t="str">
        <f>VLOOKUP(H169,metric_dict!A:AA,4,0)</f>
        <v>Знание метрики доля рынка ФОТ, %</v>
      </c>
      <c r="N169" t="str">
        <f>VLOOKUP(H169,metric_dict!A:AA,5,0)</f>
        <v>Знание метрик и инструментов</v>
      </c>
      <c r="O169">
        <f>VLOOKUP(H169,metric_dict!A:AA,6,0)</f>
        <v>1</v>
      </c>
      <c r="P169" t="s">
        <v>256</v>
      </c>
      <c r="Q169">
        <f>VLOOKUP(H169,metric_dict!A:AA,7,0)</f>
        <v>9</v>
      </c>
    </row>
    <row r="170" spans="1:17" x14ac:dyDescent="0.2">
      <c r="A170">
        <v>23</v>
      </c>
      <c r="B170">
        <v>24</v>
      </c>
      <c r="C170">
        <v>23</v>
      </c>
      <c r="D170">
        <v>22</v>
      </c>
      <c r="E170" t="s">
        <v>251</v>
      </c>
      <c r="F170" t="s">
        <v>52</v>
      </c>
      <c r="G170">
        <v>94</v>
      </c>
      <c r="H170" t="s">
        <v>335</v>
      </c>
      <c r="I170">
        <v>0.3</v>
      </c>
      <c r="J170">
        <v>0.3</v>
      </c>
      <c r="K170" t="str">
        <f>VLOOKUP(H170,metric_dict!A:B,2,0)</f>
        <v>Знание ключевых метрик</v>
      </c>
      <c r="L170" t="str">
        <f>IF(VLOOKUP(H170,metric_dict!A:C,3,0)=0,"",VLOOKUP(H170,metric_dict!A:C,3,0))</f>
        <v/>
      </c>
      <c r="M170" t="str">
        <f>VLOOKUP(H170,metric_dict!A:AA,4,0)</f>
        <v>Знание метрики объем зачислений ФОТ</v>
      </c>
      <c r="N170" t="str">
        <f>VLOOKUP(H170,metric_dict!A:AA,5,0)</f>
        <v>Знание метрик и инструментов</v>
      </c>
      <c r="O170">
        <f>VLOOKUP(H170,metric_dict!A:AA,6,0)</f>
        <v>1</v>
      </c>
      <c r="P170" t="s">
        <v>256</v>
      </c>
      <c r="Q170">
        <f>VLOOKUP(H170,metric_dict!A:AA,7,0)</f>
        <v>10</v>
      </c>
    </row>
    <row r="171" spans="1:17" x14ac:dyDescent="0.2">
      <c r="A171">
        <v>23</v>
      </c>
      <c r="B171">
        <v>24</v>
      </c>
      <c r="C171">
        <v>23</v>
      </c>
      <c r="D171">
        <v>22</v>
      </c>
      <c r="E171" t="s">
        <v>251</v>
      </c>
      <c r="F171" t="s">
        <v>52</v>
      </c>
      <c r="G171">
        <v>2</v>
      </c>
      <c r="H171" t="s">
        <v>98</v>
      </c>
      <c r="I171">
        <v>0.25</v>
      </c>
      <c r="J171">
        <v>0.5</v>
      </c>
      <c r="K171" t="str">
        <f>VLOOKUP(H171,metric_dict!A:B,2,0)</f>
        <v>Знание ключевых метрик</v>
      </c>
      <c r="L171" t="str">
        <f>IF(VLOOKUP(H171,metric_dict!A:C,3,0)=0,"",VLOOKUP(H171,metric_dict!A:C,3,0))</f>
        <v/>
      </c>
      <c r="M171" t="str">
        <f>VLOOKUP(H171,metric_dict!A:AA,4,0)</f>
        <v>Понимание доступной отчетности и регулярного мониторинга</v>
      </c>
      <c r="N171" t="str">
        <f>VLOOKUP(H171,metric_dict!A:AA,5,0)</f>
        <v>Знание метрик и инструментов</v>
      </c>
      <c r="O171">
        <f>VLOOKUP(H171,metric_dict!A:AA,6,0)</f>
        <v>1</v>
      </c>
      <c r="P171" t="s">
        <v>256</v>
      </c>
      <c r="Q171">
        <f>VLOOKUP(H171,metric_dict!A:AA,7,0)</f>
        <v>13</v>
      </c>
    </row>
    <row r="172" spans="1:17" x14ac:dyDescent="0.2">
      <c r="A172">
        <v>23</v>
      </c>
      <c r="B172">
        <v>24</v>
      </c>
      <c r="C172">
        <v>23</v>
      </c>
      <c r="D172">
        <v>22</v>
      </c>
      <c r="E172" t="s">
        <v>251</v>
      </c>
      <c r="F172" t="s">
        <v>52</v>
      </c>
      <c r="G172">
        <v>3</v>
      </c>
      <c r="H172" t="s">
        <v>100</v>
      </c>
      <c r="I172">
        <v>1</v>
      </c>
      <c r="J172">
        <v>1</v>
      </c>
      <c r="K172" t="str">
        <f>VLOOKUP(H172,metric_dict!A:B,2,0)</f>
        <v>Цели</v>
      </c>
      <c r="L172" t="str">
        <f>IF(VLOOKUP(H172,metric_dict!A:C,3,0)=0,"",VLOOKUP(H172,metric_dict!A:C,3,0))</f>
        <v/>
      </c>
      <c r="M172" t="str">
        <f>VLOOKUP(H172,metric_dict!A:AA,4,0)</f>
        <v>Регулярное обновление в Навигаторе</v>
      </c>
      <c r="N172" t="str">
        <f>VLOOKUP(H172,metric_dict!A:AA,5,0)</f>
        <v>Обогащение целей/драйверов/прогнозов в Навигаторе</v>
      </c>
      <c r="O172">
        <f>VLOOKUP(H172,metric_dict!A:AA,6,0)</f>
        <v>2</v>
      </c>
      <c r="P172" t="s">
        <v>256</v>
      </c>
      <c r="Q172">
        <f>VLOOKUP(H172,metric_dict!A:AA,7,0)</f>
        <v>1</v>
      </c>
    </row>
    <row r="173" spans="1:17" x14ac:dyDescent="0.2">
      <c r="A173">
        <v>23</v>
      </c>
      <c r="B173">
        <v>24</v>
      </c>
      <c r="C173">
        <v>23</v>
      </c>
      <c r="D173">
        <v>22</v>
      </c>
      <c r="E173" t="s">
        <v>251</v>
      </c>
      <c r="F173" t="s">
        <v>52</v>
      </c>
      <c r="G173">
        <v>4</v>
      </c>
      <c r="H173" t="s">
        <v>104</v>
      </c>
      <c r="I173">
        <v>0.5</v>
      </c>
      <c r="J173">
        <v>1</v>
      </c>
      <c r="K173" t="str">
        <f>VLOOKUP(H173,metric_dict!A:B,2,0)</f>
        <v>Цели</v>
      </c>
      <c r="L173" t="str">
        <f>IF(VLOOKUP(H173,metric_dict!A:C,3,0)=0,"",VLOOKUP(H173,metric_dict!A:C,3,0))</f>
        <v/>
      </c>
      <c r="M173" t="str">
        <f>VLOOKUP(H173,metric_dict!A:AA,4,0)</f>
        <v>Согласно модели бизнес-процесса</v>
      </c>
      <c r="N173" t="str">
        <f>VLOOKUP(H173,metric_dict!A:AA,5,0)</f>
        <v>Декомпозировать значения целей на драйверы</v>
      </c>
      <c r="O173">
        <f>VLOOKUP(H173,metric_dict!A:AA,6,0)</f>
        <v>7</v>
      </c>
      <c r="P173" t="s">
        <v>256</v>
      </c>
      <c r="Q173">
        <f>VLOOKUP(H173,metric_dict!A:AA,7,0)</f>
        <v>2</v>
      </c>
    </row>
    <row r="174" spans="1:17" x14ac:dyDescent="0.2">
      <c r="A174">
        <v>23</v>
      </c>
      <c r="B174">
        <v>24</v>
      </c>
      <c r="C174">
        <v>23</v>
      </c>
      <c r="D174">
        <v>22</v>
      </c>
      <c r="E174" t="s">
        <v>251</v>
      </c>
      <c r="F174" t="s">
        <v>52</v>
      </c>
      <c r="G174">
        <v>5</v>
      </c>
      <c r="H174" t="s">
        <v>108</v>
      </c>
      <c r="I174">
        <v>0</v>
      </c>
      <c r="J174">
        <v>1</v>
      </c>
      <c r="K174" t="str">
        <f>VLOOKUP(H174,metric_dict!A:B,2,0)</f>
        <v>Цели</v>
      </c>
      <c r="L174" t="str">
        <f>IF(VLOOKUP(H174,metric_dict!A:C,3,0)=0,"",VLOOKUP(H174,metric_dict!A:C,3,0))</f>
        <v/>
      </c>
      <c r="M174" t="str">
        <f>VLOOKUP(H174,metric_dict!A:AA,4,0)</f>
        <v>Прогноз выведен в Навигатор</v>
      </c>
      <c r="N174" t="str">
        <f>VLOOKUP(H174,metric_dict!A:AA,5,0)</f>
        <v>Сформировать прогнозные значения по целям</v>
      </c>
      <c r="O174">
        <f>VLOOKUP(H174,metric_dict!A:AA,6,0)</f>
        <v>8</v>
      </c>
      <c r="P174" t="s">
        <v>256</v>
      </c>
      <c r="Q174">
        <f>VLOOKUP(H174,metric_dict!A:AA,7,0)</f>
        <v>3</v>
      </c>
    </row>
    <row r="175" spans="1:17" x14ac:dyDescent="0.2">
      <c r="A175">
        <v>23</v>
      </c>
      <c r="B175">
        <v>24</v>
      </c>
      <c r="C175">
        <v>23</v>
      </c>
      <c r="D175">
        <v>22</v>
      </c>
      <c r="E175" t="s">
        <v>251</v>
      </c>
      <c r="F175" t="s">
        <v>52</v>
      </c>
      <c r="G175">
        <v>9</v>
      </c>
      <c r="H175" t="s">
        <v>111</v>
      </c>
      <c r="I175">
        <v>0.25</v>
      </c>
      <c r="J175">
        <v>0.5</v>
      </c>
      <c r="K175" t="str">
        <f>VLOOKUP(H175,metric_dict!A:B,2,0)</f>
        <v>Воронка привлечения</v>
      </c>
      <c r="L175" t="str">
        <f>IF(VLOOKUP(H175,metric_dict!A:C,3,0)=0,"",VLOOKUP(H175,metric_dict!A:C,3,0))</f>
        <v>Отчетность</v>
      </c>
      <c r="M175" t="str">
        <f>VLOOKUP(H175,metric_dict!A:AA,4,0)</f>
        <v>Настроена по воронке</v>
      </c>
      <c r="N175" t="str">
        <f>VLOOKUP(H175,metric_dict!A:AA,5,0)</f>
        <v>Настроить мониторинг по воронке привлечения</v>
      </c>
      <c r="O175">
        <f>VLOOKUP(H175,metric_dict!A:AA,6,0)</f>
        <v>2</v>
      </c>
      <c r="P175" t="s">
        <v>256</v>
      </c>
      <c r="Q175">
        <f>VLOOKUP(H175,metric_dict!A:AA,7,0)</f>
        <v>1</v>
      </c>
    </row>
    <row r="176" spans="1:17" x14ac:dyDescent="0.2">
      <c r="A176">
        <v>23</v>
      </c>
      <c r="B176">
        <v>24</v>
      </c>
      <c r="C176">
        <v>23</v>
      </c>
      <c r="D176">
        <v>22</v>
      </c>
      <c r="E176" t="s">
        <v>251</v>
      </c>
      <c r="F176" t="s">
        <v>52</v>
      </c>
      <c r="G176">
        <v>10</v>
      </c>
      <c r="H176" t="s">
        <v>115</v>
      </c>
      <c r="I176">
        <v>0.25</v>
      </c>
      <c r="J176">
        <v>0.5</v>
      </c>
      <c r="K176" t="str">
        <f>VLOOKUP(H176,metric_dict!A:B,2,0)</f>
        <v>Воронка привлечения</v>
      </c>
      <c r="L176" t="str">
        <f>IF(VLOOKUP(H176,metric_dict!A:C,3,0)=0,"",VLOOKUP(H176,metric_dict!A:C,3,0))</f>
        <v>Отчетность</v>
      </c>
      <c r="M176" t="str">
        <f>VLOOKUP(H176,metric_dict!A:AA,4,0)</f>
        <v>Источники, CR, объёмы, сегменты</v>
      </c>
      <c r="N176" t="str">
        <f>VLOOKUP(H176,metric_dict!A:AA,5,0)</f>
        <v>Донасытить метриками мониторинг по воронке привлечения</v>
      </c>
      <c r="O176">
        <f>VLOOKUP(H176,metric_dict!A:AA,6,0)</f>
        <v>3</v>
      </c>
      <c r="P176" t="s">
        <v>256</v>
      </c>
      <c r="Q176">
        <f>VLOOKUP(H176,metric_dict!A:AA,7,0)</f>
        <v>2</v>
      </c>
    </row>
    <row r="177" spans="1:17" x14ac:dyDescent="0.2">
      <c r="A177">
        <v>23</v>
      </c>
      <c r="B177">
        <v>24</v>
      </c>
      <c r="C177">
        <v>23</v>
      </c>
      <c r="D177">
        <v>22</v>
      </c>
      <c r="E177" t="s">
        <v>251</v>
      </c>
      <c r="F177" t="s">
        <v>52</v>
      </c>
      <c r="G177">
        <v>12</v>
      </c>
      <c r="H177" t="s">
        <v>121</v>
      </c>
      <c r="I177">
        <v>0.25</v>
      </c>
      <c r="J177">
        <v>0.5</v>
      </c>
      <c r="K177" t="str">
        <f>VLOOKUP(H177,metric_dict!A:B,2,0)</f>
        <v>Воронка оттока</v>
      </c>
      <c r="L177" t="str">
        <f>IF(VLOOKUP(H177,metric_dict!A:C,3,0)=0,"",VLOOKUP(H177,metric_dict!A:C,3,0))</f>
        <v>Отчетность</v>
      </c>
      <c r="M177" t="str">
        <f>VLOOKUP(H177,metric_dict!A:AA,4,0)</f>
        <v>Настроена по воронке</v>
      </c>
      <c r="N177" t="str">
        <f>VLOOKUP(H177,metric_dict!A:AA,5,0)</f>
        <v>Настроить мониторинг по воронке оттока</v>
      </c>
      <c r="O177">
        <f>VLOOKUP(H177,metric_dict!A:AA,6,0)</f>
        <v>2</v>
      </c>
      <c r="P177" t="s">
        <v>256</v>
      </c>
      <c r="Q177">
        <f>VLOOKUP(H177,metric_dict!A:AA,7,0)</f>
        <v>1</v>
      </c>
    </row>
    <row r="178" spans="1:17" x14ac:dyDescent="0.2">
      <c r="A178">
        <v>23</v>
      </c>
      <c r="B178">
        <v>24</v>
      </c>
      <c r="C178">
        <v>23</v>
      </c>
      <c r="D178">
        <v>22</v>
      </c>
      <c r="E178" t="s">
        <v>251</v>
      </c>
      <c r="F178" t="s">
        <v>52</v>
      </c>
      <c r="G178">
        <v>13</v>
      </c>
      <c r="H178" t="s">
        <v>124</v>
      </c>
      <c r="I178">
        <v>0.25</v>
      </c>
      <c r="J178">
        <v>0.5</v>
      </c>
      <c r="K178" t="str">
        <f>VLOOKUP(H178,metric_dict!A:B,2,0)</f>
        <v>Воронка оттока</v>
      </c>
      <c r="L178" t="str">
        <f>IF(VLOOKUP(H178,metric_dict!A:C,3,0)=0,"",VLOOKUP(H178,metric_dict!A:C,3,0))</f>
        <v>Отчетность</v>
      </c>
      <c r="M178" t="str">
        <f>VLOOKUP(H178,metric_dict!A:AA,4,0)</f>
        <v>Retention, CR, удержание</v>
      </c>
      <c r="N178" t="str">
        <f>VLOOKUP(H178,metric_dict!A:AA,5,0)</f>
        <v>Донасытить метриками мониторинг по воронке оттока</v>
      </c>
      <c r="O178">
        <f>VLOOKUP(H178,metric_dict!A:AA,6,0)</f>
        <v>3</v>
      </c>
      <c r="P178" t="s">
        <v>256</v>
      </c>
      <c r="Q178">
        <f>VLOOKUP(H178,metric_dict!A:AA,7,0)</f>
        <v>2</v>
      </c>
    </row>
    <row r="179" spans="1:17" x14ac:dyDescent="0.2">
      <c r="A179">
        <v>23</v>
      </c>
      <c r="B179">
        <v>24</v>
      </c>
      <c r="C179">
        <v>23</v>
      </c>
      <c r="D179">
        <v>22</v>
      </c>
      <c r="E179" t="s">
        <v>251</v>
      </c>
      <c r="F179" t="s">
        <v>52</v>
      </c>
      <c r="G179">
        <v>15</v>
      </c>
      <c r="H179" t="s">
        <v>129</v>
      </c>
      <c r="I179">
        <v>0</v>
      </c>
      <c r="J179">
        <v>1</v>
      </c>
      <c r="K179" t="str">
        <f>VLOOKUP(H179,metric_dict!A:B,2,0)</f>
        <v>BENCHMARKS</v>
      </c>
      <c r="L179" t="str">
        <f>IF(VLOOKUP(H179,metric_dict!A:C,3,0)=0,"",VLOOKUP(H179,metric_dict!A:C,3,0))</f>
        <v/>
      </c>
      <c r="M179" t="str">
        <f>VLOOKUP(H179,metric_dict!A:AA,4,0)</f>
        <v>Цели / динамика / рынок</v>
      </c>
      <c r="N179" t="str">
        <f>VLOOKUP(H179,metric_dict!A:AA,5,0)</f>
        <v>Сформировать бенчмарки по продуктовым метрикам</v>
      </c>
      <c r="O179">
        <f>VLOOKUP(H179,metric_dict!A:AA,6,0)</f>
        <v>5</v>
      </c>
      <c r="P179" t="s">
        <v>256</v>
      </c>
      <c r="Q179">
        <f>VLOOKUP(H179,metric_dict!A:AA,7,0)</f>
        <v>6</v>
      </c>
    </row>
    <row r="180" spans="1:17" x14ac:dyDescent="0.2">
      <c r="A180">
        <v>23</v>
      </c>
      <c r="B180">
        <v>24</v>
      </c>
      <c r="C180">
        <v>23</v>
      </c>
      <c r="D180">
        <v>22</v>
      </c>
      <c r="E180" t="s">
        <v>251</v>
      </c>
      <c r="F180" t="s">
        <v>52</v>
      </c>
      <c r="G180">
        <v>17</v>
      </c>
      <c r="H180" t="s">
        <v>134</v>
      </c>
      <c r="I180">
        <v>1</v>
      </c>
      <c r="J180">
        <v>1</v>
      </c>
      <c r="K180" t="str">
        <f>VLOOKUP(H180,metric_dict!A:B,2,0)</f>
        <v>Воронка привлечения</v>
      </c>
      <c r="L180" t="str">
        <f>IF(VLOOKUP(H180,metric_dict!A:C,3,0)=0,"",VLOOKUP(H180,metric_dict!A:C,3,0))</f>
        <v/>
      </c>
      <c r="M180" t="str">
        <f>VLOOKUP(H180,metric_dict!A:AA,4,0)</f>
        <v>Оценка эффективности, поиск точек роста</v>
      </c>
      <c r="N180" t="str">
        <f>VLOOKUP(H180,metric_dict!A:AA,5,0)</f>
        <v>Провести анализ привлечения, выявить точки роста</v>
      </c>
      <c r="O180">
        <f>VLOOKUP(H180,metric_dict!A:AA,6,0)</f>
        <v>5</v>
      </c>
      <c r="P180" t="s">
        <v>256</v>
      </c>
      <c r="Q180">
        <f>VLOOKUP(H180,metric_dict!A:AA,7,0)</f>
        <v>4</v>
      </c>
    </row>
    <row r="181" spans="1:17" x14ac:dyDescent="0.2">
      <c r="A181">
        <v>23</v>
      </c>
      <c r="B181">
        <v>24</v>
      </c>
      <c r="C181">
        <v>23</v>
      </c>
      <c r="D181">
        <v>22</v>
      </c>
      <c r="E181" t="s">
        <v>251</v>
      </c>
      <c r="F181" t="s">
        <v>52</v>
      </c>
      <c r="G181">
        <v>18</v>
      </c>
      <c r="H181" t="s">
        <v>137</v>
      </c>
      <c r="I181">
        <v>1</v>
      </c>
      <c r="J181">
        <v>1</v>
      </c>
      <c r="K181" t="str">
        <f>VLOOKUP(H181,metric_dict!A:B,2,0)</f>
        <v>Воронка привлечения</v>
      </c>
      <c r="L181" t="str">
        <f>IF(VLOOKUP(H181,metric_dict!A:C,3,0)=0,"",VLOOKUP(H181,metric_dict!A:C,3,0))</f>
        <v/>
      </c>
      <c r="M181" t="str">
        <f>VLOOKUP(H181,metric_dict!A:AA,4,0)</f>
        <v>План действий по росту</v>
      </c>
      <c r="N181" t="str">
        <f>VLOOKUP(H181,metric_dict!A:AA,5,0)</f>
        <v>Сформировать перечень инициатив</v>
      </c>
      <c r="O181">
        <f>VLOOKUP(H181,metric_dict!A:AA,6,0)</f>
        <v>5</v>
      </c>
      <c r="P181" t="s">
        <v>256</v>
      </c>
      <c r="Q181">
        <f>VLOOKUP(H181,metric_dict!A:AA,7,0)</f>
        <v>5</v>
      </c>
    </row>
    <row r="182" spans="1:17" x14ac:dyDescent="0.2">
      <c r="A182">
        <v>23</v>
      </c>
      <c r="B182">
        <v>24</v>
      </c>
      <c r="C182">
        <v>23</v>
      </c>
      <c r="D182">
        <v>22</v>
      </c>
      <c r="E182" t="s">
        <v>251</v>
      </c>
      <c r="F182" t="s">
        <v>52</v>
      </c>
      <c r="G182">
        <v>19</v>
      </c>
      <c r="H182" t="s">
        <v>140</v>
      </c>
      <c r="I182">
        <v>1</v>
      </c>
      <c r="J182">
        <v>1</v>
      </c>
      <c r="K182" t="str">
        <f>VLOOKUP(H182,metric_dict!A:B,2,0)</f>
        <v>Воронка оттока</v>
      </c>
      <c r="L182" t="str">
        <f>IF(VLOOKUP(H182,metric_dict!A:C,3,0)=0,"",VLOOKUP(H182,metric_dict!A:C,3,0))</f>
        <v/>
      </c>
      <c r="M182" t="str">
        <f>VLOOKUP(H182,metric_dict!A:AA,4,0)</f>
        <v>Оценка причин и узких мест</v>
      </c>
      <c r="N182" t="str">
        <f>VLOOKUP(H182,metric_dict!A:AA,5,0)</f>
        <v>Провести анализ оттока, выявить точки роста</v>
      </c>
      <c r="O182">
        <f>VLOOKUP(H182,metric_dict!A:AA,6,0)</f>
        <v>5</v>
      </c>
      <c r="P182" t="s">
        <v>256</v>
      </c>
      <c r="Q182">
        <f>VLOOKUP(H182,metric_dict!A:AA,7,0)</f>
        <v>4</v>
      </c>
    </row>
    <row r="183" spans="1:17" x14ac:dyDescent="0.2">
      <c r="A183">
        <v>23</v>
      </c>
      <c r="B183">
        <v>24</v>
      </c>
      <c r="C183">
        <v>23</v>
      </c>
      <c r="D183">
        <v>22</v>
      </c>
      <c r="E183" t="s">
        <v>251</v>
      </c>
      <c r="F183" t="s">
        <v>52</v>
      </c>
      <c r="G183">
        <v>20</v>
      </c>
      <c r="H183" t="s">
        <v>143</v>
      </c>
      <c r="I183">
        <v>1</v>
      </c>
      <c r="J183">
        <v>1</v>
      </c>
      <c r="K183" t="str">
        <f>VLOOKUP(H183,metric_dict!A:B,2,0)</f>
        <v>Воронка оттока</v>
      </c>
      <c r="L183" t="str">
        <f>IF(VLOOKUP(H183,metric_dict!A:C,3,0)=0,"",VLOOKUP(H183,metric_dict!A:C,3,0))</f>
        <v/>
      </c>
      <c r="M183" t="str">
        <f>VLOOKUP(H183,metric_dict!A:AA,4,0)</f>
        <v>План действий по отклонениям</v>
      </c>
      <c r="N183" t="str">
        <f>VLOOKUP(H183,metric_dict!A:AA,5,0)</f>
        <v>Сформировать список мероприятий по снижению оттока</v>
      </c>
      <c r="O183">
        <f>VLOOKUP(H183,metric_dict!A:AA,6,0)</f>
        <v>4</v>
      </c>
      <c r="P183" t="s">
        <v>256</v>
      </c>
      <c r="Q183">
        <f>VLOOKUP(H183,metric_dict!A:AA,7,0)</f>
        <v>5</v>
      </c>
    </row>
    <row r="184" spans="1:17" x14ac:dyDescent="0.2">
      <c r="A184">
        <v>23</v>
      </c>
      <c r="B184">
        <v>24</v>
      </c>
      <c r="C184">
        <v>23</v>
      </c>
      <c r="D184">
        <v>22</v>
      </c>
      <c r="E184" t="s">
        <v>251</v>
      </c>
      <c r="F184" t="s">
        <v>52</v>
      </c>
      <c r="G184">
        <v>22</v>
      </c>
      <c r="H184" t="s">
        <v>150</v>
      </c>
      <c r="I184">
        <v>0</v>
      </c>
      <c r="J184">
        <v>1</v>
      </c>
      <c r="K184" t="str">
        <f>VLOOKUP(H184,metric_dict!A:B,2,0)</f>
        <v>Алерты</v>
      </c>
      <c r="L184" t="str">
        <f>IF(VLOOKUP(H184,metric_dict!A:C,3,0)=0,"",VLOOKUP(H184,metric_dict!A:C,3,0))</f>
        <v/>
      </c>
      <c r="M184" t="str">
        <f>VLOOKUP(H184,metric_dict!A:AA,4,0)</f>
        <v>Светофоры целей, драйверов, воронок</v>
      </c>
      <c r="N184" t="str">
        <f>VLOOKUP(H184,metric_dict!A:AA,5,0)</f>
        <v>Внедрить систему оповещений</v>
      </c>
      <c r="O184">
        <f>VLOOKUP(H184,metric_dict!A:AA,6,0)</f>
        <v>3</v>
      </c>
      <c r="P184" t="s">
        <v>256</v>
      </c>
      <c r="Q184">
        <f>VLOOKUP(H184,metric_dict!A:AA,7,0)</f>
        <v>2</v>
      </c>
    </row>
    <row r="185" spans="1:17" x14ac:dyDescent="0.2">
      <c r="A185">
        <v>23</v>
      </c>
      <c r="B185">
        <v>24</v>
      </c>
      <c r="C185">
        <v>23</v>
      </c>
      <c r="D185">
        <v>22</v>
      </c>
      <c r="E185" t="s">
        <v>251</v>
      </c>
      <c r="F185" t="s">
        <v>52</v>
      </c>
      <c r="G185">
        <v>224</v>
      </c>
      <c r="H185" s="14" t="s">
        <v>351</v>
      </c>
      <c r="I185">
        <v>1</v>
      </c>
      <c r="J185">
        <v>1</v>
      </c>
      <c r="K185" t="str">
        <f>VLOOKUP(H185,metric_dict!A:B,2,0)</f>
        <v>Механики</v>
      </c>
      <c r="L185" t="str">
        <f>IF(VLOOKUP(H185,metric_dict!A:C,3,0)=0,"",VLOOKUP(H185,metric_dict!A:C,3,0))</f>
        <v/>
      </c>
      <c r="M185" t="str">
        <f>VLOOKUP(H185,metric_dict!A:AA,4,0)</f>
        <v>Адаптация предложений и коммуникаций под контекст клиента</v>
      </c>
      <c r="N185" t="str">
        <f>VLOOKUP(H185,metric_dict!A:AA,5,0)</f>
        <v>Проработать механики персонализации клиентского опыта</v>
      </c>
      <c r="O185">
        <f>VLOOKUP(H185,metric_dict!A:AA,6,0)</f>
        <v>5</v>
      </c>
      <c r="P185" t="s">
        <v>256</v>
      </c>
      <c r="Q185">
        <f>VLOOKUP(H185,metric_dict!A:AA,7,0)</f>
        <v>1</v>
      </c>
    </row>
    <row r="186" spans="1:17" x14ac:dyDescent="0.2">
      <c r="A186">
        <v>23</v>
      </c>
      <c r="B186">
        <v>24</v>
      </c>
      <c r="C186">
        <v>23</v>
      </c>
      <c r="D186">
        <v>22</v>
      </c>
      <c r="E186" t="s">
        <v>251</v>
      </c>
      <c r="F186" t="s">
        <v>52</v>
      </c>
      <c r="G186">
        <v>222</v>
      </c>
      <c r="H186" s="14" t="s">
        <v>352</v>
      </c>
      <c r="I186">
        <v>0.5</v>
      </c>
      <c r="J186">
        <v>1</v>
      </c>
      <c r="K186" t="str">
        <f>VLOOKUP(H186,metric_dict!A:B,2,0)</f>
        <v>Механики</v>
      </c>
      <c r="L186" t="str">
        <f>IF(VLOOKUP(H186,metric_dict!A:C,3,0)=0,"",VLOOKUP(H186,metric_dict!A:C,3,0))</f>
        <v/>
      </c>
      <c r="M186" t="str">
        <f>VLOOKUP(H186,metric_dict!A:AA,4,0)</f>
        <v>Релевантные офферы для привлечения клиентов</v>
      </c>
      <c r="N186" t="str">
        <f>VLOOKUP(H186,metric_dict!A:AA,5,0)</f>
        <v>Проработать механики привлечения клиентов</v>
      </c>
      <c r="O186">
        <f>VLOOKUP(H186,metric_dict!A:AA,6,0)</f>
        <v>5</v>
      </c>
      <c r="P186" t="s">
        <v>256</v>
      </c>
      <c r="Q186">
        <f>VLOOKUP(H186,metric_dict!A:AA,7,0)</f>
        <v>2</v>
      </c>
    </row>
    <row r="187" spans="1:17" x14ac:dyDescent="0.2">
      <c r="A187">
        <v>23</v>
      </c>
      <c r="B187">
        <v>24</v>
      </c>
      <c r="C187">
        <v>23</v>
      </c>
      <c r="D187">
        <v>22</v>
      </c>
      <c r="E187" t="s">
        <v>251</v>
      </c>
      <c r="F187" t="s">
        <v>52</v>
      </c>
      <c r="G187">
        <v>23</v>
      </c>
      <c r="H187" s="14" t="s">
        <v>156</v>
      </c>
      <c r="I187">
        <v>1</v>
      </c>
      <c r="J187">
        <v>1</v>
      </c>
      <c r="K187" t="str">
        <f>VLOOKUP(H187,metric_dict!A:B,2,0)</f>
        <v>Механики</v>
      </c>
      <c r="L187" t="str">
        <f>IF(VLOOKUP(H187,metric_dict!A:C,3,0)=0,"",VLOOKUP(H187,metric_dict!A:C,3,0))</f>
        <v/>
      </c>
      <c r="M187" t="str">
        <f>VLOOKUP(H187,metric_dict!A:AA,4,0)</f>
        <v>Коммуникация + ценность</v>
      </c>
      <c r="N187" t="str">
        <f>VLOOKUP(H187,metric_dict!A:AA,5,0)</f>
        <v>Проработать механики удержания клиентов</v>
      </c>
      <c r="O187">
        <f>VLOOKUP(H187,metric_dict!A:AA,6,0)</f>
        <v>5</v>
      </c>
      <c r="P187" t="s">
        <v>256</v>
      </c>
      <c r="Q187">
        <f>VLOOKUP(H187,metric_dict!A:AA,7,0)</f>
        <v>6</v>
      </c>
    </row>
    <row r="188" spans="1:17" x14ac:dyDescent="0.2">
      <c r="A188">
        <v>23</v>
      </c>
      <c r="B188">
        <v>24</v>
      </c>
      <c r="C188">
        <v>23</v>
      </c>
      <c r="D188">
        <v>22</v>
      </c>
      <c r="E188" t="s">
        <v>251</v>
      </c>
      <c r="F188" t="s">
        <v>52</v>
      </c>
      <c r="G188">
        <v>223</v>
      </c>
      <c r="H188" s="14" t="s">
        <v>353</v>
      </c>
      <c r="I188">
        <v>0</v>
      </c>
      <c r="J188">
        <v>1</v>
      </c>
      <c r="K188" t="str">
        <f>VLOOKUP(H188,metric_dict!A:B,2,0)</f>
        <v>Механики</v>
      </c>
      <c r="L188" t="str">
        <f>IF(VLOOKUP(H188,metric_dict!A:C,3,0)=0,"",VLOOKUP(H188,metric_dict!A:C,3,0))</f>
        <v/>
      </c>
      <c r="M188" t="str">
        <f>VLOOKUP(H188,metric_dict!A:AA,4,0)</f>
        <v>Банковские предложения в момент изменения жизненного сценария</v>
      </c>
      <c r="N188" t="str">
        <f>VLOOKUP(H188,metric_dict!A:AA,5,0)</f>
        <v>Проработать механики реагирования на жизненные ситуации</v>
      </c>
      <c r="O188">
        <f>VLOOKUP(H188,metric_dict!A:AA,6,0)</f>
        <v>5</v>
      </c>
      <c r="P188" t="s">
        <v>256</v>
      </c>
      <c r="Q188">
        <f>VLOOKUP(H188,metric_dict!A:AA,7,0)</f>
        <v>5</v>
      </c>
    </row>
    <row r="189" spans="1:17" x14ac:dyDescent="0.2">
      <c r="A189">
        <v>23</v>
      </c>
      <c r="B189">
        <v>24</v>
      </c>
      <c r="C189">
        <v>23</v>
      </c>
      <c r="D189">
        <v>22</v>
      </c>
      <c r="E189" t="s">
        <v>251</v>
      </c>
      <c r="F189" t="s">
        <v>52</v>
      </c>
      <c r="G189">
        <v>500</v>
      </c>
      <c r="H189" t="s">
        <v>156</v>
      </c>
      <c r="I189">
        <v>0.5</v>
      </c>
      <c r="J189">
        <v>1</v>
      </c>
      <c r="K189" t="str">
        <f>VLOOKUP(H189,metric_dict!A:B,2,0)</f>
        <v>Механики</v>
      </c>
      <c r="L189" t="str">
        <f>IF(VLOOKUP(H189,metric_dict!A:C,3,0)=0,"",VLOOKUP(H189,metric_dict!A:C,3,0))</f>
        <v/>
      </c>
      <c r="M189" t="str">
        <f>VLOOKUP(H189,metric_dict!A:AA,4,0)</f>
        <v>Коммуникация + ценность</v>
      </c>
      <c r="N189" t="str">
        <f>VLOOKUP(H189,metric_dict!A:AA,5,0)</f>
        <v>Проработать механики удержания клиентов</v>
      </c>
      <c r="O189">
        <f>VLOOKUP(H189,metric_dict!A:AA,6,0)</f>
        <v>5</v>
      </c>
      <c r="P189" t="s">
        <v>256</v>
      </c>
      <c r="Q189">
        <f>VLOOKUP(H189,metric_dict!A:AA,7,0)</f>
        <v>6</v>
      </c>
    </row>
    <row r="190" spans="1:17" x14ac:dyDescent="0.2">
      <c r="A190">
        <v>23</v>
      </c>
      <c r="B190">
        <v>24</v>
      </c>
      <c r="C190">
        <v>23</v>
      </c>
      <c r="D190">
        <v>22</v>
      </c>
      <c r="E190" t="s">
        <v>251</v>
      </c>
      <c r="F190" t="s">
        <v>52</v>
      </c>
      <c r="G190">
        <v>501</v>
      </c>
      <c r="H190" t="s">
        <v>156</v>
      </c>
      <c r="I190">
        <v>0</v>
      </c>
      <c r="J190">
        <v>0</v>
      </c>
      <c r="K190" t="str">
        <f>VLOOKUP(H190,metric_dict!A:B,2,0)</f>
        <v>Механики</v>
      </c>
      <c r="L190" t="str">
        <f>IF(VLOOKUP(H190,metric_dict!A:C,3,0)=0,"",VLOOKUP(H190,metric_dict!A:C,3,0))</f>
        <v/>
      </c>
      <c r="M190" t="str">
        <f>VLOOKUP(H190,metric_dict!A:AA,4,0)</f>
        <v>Коммуникация + ценность</v>
      </c>
      <c r="N190" t="str">
        <f>VLOOKUP(H190,metric_dict!A:AA,5,0)</f>
        <v>Проработать механики удержания клиентов</v>
      </c>
      <c r="O190">
        <f>VLOOKUP(H190,metric_dict!A:AA,6,0)</f>
        <v>5</v>
      </c>
      <c r="P190" t="s">
        <v>256</v>
      </c>
      <c r="Q190">
        <f>VLOOKUP(H190,metric_dict!A:AA,7,0)</f>
        <v>6</v>
      </c>
    </row>
    <row r="191" spans="1:17" x14ac:dyDescent="0.2">
      <c r="A191">
        <v>23</v>
      </c>
      <c r="B191">
        <v>24</v>
      </c>
      <c r="C191">
        <v>23</v>
      </c>
      <c r="D191">
        <v>22</v>
      </c>
      <c r="E191" t="s">
        <v>251</v>
      </c>
      <c r="F191" t="s">
        <v>52</v>
      </c>
      <c r="G191">
        <v>502</v>
      </c>
      <c r="H191" t="s">
        <v>156</v>
      </c>
      <c r="I191">
        <v>0</v>
      </c>
      <c r="J191">
        <v>0</v>
      </c>
      <c r="K191" t="str">
        <f>VLOOKUP(H191,metric_dict!A:B,2,0)</f>
        <v>Механики</v>
      </c>
      <c r="L191" t="str">
        <f>IF(VLOOKUP(H191,metric_dict!A:C,3,0)=0,"",VLOOKUP(H191,metric_dict!A:C,3,0))</f>
        <v/>
      </c>
      <c r="M191" t="str">
        <f>VLOOKUP(H191,metric_dict!A:AA,4,0)</f>
        <v>Коммуникация + ценность</v>
      </c>
      <c r="N191" t="str">
        <f>VLOOKUP(H191,metric_dict!A:AA,5,0)</f>
        <v>Проработать механики удержания клиентов</v>
      </c>
      <c r="O191">
        <f>VLOOKUP(H191,metric_dict!A:AA,6,0)</f>
        <v>5</v>
      </c>
      <c r="P191" t="s">
        <v>256</v>
      </c>
      <c r="Q191">
        <f>VLOOKUP(H191,metric_dict!A:AA,7,0)</f>
        <v>6</v>
      </c>
    </row>
    <row r="192" spans="1:17" x14ac:dyDescent="0.2">
      <c r="A192">
        <v>23</v>
      </c>
      <c r="B192">
        <v>24</v>
      </c>
      <c r="C192">
        <v>23</v>
      </c>
      <c r="D192">
        <v>22</v>
      </c>
      <c r="E192" t="s">
        <v>251</v>
      </c>
      <c r="F192" t="s">
        <v>52</v>
      </c>
      <c r="G192">
        <v>225</v>
      </c>
      <c r="H192" t="s">
        <v>265</v>
      </c>
      <c r="I192">
        <v>0.25</v>
      </c>
      <c r="J192">
        <v>0.25</v>
      </c>
      <c r="K192" t="str">
        <f>VLOOKUP(H192,metric_dict!A:B,2,0)</f>
        <v>Механики</v>
      </c>
      <c r="L192" t="str">
        <f>IF(VLOOKUP(H192,metric_dict!A:C,3,0)=0,"",VLOOKUP(H192,metric_dict!A:C,3,0))</f>
        <v/>
      </c>
      <c r="M192" t="str">
        <f>VLOOKUP(H192,metric_dict!A:AA,4,0)</f>
        <v>Настроен по ключевым механикам работы с клиентской базой</v>
      </c>
      <c r="N192" t="str">
        <f>VLOOKUP(H192,metric_dict!A:AA,5,0)</f>
        <v>Настроить мониторинг по ключевым механикам</v>
      </c>
      <c r="O192">
        <f>VLOOKUP(H192,metric_dict!A:AA,6,0)</f>
        <v>2</v>
      </c>
      <c r="P192" t="s">
        <v>256</v>
      </c>
      <c r="Q192">
        <f>VLOOKUP(H192,metric_dict!A:AA,7,0)</f>
        <v>22</v>
      </c>
    </row>
    <row r="193" spans="1:17" x14ac:dyDescent="0.2">
      <c r="A193">
        <v>23</v>
      </c>
      <c r="B193">
        <v>24</v>
      </c>
      <c r="C193">
        <v>23</v>
      </c>
      <c r="D193">
        <v>22</v>
      </c>
      <c r="E193" t="s">
        <v>251</v>
      </c>
      <c r="F193" t="s">
        <v>52</v>
      </c>
      <c r="G193">
        <v>35</v>
      </c>
      <c r="H193" t="s">
        <v>165</v>
      </c>
      <c r="I193">
        <v>1</v>
      </c>
      <c r="J193">
        <v>1</v>
      </c>
      <c r="K193" t="str">
        <f>VLOOKUP(H193,metric_dict!A:B,2,0)</f>
        <v>Гипотезы и инициативы</v>
      </c>
      <c r="L193" t="str">
        <f>IF(VLOOKUP(H193,metric_dict!A:C,3,0)=0,"",VLOOKUP(H193,metric_dict!A:C,3,0))</f>
        <v/>
      </c>
      <c r="M193" t="str">
        <f>VLOOKUP(H193,metric_dict!A:AA,4,0)</f>
        <v>Доля исследовательских задач DA</v>
      </c>
      <c r="N193" t="str">
        <f>VLOOKUP(H193,metric_dict!A:AA,5,0)</f>
        <v>Сфокусировать бэклог аналитиков на research-задачи</v>
      </c>
      <c r="O193">
        <f>VLOOKUP(H193,metric_dict!A:AA,6,0)</f>
        <v>5</v>
      </c>
      <c r="P193" t="s">
        <v>256</v>
      </c>
      <c r="Q193">
        <f>VLOOKUP(H193,metric_dict!A:AA,7,0)</f>
        <v>1</v>
      </c>
    </row>
    <row r="194" spans="1:17" x14ac:dyDescent="0.2">
      <c r="A194">
        <v>23</v>
      </c>
      <c r="B194">
        <v>24</v>
      </c>
      <c r="C194">
        <v>23</v>
      </c>
      <c r="D194">
        <v>22</v>
      </c>
      <c r="E194" t="s">
        <v>251</v>
      </c>
      <c r="F194" t="s">
        <v>52</v>
      </c>
      <c r="G194">
        <v>44</v>
      </c>
      <c r="H194" t="s">
        <v>182</v>
      </c>
      <c r="I194">
        <v>0</v>
      </c>
      <c r="J194">
        <v>1</v>
      </c>
      <c r="K194" t="str">
        <f>VLOOKUP(H194,metric_dict!A:B,2,0)</f>
        <v>Гипотезы и инициативы</v>
      </c>
      <c r="L194" t="str">
        <f>IF(VLOOKUP(H194,metric_dict!A:C,3,0)=0,"",VLOOKUP(H194,metric_dict!A:C,3,0))</f>
        <v/>
      </c>
      <c r="M194" t="str">
        <f>VLOOKUP(H194,metric_dict!A:AA,4,0)</f>
        <v>Средняя оценка проведенных исследований</v>
      </c>
      <c r="N194" t="str">
        <f>VLOOKUP(H194,metric_dict!A:AA,5,0)</f>
        <v>Повысить качество проведенных исследований</v>
      </c>
      <c r="O194">
        <f>VLOOKUP(H194,metric_dict!A:AA,6,0)</f>
        <v>5</v>
      </c>
      <c r="P194" t="s">
        <v>256</v>
      </c>
      <c r="Q194">
        <f>VLOOKUP(H194,metric_dict!A:AA,7,0)</f>
        <v>2</v>
      </c>
    </row>
    <row r="195" spans="1:17" x14ac:dyDescent="0.2">
      <c r="A195">
        <v>28</v>
      </c>
      <c r="B195">
        <v>29</v>
      </c>
      <c r="C195">
        <v>28</v>
      </c>
      <c r="D195">
        <v>27</v>
      </c>
      <c r="E195" t="s">
        <v>251</v>
      </c>
      <c r="F195" t="s">
        <v>53</v>
      </c>
      <c r="G195">
        <v>99</v>
      </c>
      <c r="H195" t="s">
        <v>330</v>
      </c>
      <c r="I195">
        <v>0.3</v>
      </c>
      <c r="J195">
        <v>0.3</v>
      </c>
      <c r="K195" t="str">
        <f>VLOOKUP(H195,metric_dict!A:B,2,0)</f>
        <v>Знание ключевых метрик</v>
      </c>
      <c r="L195" t="str">
        <f>IF(VLOOKUP(H195,metric_dict!A:C,3,0)=0,"",VLOOKUP(H195,metric_dict!A:C,3,0))</f>
        <v/>
      </c>
      <c r="M195" t="str">
        <f>VLOOKUP(H195,metric_dict!A:AA,4,0)</f>
        <v>Знание значения метрики активной клиентской базы</v>
      </c>
      <c r="N195" t="str">
        <f>VLOOKUP(H195,metric_dict!A:AA,5,0)</f>
        <v>Знание метрик и инструментов</v>
      </c>
      <c r="O195">
        <f>VLOOKUP(H195,metric_dict!A:AA,6,0)</f>
        <v>1</v>
      </c>
      <c r="P195" t="s">
        <v>256</v>
      </c>
      <c r="Q195">
        <f>VLOOKUP(H195,metric_dict!A:AA,7,0)</f>
        <v>5</v>
      </c>
    </row>
    <row r="196" spans="1:17" x14ac:dyDescent="0.2">
      <c r="A196">
        <v>28</v>
      </c>
      <c r="B196">
        <v>29</v>
      </c>
      <c r="C196">
        <v>28</v>
      </c>
      <c r="D196">
        <v>27</v>
      </c>
      <c r="E196" t="s">
        <v>251</v>
      </c>
      <c r="F196" t="s">
        <v>53</v>
      </c>
      <c r="G196">
        <v>98</v>
      </c>
      <c r="H196" t="s">
        <v>331</v>
      </c>
      <c r="I196">
        <v>0.3</v>
      </c>
      <c r="J196">
        <v>0.3</v>
      </c>
      <c r="K196" t="str">
        <f>VLOOKUP(H196,metric_dict!A:B,2,0)</f>
        <v>Знание ключевых метрик</v>
      </c>
      <c r="L196" t="str">
        <f>IF(VLOOKUP(H196,metric_dict!A:C,3,0)=0,"",VLOOKUP(H196,metric_dict!A:C,3,0))</f>
        <v/>
      </c>
      <c r="M196" t="str">
        <f>VLOOKUP(H196,metric_dict!A:AA,4,0)</f>
        <v>Знание метрики Major</v>
      </c>
      <c r="N196" t="str">
        <f>VLOOKUP(H196,metric_dict!A:AA,5,0)</f>
        <v>Знание метрик и инструментов</v>
      </c>
      <c r="O196">
        <f>VLOOKUP(H196,metric_dict!A:AA,6,0)</f>
        <v>1</v>
      </c>
      <c r="P196" t="s">
        <v>256</v>
      </c>
      <c r="Q196">
        <f>VLOOKUP(H196,metric_dict!A:AA,7,0)</f>
        <v>6</v>
      </c>
    </row>
    <row r="197" spans="1:17" x14ac:dyDescent="0.2">
      <c r="A197">
        <v>28</v>
      </c>
      <c r="B197">
        <v>29</v>
      </c>
      <c r="C197">
        <v>28</v>
      </c>
      <c r="D197">
        <v>27</v>
      </c>
      <c r="E197" t="s">
        <v>251</v>
      </c>
      <c r="F197" t="s">
        <v>53</v>
      </c>
      <c r="G197">
        <v>97</v>
      </c>
      <c r="H197" t="s">
        <v>332</v>
      </c>
      <c r="I197">
        <v>0.3</v>
      </c>
      <c r="J197">
        <v>0.3</v>
      </c>
      <c r="K197" t="str">
        <f>VLOOKUP(H197,metric_dict!A:B,2,0)</f>
        <v>Знание ключевых метрик</v>
      </c>
      <c r="L197" t="str">
        <f>IF(VLOOKUP(H197,metric_dict!A:C,3,0)=0,"",VLOOKUP(H197,metric_dict!A:C,3,0))</f>
        <v/>
      </c>
      <c r="M197" t="str">
        <f>VLOOKUP(H197,metric_dict!A:AA,4,0)</f>
        <v>Знание метрики кол-во клиентов с 2+ нефин.сервисов</v>
      </c>
      <c r="N197" t="str">
        <f>VLOOKUP(H197,metric_dict!A:AA,5,0)</f>
        <v>Знание метрик и инструментов</v>
      </c>
      <c r="O197">
        <f>VLOOKUP(H197,metric_dict!A:AA,6,0)</f>
        <v>1</v>
      </c>
      <c r="P197" t="s">
        <v>256</v>
      </c>
      <c r="Q197">
        <f>VLOOKUP(H197,metric_dict!A:AA,7,0)</f>
        <v>7</v>
      </c>
    </row>
    <row r="198" spans="1:17" x14ac:dyDescent="0.2">
      <c r="A198">
        <v>28</v>
      </c>
      <c r="B198">
        <v>29</v>
      </c>
      <c r="C198">
        <v>28</v>
      </c>
      <c r="D198">
        <v>27</v>
      </c>
      <c r="E198" t="s">
        <v>251</v>
      </c>
      <c r="F198" t="s">
        <v>53</v>
      </c>
      <c r="G198">
        <v>2</v>
      </c>
      <c r="H198" t="s">
        <v>98</v>
      </c>
      <c r="I198">
        <v>0.5</v>
      </c>
      <c r="J198">
        <v>0.5</v>
      </c>
      <c r="K198" t="str">
        <f>VLOOKUP(H198,metric_dict!A:B,2,0)</f>
        <v>Знание ключевых метрик</v>
      </c>
      <c r="L198" t="str">
        <f>IF(VLOOKUP(H198,metric_dict!A:C,3,0)=0,"",VLOOKUP(H198,metric_dict!A:C,3,0))</f>
        <v/>
      </c>
      <c r="M198" t="str">
        <f>VLOOKUP(H198,metric_dict!A:AA,4,0)</f>
        <v>Понимание доступной отчетности и регулярного мониторинга</v>
      </c>
      <c r="N198" t="str">
        <f>VLOOKUP(H198,metric_dict!A:AA,5,0)</f>
        <v>Знание метрик и инструментов</v>
      </c>
      <c r="O198">
        <f>VLOOKUP(H198,metric_dict!A:AA,6,0)</f>
        <v>1</v>
      </c>
      <c r="P198" t="s">
        <v>256</v>
      </c>
      <c r="Q198">
        <f>VLOOKUP(H198,metric_dict!A:AA,7,0)</f>
        <v>13</v>
      </c>
    </row>
    <row r="199" spans="1:17" x14ac:dyDescent="0.2">
      <c r="A199">
        <v>28</v>
      </c>
      <c r="B199">
        <v>29</v>
      </c>
      <c r="C199">
        <v>28</v>
      </c>
      <c r="D199">
        <v>27</v>
      </c>
      <c r="E199" t="s">
        <v>251</v>
      </c>
      <c r="F199" t="s">
        <v>53</v>
      </c>
      <c r="G199">
        <v>3</v>
      </c>
      <c r="H199" t="s">
        <v>100</v>
      </c>
      <c r="I199">
        <v>1</v>
      </c>
      <c r="J199">
        <v>1</v>
      </c>
      <c r="K199" t="str">
        <f>VLOOKUP(H199,metric_dict!A:B,2,0)</f>
        <v>Цели</v>
      </c>
      <c r="L199" t="str">
        <f>IF(VLOOKUP(H199,metric_dict!A:C,3,0)=0,"",VLOOKUP(H199,metric_dict!A:C,3,0))</f>
        <v/>
      </c>
      <c r="M199" t="str">
        <f>VLOOKUP(H199,metric_dict!A:AA,4,0)</f>
        <v>Регулярное обновление в Навигаторе</v>
      </c>
      <c r="N199" t="str">
        <f>VLOOKUP(H199,metric_dict!A:AA,5,0)</f>
        <v>Обогащение целей/драйверов/прогнозов в Навигаторе</v>
      </c>
      <c r="O199">
        <f>VLOOKUP(H199,metric_dict!A:AA,6,0)</f>
        <v>2</v>
      </c>
      <c r="P199" t="s">
        <v>256</v>
      </c>
      <c r="Q199">
        <f>VLOOKUP(H199,metric_dict!A:AA,7,0)</f>
        <v>1</v>
      </c>
    </row>
    <row r="200" spans="1:17" x14ac:dyDescent="0.2">
      <c r="A200">
        <v>28</v>
      </c>
      <c r="B200">
        <v>29</v>
      </c>
      <c r="C200">
        <v>28</v>
      </c>
      <c r="D200">
        <v>27</v>
      </c>
      <c r="E200" t="s">
        <v>251</v>
      </c>
      <c r="F200" t="s">
        <v>53</v>
      </c>
      <c r="G200">
        <v>4</v>
      </c>
      <c r="H200" t="s">
        <v>104</v>
      </c>
      <c r="I200">
        <v>0.5</v>
      </c>
      <c r="J200">
        <v>1</v>
      </c>
      <c r="K200" t="str">
        <f>VLOOKUP(H200,metric_dict!A:B,2,0)</f>
        <v>Цели</v>
      </c>
      <c r="L200" t="str">
        <f>IF(VLOOKUP(H200,metric_dict!A:C,3,0)=0,"",VLOOKUP(H200,metric_dict!A:C,3,0))</f>
        <v/>
      </c>
      <c r="M200" t="str">
        <f>VLOOKUP(H200,metric_dict!A:AA,4,0)</f>
        <v>Согласно модели бизнес-процесса</v>
      </c>
      <c r="N200" t="str">
        <f>VLOOKUP(H200,metric_dict!A:AA,5,0)</f>
        <v>Декомпозировать значения целей на драйверы</v>
      </c>
      <c r="O200">
        <f>VLOOKUP(H200,metric_dict!A:AA,6,0)</f>
        <v>7</v>
      </c>
      <c r="P200" t="s">
        <v>256</v>
      </c>
      <c r="Q200">
        <f>VLOOKUP(H200,metric_dict!A:AA,7,0)</f>
        <v>2</v>
      </c>
    </row>
    <row r="201" spans="1:17" x14ac:dyDescent="0.2">
      <c r="A201">
        <v>28</v>
      </c>
      <c r="B201">
        <v>29</v>
      </c>
      <c r="C201">
        <v>28</v>
      </c>
      <c r="D201">
        <v>27</v>
      </c>
      <c r="E201" t="s">
        <v>251</v>
      </c>
      <c r="F201" t="s">
        <v>53</v>
      </c>
      <c r="G201">
        <v>5</v>
      </c>
      <c r="H201" t="s">
        <v>108</v>
      </c>
      <c r="I201">
        <v>0.5</v>
      </c>
      <c r="J201">
        <v>1</v>
      </c>
      <c r="K201" t="str">
        <f>VLOOKUP(H201,metric_dict!A:B,2,0)</f>
        <v>Цели</v>
      </c>
      <c r="L201" t="str">
        <f>IF(VLOOKUP(H201,metric_dict!A:C,3,0)=0,"",VLOOKUP(H201,metric_dict!A:C,3,0))</f>
        <v/>
      </c>
      <c r="M201" t="str">
        <f>VLOOKUP(H201,metric_dict!A:AA,4,0)</f>
        <v>Прогноз выведен в Навигатор</v>
      </c>
      <c r="N201" t="str">
        <f>VLOOKUP(H201,metric_dict!A:AA,5,0)</f>
        <v>Сформировать прогнозные значения по целям</v>
      </c>
      <c r="O201">
        <f>VLOOKUP(H201,metric_dict!A:AA,6,0)</f>
        <v>8</v>
      </c>
      <c r="P201" t="s">
        <v>256</v>
      </c>
      <c r="Q201">
        <f>VLOOKUP(H201,metric_dict!A:AA,7,0)</f>
        <v>3</v>
      </c>
    </row>
    <row r="202" spans="1:17" x14ac:dyDescent="0.2">
      <c r="A202">
        <v>28</v>
      </c>
      <c r="B202">
        <v>29</v>
      </c>
      <c r="C202">
        <v>28</v>
      </c>
      <c r="D202">
        <v>27</v>
      </c>
      <c r="E202" t="s">
        <v>251</v>
      </c>
      <c r="F202" t="s">
        <v>53</v>
      </c>
      <c r="G202">
        <v>9</v>
      </c>
      <c r="H202" t="s">
        <v>111</v>
      </c>
      <c r="I202">
        <v>0</v>
      </c>
      <c r="J202">
        <v>0.5</v>
      </c>
      <c r="K202" t="str">
        <f>VLOOKUP(H202,metric_dict!A:B,2,0)</f>
        <v>Воронка привлечения</v>
      </c>
      <c r="L202" t="str">
        <f>IF(VLOOKUP(H202,metric_dict!A:C,3,0)=0,"",VLOOKUP(H202,metric_dict!A:C,3,0))</f>
        <v>Отчетность</v>
      </c>
      <c r="M202" t="str">
        <f>VLOOKUP(H202,metric_dict!A:AA,4,0)</f>
        <v>Настроена по воронке</v>
      </c>
      <c r="N202" t="str">
        <f>VLOOKUP(H202,metric_dict!A:AA,5,0)</f>
        <v>Настроить мониторинг по воронке привлечения</v>
      </c>
      <c r="O202">
        <f>VLOOKUP(H202,metric_dict!A:AA,6,0)</f>
        <v>2</v>
      </c>
      <c r="P202" t="s">
        <v>256</v>
      </c>
      <c r="Q202">
        <f>VLOOKUP(H202,metric_dict!A:AA,7,0)</f>
        <v>1</v>
      </c>
    </row>
    <row r="203" spans="1:17" x14ac:dyDescent="0.2">
      <c r="A203">
        <v>28</v>
      </c>
      <c r="B203">
        <v>29</v>
      </c>
      <c r="C203">
        <v>28</v>
      </c>
      <c r="D203">
        <v>27</v>
      </c>
      <c r="E203" t="s">
        <v>251</v>
      </c>
      <c r="F203" t="s">
        <v>53</v>
      </c>
      <c r="G203">
        <v>10</v>
      </c>
      <c r="H203" t="s">
        <v>115</v>
      </c>
      <c r="I203">
        <v>0</v>
      </c>
      <c r="J203">
        <v>0.5</v>
      </c>
      <c r="K203" t="str">
        <f>VLOOKUP(H203,metric_dict!A:B,2,0)</f>
        <v>Воронка привлечения</v>
      </c>
      <c r="L203" t="str">
        <f>IF(VLOOKUP(H203,metric_dict!A:C,3,0)=0,"",VLOOKUP(H203,metric_dict!A:C,3,0))</f>
        <v>Отчетность</v>
      </c>
      <c r="M203" t="str">
        <f>VLOOKUP(H203,metric_dict!A:AA,4,0)</f>
        <v>Источники, CR, объёмы, сегменты</v>
      </c>
      <c r="N203" t="str">
        <f>VLOOKUP(H203,metric_dict!A:AA,5,0)</f>
        <v>Донасытить метриками мониторинг по воронке привлечения</v>
      </c>
      <c r="O203">
        <f>VLOOKUP(H203,metric_dict!A:AA,6,0)</f>
        <v>3</v>
      </c>
      <c r="P203" t="s">
        <v>256</v>
      </c>
      <c r="Q203">
        <f>VLOOKUP(H203,metric_dict!A:AA,7,0)</f>
        <v>2</v>
      </c>
    </row>
    <row r="204" spans="1:17" x14ac:dyDescent="0.2">
      <c r="A204">
        <v>28</v>
      </c>
      <c r="B204">
        <v>29</v>
      </c>
      <c r="C204">
        <v>28</v>
      </c>
      <c r="D204">
        <v>27</v>
      </c>
      <c r="E204" t="s">
        <v>251</v>
      </c>
      <c r="F204" t="s">
        <v>53</v>
      </c>
      <c r="G204">
        <v>12</v>
      </c>
      <c r="H204" t="s">
        <v>121</v>
      </c>
      <c r="I204">
        <v>0</v>
      </c>
      <c r="J204">
        <v>0.5</v>
      </c>
      <c r="K204" t="str">
        <f>VLOOKUP(H204,metric_dict!A:B,2,0)</f>
        <v>Воронка оттока</v>
      </c>
      <c r="L204" t="str">
        <f>IF(VLOOKUP(H204,metric_dict!A:C,3,0)=0,"",VLOOKUP(H204,metric_dict!A:C,3,0))</f>
        <v>Отчетность</v>
      </c>
      <c r="M204" t="str">
        <f>VLOOKUP(H204,metric_dict!A:AA,4,0)</f>
        <v>Настроена по воронке</v>
      </c>
      <c r="N204" t="str">
        <f>VLOOKUP(H204,metric_dict!A:AA,5,0)</f>
        <v>Настроить мониторинг по воронке оттока</v>
      </c>
      <c r="O204">
        <f>VLOOKUP(H204,metric_dict!A:AA,6,0)</f>
        <v>2</v>
      </c>
      <c r="P204" t="s">
        <v>256</v>
      </c>
      <c r="Q204">
        <f>VLOOKUP(H204,metric_dict!A:AA,7,0)</f>
        <v>1</v>
      </c>
    </row>
    <row r="205" spans="1:17" x14ac:dyDescent="0.2">
      <c r="A205">
        <v>28</v>
      </c>
      <c r="B205">
        <v>29</v>
      </c>
      <c r="C205">
        <v>28</v>
      </c>
      <c r="D205">
        <v>27</v>
      </c>
      <c r="E205" t="s">
        <v>251</v>
      </c>
      <c r="F205" t="s">
        <v>53</v>
      </c>
      <c r="G205">
        <v>13</v>
      </c>
      <c r="H205" t="s">
        <v>124</v>
      </c>
      <c r="I205">
        <v>0</v>
      </c>
      <c r="J205">
        <v>0.5</v>
      </c>
      <c r="K205" t="str">
        <f>VLOOKUP(H205,metric_dict!A:B,2,0)</f>
        <v>Воронка оттока</v>
      </c>
      <c r="L205" t="str">
        <f>IF(VLOOKUP(H205,metric_dict!A:C,3,0)=0,"",VLOOKUP(H205,metric_dict!A:C,3,0))</f>
        <v>Отчетность</v>
      </c>
      <c r="M205" t="str">
        <f>VLOOKUP(H205,metric_dict!A:AA,4,0)</f>
        <v>Retention, CR, удержание</v>
      </c>
      <c r="N205" t="str">
        <f>VLOOKUP(H205,metric_dict!A:AA,5,0)</f>
        <v>Донасытить метриками мониторинг по воронке оттока</v>
      </c>
      <c r="O205">
        <f>VLOOKUP(H205,metric_dict!A:AA,6,0)</f>
        <v>3</v>
      </c>
      <c r="P205" t="s">
        <v>256</v>
      </c>
      <c r="Q205">
        <f>VLOOKUP(H205,metric_dict!A:AA,7,0)</f>
        <v>2</v>
      </c>
    </row>
    <row r="206" spans="1:17" x14ac:dyDescent="0.2">
      <c r="A206">
        <v>28</v>
      </c>
      <c r="B206">
        <v>29</v>
      </c>
      <c r="C206">
        <v>28</v>
      </c>
      <c r="D206">
        <v>27</v>
      </c>
      <c r="E206" t="s">
        <v>251</v>
      </c>
      <c r="F206" t="s">
        <v>53</v>
      </c>
      <c r="G206">
        <v>15</v>
      </c>
      <c r="H206" t="s">
        <v>129</v>
      </c>
      <c r="I206">
        <v>0</v>
      </c>
      <c r="J206">
        <v>1</v>
      </c>
      <c r="K206" t="str">
        <f>VLOOKUP(H206,metric_dict!A:B,2,0)</f>
        <v>BENCHMARKS</v>
      </c>
      <c r="L206" t="str">
        <f>IF(VLOOKUP(H206,metric_dict!A:C,3,0)=0,"",VLOOKUP(H206,metric_dict!A:C,3,0))</f>
        <v/>
      </c>
      <c r="M206" t="str">
        <f>VLOOKUP(H206,metric_dict!A:AA,4,0)</f>
        <v>Цели / динамика / рынок</v>
      </c>
      <c r="N206" t="str">
        <f>VLOOKUP(H206,metric_dict!A:AA,5,0)</f>
        <v>Сформировать бенчмарки по продуктовым метрикам</v>
      </c>
      <c r="O206">
        <f>VLOOKUP(H206,metric_dict!A:AA,6,0)</f>
        <v>5</v>
      </c>
      <c r="P206" t="s">
        <v>256</v>
      </c>
      <c r="Q206">
        <f>VLOOKUP(H206,metric_dict!A:AA,7,0)</f>
        <v>6</v>
      </c>
    </row>
    <row r="207" spans="1:17" x14ac:dyDescent="0.2">
      <c r="A207">
        <v>28</v>
      </c>
      <c r="B207">
        <v>29</v>
      </c>
      <c r="C207">
        <v>28</v>
      </c>
      <c r="D207">
        <v>27</v>
      </c>
      <c r="E207" t="s">
        <v>251</v>
      </c>
      <c r="F207" t="s">
        <v>53</v>
      </c>
      <c r="G207">
        <v>17</v>
      </c>
      <c r="H207" t="s">
        <v>134</v>
      </c>
      <c r="I207">
        <v>1</v>
      </c>
      <c r="J207">
        <v>1</v>
      </c>
      <c r="K207" t="str">
        <f>VLOOKUP(H207,metric_dict!A:B,2,0)</f>
        <v>Воронка привлечения</v>
      </c>
      <c r="L207" t="str">
        <f>IF(VLOOKUP(H207,metric_dict!A:C,3,0)=0,"",VLOOKUP(H207,metric_dict!A:C,3,0))</f>
        <v/>
      </c>
      <c r="M207" t="str">
        <f>VLOOKUP(H207,metric_dict!A:AA,4,0)</f>
        <v>Оценка эффективности, поиск точек роста</v>
      </c>
      <c r="N207" t="str">
        <f>VLOOKUP(H207,metric_dict!A:AA,5,0)</f>
        <v>Провести анализ привлечения, выявить точки роста</v>
      </c>
      <c r="O207">
        <f>VLOOKUP(H207,metric_dict!A:AA,6,0)</f>
        <v>5</v>
      </c>
      <c r="P207" t="s">
        <v>256</v>
      </c>
      <c r="Q207">
        <f>VLOOKUP(H207,metric_dict!A:AA,7,0)</f>
        <v>4</v>
      </c>
    </row>
    <row r="208" spans="1:17" x14ac:dyDescent="0.2">
      <c r="A208">
        <v>28</v>
      </c>
      <c r="B208">
        <v>29</v>
      </c>
      <c r="C208">
        <v>28</v>
      </c>
      <c r="D208">
        <v>27</v>
      </c>
      <c r="E208" t="s">
        <v>251</v>
      </c>
      <c r="F208" t="s">
        <v>53</v>
      </c>
      <c r="G208">
        <v>18</v>
      </c>
      <c r="H208" t="s">
        <v>137</v>
      </c>
      <c r="I208">
        <v>1</v>
      </c>
      <c r="J208">
        <v>1</v>
      </c>
      <c r="K208" t="str">
        <f>VLOOKUP(H208,metric_dict!A:B,2,0)</f>
        <v>Воронка привлечения</v>
      </c>
      <c r="L208" t="str">
        <f>IF(VLOOKUP(H208,metric_dict!A:C,3,0)=0,"",VLOOKUP(H208,metric_dict!A:C,3,0))</f>
        <v/>
      </c>
      <c r="M208" t="str">
        <f>VLOOKUP(H208,metric_dict!A:AA,4,0)</f>
        <v>План действий по росту</v>
      </c>
      <c r="N208" t="str">
        <f>VLOOKUP(H208,metric_dict!A:AA,5,0)</f>
        <v>Сформировать перечень инициатив</v>
      </c>
      <c r="O208">
        <f>VLOOKUP(H208,metric_dict!A:AA,6,0)</f>
        <v>5</v>
      </c>
      <c r="P208" t="s">
        <v>256</v>
      </c>
      <c r="Q208">
        <f>VLOOKUP(H208,metric_dict!A:AA,7,0)</f>
        <v>5</v>
      </c>
    </row>
    <row r="209" spans="1:17" x14ac:dyDescent="0.2">
      <c r="A209">
        <v>28</v>
      </c>
      <c r="B209">
        <v>29</v>
      </c>
      <c r="C209">
        <v>28</v>
      </c>
      <c r="D209">
        <v>27</v>
      </c>
      <c r="E209" t="s">
        <v>251</v>
      </c>
      <c r="F209" t="s">
        <v>53</v>
      </c>
      <c r="G209">
        <v>19</v>
      </c>
      <c r="H209" t="s">
        <v>140</v>
      </c>
      <c r="I209">
        <v>0</v>
      </c>
      <c r="J209">
        <v>1</v>
      </c>
      <c r="K209" t="str">
        <f>VLOOKUP(H209,metric_dict!A:B,2,0)</f>
        <v>Воронка оттока</v>
      </c>
      <c r="L209" t="str">
        <f>IF(VLOOKUP(H209,metric_dict!A:C,3,0)=0,"",VLOOKUP(H209,metric_dict!A:C,3,0))</f>
        <v/>
      </c>
      <c r="M209" t="str">
        <f>VLOOKUP(H209,metric_dict!A:AA,4,0)</f>
        <v>Оценка причин и узких мест</v>
      </c>
      <c r="N209" t="str">
        <f>VLOOKUP(H209,metric_dict!A:AA,5,0)</f>
        <v>Провести анализ оттока, выявить точки роста</v>
      </c>
      <c r="O209">
        <f>VLOOKUP(H209,metric_dict!A:AA,6,0)</f>
        <v>5</v>
      </c>
      <c r="P209" t="s">
        <v>256</v>
      </c>
      <c r="Q209">
        <f>VLOOKUP(H209,metric_dict!A:AA,7,0)</f>
        <v>4</v>
      </c>
    </row>
    <row r="210" spans="1:17" x14ac:dyDescent="0.2">
      <c r="A210">
        <v>28</v>
      </c>
      <c r="B210">
        <v>29</v>
      </c>
      <c r="C210">
        <v>28</v>
      </c>
      <c r="D210">
        <v>27</v>
      </c>
      <c r="E210" t="s">
        <v>251</v>
      </c>
      <c r="F210" t="s">
        <v>53</v>
      </c>
      <c r="G210">
        <v>20</v>
      </c>
      <c r="H210" t="s">
        <v>143</v>
      </c>
      <c r="I210">
        <v>0</v>
      </c>
      <c r="J210">
        <v>1</v>
      </c>
      <c r="K210" t="str">
        <f>VLOOKUP(H210,metric_dict!A:B,2,0)</f>
        <v>Воронка оттока</v>
      </c>
      <c r="L210" t="str">
        <f>IF(VLOOKUP(H210,metric_dict!A:C,3,0)=0,"",VLOOKUP(H210,metric_dict!A:C,3,0))</f>
        <v/>
      </c>
      <c r="M210" t="str">
        <f>VLOOKUP(H210,metric_dict!A:AA,4,0)</f>
        <v>План действий по отклонениям</v>
      </c>
      <c r="N210" t="str">
        <f>VLOOKUP(H210,metric_dict!A:AA,5,0)</f>
        <v>Сформировать список мероприятий по снижению оттока</v>
      </c>
      <c r="O210">
        <f>VLOOKUP(H210,metric_dict!A:AA,6,0)</f>
        <v>4</v>
      </c>
      <c r="P210" t="s">
        <v>256</v>
      </c>
      <c r="Q210">
        <f>VLOOKUP(H210,metric_dict!A:AA,7,0)</f>
        <v>5</v>
      </c>
    </row>
    <row r="211" spans="1:17" x14ac:dyDescent="0.2">
      <c r="A211">
        <v>28</v>
      </c>
      <c r="B211">
        <v>29</v>
      </c>
      <c r="C211">
        <v>28</v>
      </c>
      <c r="D211">
        <v>27</v>
      </c>
      <c r="E211" t="s">
        <v>251</v>
      </c>
      <c r="F211" t="s">
        <v>53</v>
      </c>
      <c r="G211">
        <v>22</v>
      </c>
      <c r="H211" t="s">
        <v>150</v>
      </c>
      <c r="I211">
        <v>0</v>
      </c>
      <c r="J211">
        <v>1</v>
      </c>
      <c r="K211" t="str">
        <f>VLOOKUP(H211,metric_dict!A:B,2,0)</f>
        <v>Алерты</v>
      </c>
      <c r="L211" t="str">
        <f>IF(VLOOKUP(H211,metric_dict!A:C,3,0)=0,"",VLOOKUP(H211,metric_dict!A:C,3,0))</f>
        <v/>
      </c>
      <c r="M211" t="str">
        <f>VLOOKUP(H211,metric_dict!A:AA,4,0)</f>
        <v>Светофоры целей, драйверов, воронок</v>
      </c>
      <c r="N211" t="str">
        <f>VLOOKUP(H211,metric_dict!A:AA,5,0)</f>
        <v>Внедрить систему оповещений</v>
      </c>
      <c r="O211">
        <f>VLOOKUP(H211,metric_dict!A:AA,6,0)</f>
        <v>3</v>
      </c>
      <c r="P211" t="s">
        <v>256</v>
      </c>
      <c r="Q211">
        <f>VLOOKUP(H211,metric_dict!A:AA,7,0)</f>
        <v>2</v>
      </c>
    </row>
    <row r="212" spans="1:17" x14ac:dyDescent="0.2">
      <c r="A212">
        <v>28</v>
      </c>
      <c r="B212">
        <v>29</v>
      </c>
      <c r="C212">
        <v>28</v>
      </c>
      <c r="D212">
        <v>27</v>
      </c>
      <c r="E212" t="s">
        <v>251</v>
      </c>
      <c r="F212" t="s">
        <v>53</v>
      </c>
      <c r="G212">
        <v>224</v>
      </c>
      <c r="H212" s="14" t="s">
        <v>351</v>
      </c>
      <c r="I212">
        <v>0</v>
      </c>
      <c r="J212">
        <v>1</v>
      </c>
      <c r="K212" t="str">
        <f>VLOOKUP(H212,metric_dict!A:B,2,0)</f>
        <v>Механики</v>
      </c>
      <c r="L212" t="str">
        <f>IF(VLOOKUP(H212,metric_dict!A:C,3,0)=0,"",VLOOKUP(H212,metric_dict!A:C,3,0))</f>
        <v/>
      </c>
      <c r="M212" t="str">
        <f>VLOOKUP(H212,metric_dict!A:AA,4,0)</f>
        <v>Адаптация предложений и коммуникаций под контекст клиента</v>
      </c>
      <c r="N212" t="str">
        <f>VLOOKUP(H212,metric_dict!A:AA,5,0)</f>
        <v>Проработать механики персонализации клиентского опыта</v>
      </c>
      <c r="O212">
        <f>VLOOKUP(H212,metric_dict!A:AA,6,0)</f>
        <v>5</v>
      </c>
      <c r="P212" t="s">
        <v>256</v>
      </c>
      <c r="Q212">
        <f>VLOOKUP(H212,metric_dict!A:AA,7,0)</f>
        <v>1</v>
      </c>
    </row>
    <row r="213" spans="1:17" x14ac:dyDescent="0.2">
      <c r="A213">
        <v>28</v>
      </c>
      <c r="B213">
        <v>29</v>
      </c>
      <c r="C213">
        <v>28</v>
      </c>
      <c r="D213">
        <v>27</v>
      </c>
      <c r="E213" t="s">
        <v>251</v>
      </c>
      <c r="F213" t="s">
        <v>53</v>
      </c>
      <c r="G213">
        <v>222</v>
      </c>
      <c r="H213" s="14" t="s">
        <v>352</v>
      </c>
      <c r="I213">
        <v>0</v>
      </c>
      <c r="J213">
        <v>1</v>
      </c>
      <c r="K213" t="str">
        <f>VLOOKUP(H213,metric_dict!A:B,2,0)</f>
        <v>Механики</v>
      </c>
      <c r="L213" t="str">
        <f>IF(VLOOKUP(H213,metric_dict!A:C,3,0)=0,"",VLOOKUP(H213,metric_dict!A:C,3,0))</f>
        <v/>
      </c>
      <c r="M213" t="str">
        <f>VLOOKUP(H213,metric_dict!A:AA,4,0)</f>
        <v>Релевантные офферы для привлечения клиентов</v>
      </c>
      <c r="N213" t="str">
        <f>VLOOKUP(H213,metric_dict!A:AA,5,0)</f>
        <v>Проработать механики привлечения клиентов</v>
      </c>
      <c r="O213">
        <f>VLOOKUP(H213,metric_dict!A:AA,6,0)</f>
        <v>5</v>
      </c>
      <c r="P213" t="s">
        <v>256</v>
      </c>
      <c r="Q213">
        <f>VLOOKUP(H213,metric_dict!A:AA,7,0)</f>
        <v>2</v>
      </c>
    </row>
    <row r="214" spans="1:17" x14ac:dyDescent="0.2">
      <c r="A214">
        <v>28</v>
      </c>
      <c r="B214">
        <v>29</v>
      </c>
      <c r="C214">
        <v>28</v>
      </c>
      <c r="D214">
        <v>27</v>
      </c>
      <c r="E214" t="s">
        <v>251</v>
      </c>
      <c r="F214" t="s">
        <v>53</v>
      </c>
      <c r="G214">
        <v>23</v>
      </c>
      <c r="H214" s="14" t="s">
        <v>156</v>
      </c>
      <c r="I214">
        <v>0.25</v>
      </c>
      <c r="J214">
        <v>1</v>
      </c>
      <c r="K214" t="str">
        <f>VLOOKUP(H214,metric_dict!A:B,2,0)</f>
        <v>Механики</v>
      </c>
      <c r="L214" t="str">
        <f>IF(VLOOKUP(H214,metric_dict!A:C,3,0)=0,"",VLOOKUP(H214,metric_dict!A:C,3,0))</f>
        <v/>
      </c>
      <c r="M214" t="str">
        <f>VLOOKUP(H214,metric_dict!A:AA,4,0)</f>
        <v>Коммуникация + ценность</v>
      </c>
      <c r="N214" t="str">
        <f>VLOOKUP(H214,metric_dict!A:AA,5,0)</f>
        <v>Проработать механики удержания клиентов</v>
      </c>
      <c r="O214">
        <f>VLOOKUP(H214,metric_dict!A:AA,6,0)</f>
        <v>5</v>
      </c>
      <c r="P214" t="s">
        <v>256</v>
      </c>
      <c r="Q214">
        <f>VLOOKUP(H214,metric_dict!A:AA,7,0)</f>
        <v>6</v>
      </c>
    </row>
    <row r="215" spans="1:17" x14ac:dyDescent="0.2">
      <c r="A215">
        <v>28</v>
      </c>
      <c r="B215">
        <v>29</v>
      </c>
      <c r="C215">
        <v>28</v>
      </c>
      <c r="D215">
        <v>27</v>
      </c>
      <c r="E215" t="s">
        <v>251</v>
      </c>
      <c r="F215" t="s">
        <v>53</v>
      </c>
      <c r="G215">
        <v>223</v>
      </c>
      <c r="H215" s="14" t="s">
        <v>353</v>
      </c>
      <c r="I215">
        <v>0.5</v>
      </c>
      <c r="J215">
        <v>1</v>
      </c>
      <c r="K215" t="str">
        <f>VLOOKUP(H215,metric_dict!A:B,2,0)</f>
        <v>Механики</v>
      </c>
      <c r="L215" t="str">
        <f>IF(VLOOKUP(H215,metric_dict!A:C,3,0)=0,"",VLOOKUP(H215,metric_dict!A:C,3,0))</f>
        <v/>
      </c>
      <c r="M215" t="str">
        <f>VLOOKUP(H215,metric_dict!A:AA,4,0)</f>
        <v>Банковские предложения в момент изменения жизненного сценария</v>
      </c>
      <c r="N215" t="str">
        <f>VLOOKUP(H215,metric_dict!A:AA,5,0)</f>
        <v>Проработать механики реагирования на жизненные ситуации</v>
      </c>
      <c r="O215">
        <f>VLOOKUP(H215,metric_dict!A:AA,6,0)</f>
        <v>5</v>
      </c>
      <c r="P215" t="s">
        <v>256</v>
      </c>
      <c r="Q215">
        <f>VLOOKUP(H215,metric_dict!A:AA,7,0)</f>
        <v>5</v>
      </c>
    </row>
    <row r="216" spans="1:17" x14ac:dyDescent="0.2">
      <c r="A216">
        <v>28</v>
      </c>
      <c r="B216">
        <v>29</v>
      </c>
      <c r="C216">
        <v>28</v>
      </c>
      <c r="D216">
        <v>27</v>
      </c>
      <c r="E216" t="s">
        <v>251</v>
      </c>
      <c r="F216" t="s">
        <v>53</v>
      </c>
      <c r="G216">
        <v>500</v>
      </c>
      <c r="H216" t="s">
        <v>156</v>
      </c>
      <c r="I216">
        <v>0</v>
      </c>
      <c r="J216">
        <v>1</v>
      </c>
      <c r="K216" t="str">
        <f>VLOOKUP(H216,metric_dict!A:B,2,0)</f>
        <v>Механики</v>
      </c>
      <c r="L216" t="str">
        <f>IF(VLOOKUP(H216,metric_dict!A:C,3,0)=0,"",VLOOKUP(H216,metric_dict!A:C,3,0))</f>
        <v/>
      </c>
      <c r="M216" t="str">
        <f>VLOOKUP(H216,metric_dict!A:AA,4,0)</f>
        <v>Коммуникация + ценность</v>
      </c>
      <c r="N216" t="str">
        <f>VLOOKUP(H216,metric_dict!A:AA,5,0)</f>
        <v>Проработать механики удержания клиентов</v>
      </c>
      <c r="O216">
        <f>VLOOKUP(H216,metric_dict!A:AA,6,0)</f>
        <v>5</v>
      </c>
      <c r="P216" t="s">
        <v>256</v>
      </c>
      <c r="Q216">
        <f>VLOOKUP(H216,metric_dict!A:AA,7,0)</f>
        <v>6</v>
      </c>
    </row>
    <row r="217" spans="1:17" x14ac:dyDescent="0.2">
      <c r="A217">
        <v>28</v>
      </c>
      <c r="B217">
        <v>29</v>
      </c>
      <c r="C217">
        <v>28</v>
      </c>
      <c r="D217">
        <v>27</v>
      </c>
      <c r="E217" t="s">
        <v>251</v>
      </c>
      <c r="F217" t="s">
        <v>53</v>
      </c>
      <c r="G217">
        <v>501</v>
      </c>
      <c r="H217" t="s">
        <v>156</v>
      </c>
      <c r="I217">
        <v>0</v>
      </c>
      <c r="J217">
        <v>0</v>
      </c>
      <c r="K217" t="str">
        <f>VLOOKUP(H217,metric_dict!A:B,2,0)</f>
        <v>Механики</v>
      </c>
      <c r="L217" t="str">
        <f>IF(VLOOKUP(H217,metric_dict!A:C,3,0)=0,"",VLOOKUP(H217,metric_dict!A:C,3,0))</f>
        <v/>
      </c>
      <c r="M217" t="str">
        <f>VLOOKUP(H217,metric_dict!A:AA,4,0)</f>
        <v>Коммуникация + ценность</v>
      </c>
      <c r="N217" t="str">
        <f>VLOOKUP(H217,metric_dict!A:AA,5,0)</f>
        <v>Проработать механики удержания клиентов</v>
      </c>
      <c r="O217">
        <f>VLOOKUP(H217,metric_dict!A:AA,6,0)</f>
        <v>5</v>
      </c>
      <c r="P217" t="s">
        <v>256</v>
      </c>
      <c r="Q217">
        <f>VLOOKUP(H217,metric_dict!A:AA,7,0)</f>
        <v>6</v>
      </c>
    </row>
    <row r="218" spans="1:17" x14ac:dyDescent="0.2">
      <c r="A218">
        <v>28</v>
      </c>
      <c r="B218">
        <v>29</v>
      </c>
      <c r="C218">
        <v>28</v>
      </c>
      <c r="D218">
        <v>27</v>
      </c>
      <c r="E218" t="s">
        <v>251</v>
      </c>
      <c r="F218" t="s">
        <v>53</v>
      </c>
      <c r="G218">
        <v>502</v>
      </c>
      <c r="H218" t="s">
        <v>156</v>
      </c>
      <c r="I218">
        <v>0</v>
      </c>
      <c r="J218">
        <v>0</v>
      </c>
      <c r="K218" t="str">
        <f>VLOOKUP(H218,metric_dict!A:B,2,0)</f>
        <v>Механики</v>
      </c>
      <c r="L218" t="str">
        <f>IF(VLOOKUP(H218,metric_dict!A:C,3,0)=0,"",VLOOKUP(H218,metric_dict!A:C,3,0))</f>
        <v/>
      </c>
      <c r="M218" t="str">
        <f>VLOOKUP(H218,metric_dict!A:AA,4,0)</f>
        <v>Коммуникация + ценность</v>
      </c>
      <c r="N218" t="str">
        <f>VLOOKUP(H218,metric_dict!A:AA,5,0)</f>
        <v>Проработать механики удержания клиентов</v>
      </c>
      <c r="O218">
        <f>VLOOKUP(H218,metric_dict!A:AA,6,0)</f>
        <v>5</v>
      </c>
      <c r="P218" t="s">
        <v>256</v>
      </c>
      <c r="Q218">
        <f>VLOOKUP(H218,metric_dict!A:AA,7,0)</f>
        <v>6</v>
      </c>
    </row>
    <row r="219" spans="1:17" x14ac:dyDescent="0.2">
      <c r="A219">
        <v>28</v>
      </c>
      <c r="B219">
        <v>29</v>
      </c>
      <c r="C219">
        <v>28</v>
      </c>
      <c r="D219">
        <v>27</v>
      </c>
      <c r="E219" t="s">
        <v>251</v>
      </c>
      <c r="F219" t="s">
        <v>53</v>
      </c>
      <c r="G219">
        <v>225</v>
      </c>
      <c r="H219" t="s">
        <v>265</v>
      </c>
      <c r="I219">
        <v>0.25</v>
      </c>
      <c r="J219">
        <v>0.25</v>
      </c>
      <c r="K219" t="str">
        <f>VLOOKUP(H219,metric_dict!A:B,2,0)</f>
        <v>Механики</v>
      </c>
      <c r="L219" t="str">
        <f>IF(VLOOKUP(H219,metric_dict!A:C,3,0)=0,"",VLOOKUP(H219,metric_dict!A:C,3,0))</f>
        <v/>
      </c>
      <c r="M219" t="str">
        <f>VLOOKUP(H219,metric_dict!A:AA,4,0)</f>
        <v>Настроен по ключевым механикам работы с клиентской базой</v>
      </c>
      <c r="N219" t="str">
        <f>VLOOKUP(H219,metric_dict!A:AA,5,0)</f>
        <v>Настроить мониторинг по ключевым механикам</v>
      </c>
      <c r="O219">
        <f>VLOOKUP(H219,metric_dict!A:AA,6,0)</f>
        <v>2</v>
      </c>
      <c r="P219" t="s">
        <v>256</v>
      </c>
      <c r="Q219">
        <f>VLOOKUP(H219,metric_dict!A:AA,7,0)</f>
        <v>22</v>
      </c>
    </row>
    <row r="220" spans="1:17" x14ac:dyDescent="0.2">
      <c r="A220">
        <v>28</v>
      </c>
      <c r="B220">
        <v>29</v>
      </c>
      <c r="C220">
        <v>28</v>
      </c>
      <c r="D220">
        <v>27</v>
      </c>
      <c r="E220" t="s">
        <v>251</v>
      </c>
      <c r="F220" t="s">
        <v>53</v>
      </c>
      <c r="G220">
        <v>35</v>
      </c>
      <c r="H220" t="s">
        <v>165</v>
      </c>
      <c r="I220">
        <v>0.5</v>
      </c>
      <c r="J220">
        <v>1</v>
      </c>
      <c r="K220" t="str">
        <f>VLOOKUP(H220,metric_dict!A:B,2,0)</f>
        <v>Гипотезы и инициативы</v>
      </c>
      <c r="L220" t="str">
        <f>IF(VLOOKUP(H220,metric_dict!A:C,3,0)=0,"",VLOOKUP(H220,metric_dict!A:C,3,0))</f>
        <v/>
      </c>
      <c r="M220" t="str">
        <f>VLOOKUP(H220,metric_dict!A:AA,4,0)</f>
        <v>Доля исследовательских задач DA</v>
      </c>
      <c r="N220" t="str">
        <f>VLOOKUP(H220,metric_dict!A:AA,5,0)</f>
        <v>Сфокусировать бэклог аналитиков на research-задачи</v>
      </c>
      <c r="O220">
        <f>VLOOKUP(H220,metric_dict!A:AA,6,0)</f>
        <v>5</v>
      </c>
      <c r="P220" t="s">
        <v>256</v>
      </c>
      <c r="Q220">
        <f>VLOOKUP(H220,metric_dict!A:AA,7,0)</f>
        <v>1</v>
      </c>
    </row>
    <row r="221" spans="1:17" x14ac:dyDescent="0.2">
      <c r="A221">
        <v>28</v>
      </c>
      <c r="B221">
        <v>29</v>
      </c>
      <c r="C221">
        <v>28</v>
      </c>
      <c r="D221">
        <v>27</v>
      </c>
      <c r="E221" t="s">
        <v>251</v>
      </c>
      <c r="F221" t="s">
        <v>53</v>
      </c>
      <c r="G221">
        <v>44</v>
      </c>
      <c r="H221" t="s">
        <v>182</v>
      </c>
      <c r="I221">
        <v>1</v>
      </c>
      <c r="J221">
        <v>1</v>
      </c>
      <c r="K221" t="str">
        <f>VLOOKUP(H221,metric_dict!A:B,2,0)</f>
        <v>Гипотезы и инициативы</v>
      </c>
      <c r="L221" t="str">
        <f>IF(VLOOKUP(H221,metric_dict!A:C,3,0)=0,"",VLOOKUP(H221,metric_dict!A:C,3,0))</f>
        <v/>
      </c>
      <c r="M221" t="str">
        <f>VLOOKUP(H221,metric_dict!A:AA,4,0)</f>
        <v>Средняя оценка проведенных исследований</v>
      </c>
      <c r="N221" t="str">
        <f>VLOOKUP(H221,metric_dict!A:AA,5,0)</f>
        <v>Повысить качество проведенных исследований</v>
      </c>
      <c r="O221">
        <f>VLOOKUP(H221,metric_dict!A:AA,6,0)</f>
        <v>5</v>
      </c>
      <c r="P221" t="s">
        <v>256</v>
      </c>
      <c r="Q221">
        <f>VLOOKUP(H221,metric_dict!A:AA,7,0)</f>
        <v>2</v>
      </c>
    </row>
    <row r="222" spans="1:17" x14ac:dyDescent="0.2">
      <c r="A222">
        <v>33</v>
      </c>
      <c r="B222">
        <v>34</v>
      </c>
      <c r="C222">
        <v>33</v>
      </c>
      <c r="D222">
        <v>32</v>
      </c>
      <c r="E222" t="s">
        <v>251</v>
      </c>
      <c r="F222" t="s">
        <v>54</v>
      </c>
      <c r="G222">
        <v>99</v>
      </c>
      <c r="H222" t="s">
        <v>330</v>
      </c>
      <c r="I222">
        <v>0.25</v>
      </c>
      <c r="J222">
        <v>0.25</v>
      </c>
      <c r="K222" t="str">
        <f>VLOOKUP(H222,metric_dict!A:B,2,0)</f>
        <v>Знание ключевых метрик</v>
      </c>
      <c r="L222" t="str">
        <f>IF(VLOOKUP(H222,metric_dict!A:C,3,0)=0,"",VLOOKUP(H222,metric_dict!A:C,3,0))</f>
        <v/>
      </c>
      <c r="M222" t="str">
        <f>VLOOKUP(H222,metric_dict!A:AA,4,0)</f>
        <v>Знание значения метрики активной клиентской базы</v>
      </c>
      <c r="N222" t="str">
        <f>VLOOKUP(H222,metric_dict!A:AA,5,0)</f>
        <v>Знание метрик и инструментов</v>
      </c>
      <c r="O222">
        <f>VLOOKUP(H222,metric_dict!A:AA,6,0)</f>
        <v>1</v>
      </c>
      <c r="P222" t="s">
        <v>256</v>
      </c>
      <c r="Q222">
        <f>VLOOKUP(H222,metric_dict!A:AA,7,0)</f>
        <v>5</v>
      </c>
    </row>
    <row r="223" spans="1:17" x14ac:dyDescent="0.2">
      <c r="A223">
        <v>33</v>
      </c>
      <c r="B223">
        <v>34</v>
      </c>
      <c r="C223">
        <v>33</v>
      </c>
      <c r="D223">
        <v>32</v>
      </c>
      <c r="E223" t="s">
        <v>251</v>
      </c>
      <c r="F223" t="s">
        <v>54</v>
      </c>
      <c r="G223">
        <v>98</v>
      </c>
      <c r="H223" t="s">
        <v>331</v>
      </c>
      <c r="I223">
        <v>0.25</v>
      </c>
      <c r="J223">
        <v>0.25</v>
      </c>
      <c r="K223" t="str">
        <f>VLOOKUP(H223,metric_dict!A:B,2,0)</f>
        <v>Знание ключевых метрик</v>
      </c>
      <c r="L223" t="str">
        <f>IF(VLOOKUP(H223,metric_dict!A:C,3,0)=0,"",VLOOKUP(H223,metric_dict!A:C,3,0))</f>
        <v/>
      </c>
      <c r="M223" t="str">
        <f>VLOOKUP(H223,metric_dict!A:AA,4,0)</f>
        <v>Знание метрики Major</v>
      </c>
      <c r="N223" t="str">
        <f>VLOOKUP(H223,metric_dict!A:AA,5,0)</f>
        <v>Знание метрик и инструментов</v>
      </c>
      <c r="O223">
        <f>VLOOKUP(H223,metric_dict!A:AA,6,0)</f>
        <v>1</v>
      </c>
      <c r="P223" t="s">
        <v>256</v>
      </c>
      <c r="Q223">
        <f>VLOOKUP(H223,metric_dict!A:AA,7,0)</f>
        <v>6</v>
      </c>
    </row>
    <row r="224" spans="1:17" x14ac:dyDescent="0.2">
      <c r="A224">
        <v>33</v>
      </c>
      <c r="B224">
        <v>34</v>
      </c>
      <c r="C224">
        <v>33</v>
      </c>
      <c r="D224">
        <v>32</v>
      </c>
      <c r="E224" t="s">
        <v>251</v>
      </c>
      <c r="F224" t="s">
        <v>54</v>
      </c>
      <c r="G224">
        <v>97</v>
      </c>
      <c r="H224" t="s">
        <v>332</v>
      </c>
      <c r="I224">
        <v>0.25</v>
      </c>
      <c r="J224">
        <v>0.25</v>
      </c>
      <c r="K224" t="str">
        <f>VLOOKUP(H224,metric_dict!A:B,2,0)</f>
        <v>Знание ключевых метрик</v>
      </c>
      <c r="L224" t="str">
        <f>IF(VLOOKUP(H224,metric_dict!A:C,3,0)=0,"",VLOOKUP(H224,metric_dict!A:C,3,0))</f>
        <v/>
      </c>
      <c r="M224" t="str">
        <f>VLOOKUP(H224,metric_dict!A:AA,4,0)</f>
        <v>Знание метрики кол-во клиентов с 2+ нефин.сервисов</v>
      </c>
      <c r="N224" t="str">
        <f>VLOOKUP(H224,metric_dict!A:AA,5,0)</f>
        <v>Знание метрик и инструментов</v>
      </c>
      <c r="O224">
        <f>VLOOKUP(H224,metric_dict!A:AA,6,0)</f>
        <v>1</v>
      </c>
      <c r="P224" t="s">
        <v>256</v>
      </c>
      <c r="Q224">
        <f>VLOOKUP(H224,metric_dict!A:AA,7,0)</f>
        <v>7</v>
      </c>
    </row>
    <row r="225" spans="1:17" x14ac:dyDescent="0.2">
      <c r="A225">
        <v>33</v>
      </c>
      <c r="B225">
        <v>34</v>
      </c>
      <c r="C225">
        <v>33</v>
      </c>
      <c r="D225">
        <v>32</v>
      </c>
      <c r="E225" t="s">
        <v>251</v>
      </c>
      <c r="F225" t="s">
        <v>54</v>
      </c>
      <c r="G225">
        <v>96</v>
      </c>
      <c r="H225" t="s">
        <v>338</v>
      </c>
      <c r="I225">
        <v>0.125</v>
      </c>
      <c r="J225">
        <v>0.25</v>
      </c>
      <c r="K225" t="str">
        <f>VLOOKUP(H225,metric_dict!A:B,2,0)</f>
        <v>Знание ключевых метрик</v>
      </c>
      <c r="L225" t="str">
        <f>IF(VLOOKUP(H225,metric_dict!A:C,3,0)=0,"",VLOOKUP(H225,metric_dict!A:C,3,0))</f>
        <v/>
      </c>
      <c r="M225" t="str">
        <f>VLOOKUP(H225,metric_dict!A:AA,4,0)</f>
        <v>Знание метрики среднего дохода на 1 клиента</v>
      </c>
      <c r="N225" t="str">
        <f>VLOOKUP(H225,metric_dict!A:AA,5,0)</f>
        <v>Знание метрик и инструментов</v>
      </c>
      <c r="O225">
        <f>VLOOKUP(H225,metric_dict!A:AA,6,0)</f>
        <v>1</v>
      </c>
      <c r="P225" t="s">
        <v>256</v>
      </c>
      <c r="Q225">
        <f>VLOOKUP(H225,metric_dict!A:AA,7,0)</f>
        <v>11</v>
      </c>
    </row>
    <row r="226" spans="1:17" x14ac:dyDescent="0.2">
      <c r="A226">
        <v>33</v>
      </c>
      <c r="B226">
        <v>34</v>
      </c>
      <c r="C226">
        <v>33</v>
      </c>
      <c r="D226">
        <v>32</v>
      </c>
      <c r="E226" t="s">
        <v>251</v>
      </c>
      <c r="F226" t="s">
        <v>54</v>
      </c>
      <c r="G226">
        <v>2</v>
      </c>
      <c r="H226" t="s">
        <v>98</v>
      </c>
      <c r="I226">
        <v>0.5</v>
      </c>
      <c r="J226">
        <v>0.5</v>
      </c>
      <c r="K226" t="str">
        <f>VLOOKUP(H226,metric_dict!A:B,2,0)</f>
        <v>Знание ключевых метрик</v>
      </c>
      <c r="L226" t="str">
        <f>IF(VLOOKUP(H226,metric_dict!A:C,3,0)=0,"",VLOOKUP(H226,metric_dict!A:C,3,0))</f>
        <v/>
      </c>
      <c r="M226" t="str">
        <f>VLOOKUP(H226,metric_dict!A:AA,4,0)</f>
        <v>Понимание доступной отчетности и регулярного мониторинга</v>
      </c>
      <c r="N226" t="str">
        <f>VLOOKUP(H226,metric_dict!A:AA,5,0)</f>
        <v>Знание метрик и инструментов</v>
      </c>
      <c r="O226">
        <f>VLOOKUP(H226,metric_dict!A:AA,6,0)</f>
        <v>1</v>
      </c>
      <c r="P226" t="s">
        <v>256</v>
      </c>
      <c r="Q226">
        <f>VLOOKUP(H226,metric_dict!A:AA,7,0)</f>
        <v>13</v>
      </c>
    </row>
    <row r="227" spans="1:17" x14ac:dyDescent="0.2">
      <c r="A227">
        <v>33</v>
      </c>
      <c r="B227">
        <v>34</v>
      </c>
      <c r="C227">
        <v>33</v>
      </c>
      <c r="D227">
        <v>32</v>
      </c>
      <c r="E227" t="s">
        <v>251</v>
      </c>
      <c r="F227" t="s">
        <v>54</v>
      </c>
      <c r="G227">
        <v>3</v>
      </c>
      <c r="H227" t="s">
        <v>100</v>
      </c>
      <c r="I227">
        <v>1</v>
      </c>
      <c r="J227">
        <v>1</v>
      </c>
      <c r="K227" t="str">
        <f>VLOOKUP(H227,metric_dict!A:B,2,0)</f>
        <v>Цели</v>
      </c>
      <c r="L227" t="str">
        <f>IF(VLOOKUP(H227,metric_dict!A:C,3,0)=0,"",VLOOKUP(H227,metric_dict!A:C,3,0))</f>
        <v/>
      </c>
      <c r="M227" t="str">
        <f>VLOOKUP(H227,metric_dict!A:AA,4,0)</f>
        <v>Регулярное обновление в Навигаторе</v>
      </c>
      <c r="N227" t="str">
        <f>VLOOKUP(H227,metric_dict!A:AA,5,0)</f>
        <v>Обогащение целей/драйверов/прогнозов в Навигаторе</v>
      </c>
      <c r="O227">
        <f>VLOOKUP(H227,metric_dict!A:AA,6,0)</f>
        <v>2</v>
      </c>
      <c r="P227" t="s">
        <v>256</v>
      </c>
      <c r="Q227">
        <f>VLOOKUP(H227,metric_dict!A:AA,7,0)</f>
        <v>1</v>
      </c>
    </row>
    <row r="228" spans="1:17" x14ac:dyDescent="0.2">
      <c r="A228">
        <v>33</v>
      </c>
      <c r="B228">
        <v>34</v>
      </c>
      <c r="C228">
        <v>33</v>
      </c>
      <c r="D228">
        <v>32</v>
      </c>
      <c r="E228" t="s">
        <v>251</v>
      </c>
      <c r="F228" t="s">
        <v>54</v>
      </c>
      <c r="G228">
        <v>4</v>
      </c>
      <c r="H228" t="s">
        <v>104</v>
      </c>
      <c r="I228">
        <v>0.5</v>
      </c>
      <c r="J228">
        <v>1</v>
      </c>
      <c r="K228" t="str">
        <f>VLOOKUP(H228,metric_dict!A:B,2,0)</f>
        <v>Цели</v>
      </c>
      <c r="L228" t="str">
        <f>IF(VLOOKUP(H228,metric_dict!A:C,3,0)=0,"",VLOOKUP(H228,metric_dict!A:C,3,0))</f>
        <v/>
      </c>
      <c r="M228" t="str">
        <f>VLOOKUP(H228,metric_dict!A:AA,4,0)</f>
        <v>Согласно модели бизнес-процесса</v>
      </c>
      <c r="N228" t="str">
        <f>VLOOKUP(H228,metric_dict!A:AA,5,0)</f>
        <v>Декомпозировать значения целей на драйверы</v>
      </c>
      <c r="O228">
        <f>VLOOKUP(H228,metric_dict!A:AA,6,0)</f>
        <v>7</v>
      </c>
      <c r="P228" t="s">
        <v>256</v>
      </c>
      <c r="Q228">
        <f>VLOOKUP(H228,metric_dict!A:AA,7,0)</f>
        <v>2</v>
      </c>
    </row>
    <row r="229" spans="1:17" x14ac:dyDescent="0.2">
      <c r="A229">
        <v>33</v>
      </c>
      <c r="B229">
        <v>34</v>
      </c>
      <c r="C229">
        <v>33</v>
      </c>
      <c r="D229">
        <v>32</v>
      </c>
      <c r="E229" t="s">
        <v>251</v>
      </c>
      <c r="F229" t="s">
        <v>54</v>
      </c>
      <c r="G229">
        <v>5</v>
      </c>
      <c r="H229" t="s">
        <v>108</v>
      </c>
      <c r="I229">
        <v>0</v>
      </c>
      <c r="J229">
        <v>1</v>
      </c>
      <c r="K229" t="str">
        <f>VLOOKUP(H229,metric_dict!A:B,2,0)</f>
        <v>Цели</v>
      </c>
      <c r="L229" t="str">
        <f>IF(VLOOKUP(H229,metric_dict!A:C,3,0)=0,"",VLOOKUP(H229,metric_dict!A:C,3,0))</f>
        <v/>
      </c>
      <c r="M229" t="str">
        <f>VLOOKUP(H229,metric_dict!A:AA,4,0)</f>
        <v>Прогноз выведен в Навигатор</v>
      </c>
      <c r="N229" t="str">
        <f>VLOOKUP(H229,metric_dict!A:AA,5,0)</f>
        <v>Сформировать прогнозные значения по целям</v>
      </c>
      <c r="O229">
        <f>VLOOKUP(H229,metric_dict!A:AA,6,0)</f>
        <v>8</v>
      </c>
      <c r="P229" t="s">
        <v>256</v>
      </c>
      <c r="Q229">
        <f>VLOOKUP(H229,metric_dict!A:AA,7,0)</f>
        <v>3</v>
      </c>
    </row>
    <row r="230" spans="1:17" x14ac:dyDescent="0.2">
      <c r="A230">
        <v>33</v>
      </c>
      <c r="B230">
        <v>34</v>
      </c>
      <c r="C230">
        <v>33</v>
      </c>
      <c r="D230">
        <v>32</v>
      </c>
      <c r="E230" t="s">
        <v>251</v>
      </c>
      <c r="F230" t="s">
        <v>54</v>
      </c>
      <c r="G230">
        <v>9</v>
      </c>
      <c r="H230" t="s">
        <v>111</v>
      </c>
      <c r="I230">
        <v>0.5</v>
      </c>
      <c r="J230">
        <v>0.5</v>
      </c>
      <c r="K230" t="str">
        <f>VLOOKUP(H230,metric_dict!A:B,2,0)</f>
        <v>Воронка привлечения</v>
      </c>
      <c r="L230" t="str">
        <f>IF(VLOOKUP(H230,metric_dict!A:C,3,0)=0,"",VLOOKUP(H230,metric_dict!A:C,3,0))</f>
        <v>Отчетность</v>
      </c>
      <c r="M230" t="str">
        <f>VLOOKUP(H230,metric_dict!A:AA,4,0)</f>
        <v>Настроена по воронке</v>
      </c>
      <c r="N230" t="str">
        <f>VLOOKUP(H230,metric_dict!A:AA,5,0)</f>
        <v>Настроить мониторинг по воронке привлечения</v>
      </c>
      <c r="O230">
        <f>VLOOKUP(H230,metric_dict!A:AA,6,0)</f>
        <v>2</v>
      </c>
      <c r="P230" t="s">
        <v>256</v>
      </c>
      <c r="Q230">
        <f>VLOOKUP(H230,metric_dict!A:AA,7,0)</f>
        <v>1</v>
      </c>
    </row>
    <row r="231" spans="1:17" x14ac:dyDescent="0.2">
      <c r="A231">
        <v>33</v>
      </c>
      <c r="B231">
        <v>34</v>
      </c>
      <c r="C231">
        <v>33</v>
      </c>
      <c r="D231">
        <v>32</v>
      </c>
      <c r="E231" t="s">
        <v>251</v>
      </c>
      <c r="F231" t="s">
        <v>54</v>
      </c>
      <c r="G231">
        <v>10</v>
      </c>
      <c r="H231" t="s">
        <v>115</v>
      </c>
      <c r="I231">
        <v>0.25</v>
      </c>
      <c r="J231">
        <v>0.5</v>
      </c>
      <c r="K231" t="str">
        <f>VLOOKUP(H231,metric_dict!A:B,2,0)</f>
        <v>Воронка привлечения</v>
      </c>
      <c r="L231" t="str">
        <f>IF(VLOOKUP(H231,metric_dict!A:C,3,0)=0,"",VLOOKUP(H231,metric_dict!A:C,3,0))</f>
        <v>Отчетность</v>
      </c>
      <c r="M231" t="str">
        <f>VLOOKUP(H231,metric_dict!A:AA,4,0)</f>
        <v>Источники, CR, объёмы, сегменты</v>
      </c>
      <c r="N231" t="str">
        <f>VLOOKUP(H231,metric_dict!A:AA,5,0)</f>
        <v>Донасытить метриками мониторинг по воронке привлечения</v>
      </c>
      <c r="O231">
        <f>VLOOKUP(H231,metric_dict!A:AA,6,0)</f>
        <v>3</v>
      </c>
      <c r="P231" t="s">
        <v>256</v>
      </c>
      <c r="Q231">
        <f>VLOOKUP(H231,metric_dict!A:AA,7,0)</f>
        <v>2</v>
      </c>
    </row>
    <row r="232" spans="1:17" x14ac:dyDescent="0.2">
      <c r="A232">
        <v>33</v>
      </c>
      <c r="B232">
        <v>34</v>
      </c>
      <c r="C232">
        <v>33</v>
      </c>
      <c r="D232">
        <v>32</v>
      </c>
      <c r="E232" t="s">
        <v>251</v>
      </c>
      <c r="F232" t="s">
        <v>54</v>
      </c>
      <c r="G232">
        <v>12</v>
      </c>
      <c r="H232" t="s">
        <v>121</v>
      </c>
      <c r="I232">
        <v>0</v>
      </c>
      <c r="J232">
        <v>0.5</v>
      </c>
      <c r="K232" t="str">
        <f>VLOOKUP(H232,metric_dict!A:B,2,0)</f>
        <v>Воронка оттока</v>
      </c>
      <c r="L232" t="str">
        <f>IF(VLOOKUP(H232,metric_dict!A:C,3,0)=0,"",VLOOKUP(H232,metric_dict!A:C,3,0))</f>
        <v>Отчетность</v>
      </c>
      <c r="M232" t="str">
        <f>VLOOKUP(H232,metric_dict!A:AA,4,0)</f>
        <v>Настроена по воронке</v>
      </c>
      <c r="N232" t="str">
        <f>VLOOKUP(H232,metric_dict!A:AA,5,0)</f>
        <v>Настроить мониторинг по воронке оттока</v>
      </c>
      <c r="O232">
        <f>VLOOKUP(H232,metric_dict!A:AA,6,0)</f>
        <v>2</v>
      </c>
      <c r="P232" t="s">
        <v>256</v>
      </c>
      <c r="Q232">
        <f>VLOOKUP(H232,metric_dict!A:AA,7,0)</f>
        <v>1</v>
      </c>
    </row>
    <row r="233" spans="1:17" x14ac:dyDescent="0.2">
      <c r="A233">
        <v>33</v>
      </c>
      <c r="B233">
        <v>34</v>
      </c>
      <c r="C233">
        <v>33</v>
      </c>
      <c r="D233">
        <v>32</v>
      </c>
      <c r="E233" t="s">
        <v>251</v>
      </c>
      <c r="F233" t="s">
        <v>54</v>
      </c>
      <c r="G233">
        <v>13</v>
      </c>
      <c r="H233" t="s">
        <v>124</v>
      </c>
      <c r="I233">
        <v>0</v>
      </c>
      <c r="J233">
        <v>0.5</v>
      </c>
      <c r="K233" t="str">
        <f>VLOOKUP(H233,metric_dict!A:B,2,0)</f>
        <v>Воронка оттока</v>
      </c>
      <c r="L233" t="str">
        <f>IF(VLOOKUP(H233,metric_dict!A:C,3,0)=0,"",VLOOKUP(H233,metric_dict!A:C,3,0))</f>
        <v>Отчетность</v>
      </c>
      <c r="M233" t="str">
        <f>VLOOKUP(H233,metric_dict!A:AA,4,0)</f>
        <v>Retention, CR, удержание</v>
      </c>
      <c r="N233" t="str">
        <f>VLOOKUP(H233,metric_dict!A:AA,5,0)</f>
        <v>Донасытить метриками мониторинг по воронке оттока</v>
      </c>
      <c r="O233">
        <f>VLOOKUP(H233,metric_dict!A:AA,6,0)</f>
        <v>3</v>
      </c>
      <c r="P233" t="s">
        <v>256</v>
      </c>
      <c r="Q233">
        <f>VLOOKUP(H233,metric_dict!A:AA,7,0)</f>
        <v>2</v>
      </c>
    </row>
    <row r="234" spans="1:17" x14ac:dyDescent="0.2">
      <c r="A234">
        <v>33</v>
      </c>
      <c r="B234">
        <v>34</v>
      </c>
      <c r="C234">
        <v>33</v>
      </c>
      <c r="D234">
        <v>32</v>
      </c>
      <c r="E234" t="s">
        <v>251</v>
      </c>
      <c r="F234" t="s">
        <v>54</v>
      </c>
      <c r="G234">
        <v>15</v>
      </c>
      <c r="H234" t="s">
        <v>129</v>
      </c>
      <c r="I234">
        <v>1</v>
      </c>
      <c r="J234">
        <v>1</v>
      </c>
      <c r="K234" t="str">
        <f>VLOOKUP(H234,metric_dict!A:B,2,0)</f>
        <v>BENCHMARKS</v>
      </c>
      <c r="L234" t="str">
        <f>IF(VLOOKUP(H234,metric_dict!A:C,3,0)=0,"",VLOOKUP(H234,metric_dict!A:C,3,0))</f>
        <v/>
      </c>
      <c r="M234" t="str">
        <f>VLOOKUP(H234,metric_dict!A:AA,4,0)</f>
        <v>Цели / динамика / рынок</v>
      </c>
      <c r="N234" t="str">
        <f>VLOOKUP(H234,metric_dict!A:AA,5,0)</f>
        <v>Сформировать бенчмарки по продуктовым метрикам</v>
      </c>
      <c r="O234">
        <f>VLOOKUP(H234,metric_dict!A:AA,6,0)</f>
        <v>5</v>
      </c>
      <c r="P234" t="s">
        <v>256</v>
      </c>
      <c r="Q234">
        <f>VLOOKUP(H234,metric_dict!A:AA,7,0)</f>
        <v>6</v>
      </c>
    </row>
    <row r="235" spans="1:17" x14ac:dyDescent="0.2">
      <c r="A235">
        <v>33</v>
      </c>
      <c r="B235">
        <v>34</v>
      </c>
      <c r="C235">
        <v>33</v>
      </c>
      <c r="D235">
        <v>32</v>
      </c>
      <c r="E235" t="s">
        <v>251</v>
      </c>
      <c r="F235" t="s">
        <v>54</v>
      </c>
      <c r="G235">
        <v>17</v>
      </c>
      <c r="H235" t="s">
        <v>134</v>
      </c>
      <c r="I235">
        <v>0.5</v>
      </c>
      <c r="J235">
        <v>1</v>
      </c>
      <c r="K235" t="str">
        <f>VLOOKUP(H235,metric_dict!A:B,2,0)</f>
        <v>Воронка привлечения</v>
      </c>
      <c r="L235" t="str">
        <f>IF(VLOOKUP(H235,metric_dict!A:C,3,0)=0,"",VLOOKUP(H235,metric_dict!A:C,3,0))</f>
        <v/>
      </c>
      <c r="M235" t="str">
        <f>VLOOKUP(H235,metric_dict!A:AA,4,0)</f>
        <v>Оценка эффективности, поиск точек роста</v>
      </c>
      <c r="N235" t="str">
        <f>VLOOKUP(H235,metric_dict!A:AA,5,0)</f>
        <v>Провести анализ привлечения, выявить точки роста</v>
      </c>
      <c r="O235">
        <f>VLOOKUP(H235,metric_dict!A:AA,6,0)</f>
        <v>5</v>
      </c>
      <c r="P235" t="s">
        <v>256</v>
      </c>
      <c r="Q235">
        <f>VLOOKUP(H235,metric_dict!A:AA,7,0)</f>
        <v>4</v>
      </c>
    </row>
    <row r="236" spans="1:17" x14ac:dyDescent="0.2">
      <c r="A236">
        <v>33</v>
      </c>
      <c r="B236">
        <v>34</v>
      </c>
      <c r="C236">
        <v>33</v>
      </c>
      <c r="D236">
        <v>32</v>
      </c>
      <c r="E236" t="s">
        <v>251</v>
      </c>
      <c r="F236" t="s">
        <v>54</v>
      </c>
      <c r="G236">
        <v>18</v>
      </c>
      <c r="H236" t="s">
        <v>137</v>
      </c>
      <c r="I236">
        <v>1</v>
      </c>
      <c r="J236">
        <v>1</v>
      </c>
      <c r="K236" t="str">
        <f>VLOOKUP(H236,metric_dict!A:B,2,0)</f>
        <v>Воронка привлечения</v>
      </c>
      <c r="L236" t="str">
        <f>IF(VLOOKUP(H236,metric_dict!A:C,3,0)=0,"",VLOOKUP(H236,metric_dict!A:C,3,0))</f>
        <v/>
      </c>
      <c r="M236" t="str">
        <f>VLOOKUP(H236,metric_dict!A:AA,4,0)</f>
        <v>План действий по росту</v>
      </c>
      <c r="N236" t="str">
        <f>VLOOKUP(H236,metric_dict!A:AA,5,0)</f>
        <v>Сформировать перечень инициатив</v>
      </c>
      <c r="O236">
        <f>VLOOKUP(H236,metric_dict!A:AA,6,0)</f>
        <v>5</v>
      </c>
      <c r="P236" t="s">
        <v>256</v>
      </c>
      <c r="Q236">
        <f>VLOOKUP(H236,metric_dict!A:AA,7,0)</f>
        <v>5</v>
      </c>
    </row>
    <row r="237" spans="1:17" x14ac:dyDescent="0.2">
      <c r="A237">
        <v>33</v>
      </c>
      <c r="B237">
        <v>34</v>
      </c>
      <c r="C237">
        <v>33</v>
      </c>
      <c r="D237">
        <v>32</v>
      </c>
      <c r="E237" t="s">
        <v>251</v>
      </c>
      <c r="F237" t="s">
        <v>54</v>
      </c>
      <c r="G237">
        <v>19</v>
      </c>
      <c r="H237" t="s">
        <v>140</v>
      </c>
      <c r="I237">
        <v>0.25</v>
      </c>
      <c r="J237">
        <v>1</v>
      </c>
      <c r="K237" t="str">
        <f>VLOOKUP(H237,metric_dict!A:B,2,0)</f>
        <v>Воронка оттока</v>
      </c>
      <c r="L237" t="str">
        <f>IF(VLOOKUP(H237,metric_dict!A:C,3,0)=0,"",VLOOKUP(H237,metric_dict!A:C,3,0))</f>
        <v/>
      </c>
      <c r="M237" t="str">
        <f>VLOOKUP(H237,metric_dict!A:AA,4,0)</f>
        <v>Оценка причин и узких мест</v>
      </c>
      <c r="N237" t="str">
        <f>VLOOKUP(H237,metric_dict!A:AA,5,0)</f>
        <v>Провести анализ оттока, выявить точки роста</v>
      </c>
      <c r="O237">
        <f>VLOOKUP(H237,metric_dict!A:AA,6,0)</f>
        <v>5</v>
      </c>
      <c r="P237" t="s">
        <v>256</v>
      </c>
      <c r="Q237">
        <f>VLOOKUP(H237,metric_dict!A:AA,7,0)</f>
        <v>4</v>
      </c>
    </row>
    <row r="238" spans="1:17" x14ac:dyDescent="0.2">
      <c r="A238">
        <v>33</v>
      </c>
      <c r="B238">
        <v>34</v>
      </c>
      <c r="C238">
        <v>33</v>
      </c>
      <c r="D238">
        <v>32</v>
      </c>
      <c r="E238" t="s">
        <v>251</v>
      </c>
      <c r="F238" t="s">
        <v>54</v>
      </c>
      <c r="G238">
        <v>20</v>
      </c>
      <c r="H238" t="s">
        <v>143</v>
      </c>
      <c r="I238">
        <v>0</v>
      </c>
      <c r="J238">
        <v>1</v>
      </c>
      <c r="K238" t="str">
        <f>VLOOKUP(H238,metric_dict!A:B,2,0)</f>
        <v>Воронка оттока</v>
      </c>
      <c r="L238" t="str">
        <f>IF(VLOOKUP(H238,metric_dict!A:C,3,0)=0,"",VLOOKUP(H238,metric_dict!A:C,3,0))</f>
        <v/>
      </c>
      <c r="M238" t="str">
        <f>VLOOKUP(H238,metric_dict!A:AA,4,0)</f>
        <v>План действий по отклонениям</v>
      </c>
      <c r="N238" t="str">
        <f>VLOOKUP(H238,metric_dict!A:AA,5,0)</f>
        <v>Сформировать список мероприятий по снижению оттока</v>
      </c>
      <c r="O238">
        <f>VLOOKUP(H238,metric_dict!A:AA,6,0)</f>
        <v>4</v>
      </c>
      <c r="P238" t="s">
        <v>256</v>
      </c>
      <c r="Q238">
        <f>VLOOKUP(H238,metric_dict!A:AA,7,0)</f>
        <v>5</v>
      </c>
    </row>
    <row r="239" spans="1:17" x14ac:dyDescent="0.2">
      <c r="A239">
        <v>33</v>
      </c>
      <c r="B239">
        <v>34</v>
      </c>
      <c r="C239">
        <v>33</v>
      </c>
      <c r="D239">
        <v>32</v>
      </c>
      <c r="E239" t="s">
        <v>251</v>
      </c>
      <c r="F239" t="s">
        <v>54</v>
      </c>
      <c r="G239">
        <v>22</v>
      </c>
      <c r="H239" t="s">
        <v>150</v>
      </c>
      <c r="I239">
        <v>1</v>
      </c>
      <c r="J239">
        <v>1</v>
      </c>
      <c r="K239" t="str">
        <f>VLOOKUP(H239,metric_dict!A:B,2,0)</f>
        <v>Алерты</v>
      </c>
      <c r="L239" t="str">
        <f>IF(VLOOKUP(H239,metric_dict!A:C,3,0)=0,"",VLOOKUP(H239,metric_dict!A:C,3,0))</f>
        <v/>
      </c>
      <c r="M239" t="str">
        <f>VLOOKUP(H239,metric_dict!A:AA,4,0)</f>
        <v>Светофоры целей, драйверов, воронок</v>
      </c>
      <c r="N239" t="str">
        <f>VLOOKUP(H239,metric_dict!A:AA,5,0)</f>
        <v>Внедрить систему оповещений</v>
      </c>
      <c r="O239">
        <f>VLOOKUP(H239,metric_dict!A:AA,6,0)</f>
        <v>3</v>
      </c>
      <c r="P239" t="s">
        <v>256</v>
      </c>
      <c r="Q239">
        <f>VLOOKUP(H239,metric_dict!A:AA,7,0)</f>
        <v>2</v>
      </c>
    </row>
    <row r="240" spans="1:17" x14ac:dyDescent="0.2">
      <c r="A240">
        <v>33</v>
      </c>
      <c r="B240">
        <v>34</v>
      </c>
      <c r="C240">
        <v>33</v>
      </c>
      <c r="D240">
        <v>32</v>
      </c>
      <c r="E240" t="s">
        <v>251</v>
      </c>
      <c r="F240" t="s">
        <v>54</v>
      </c>
      <c r="G240">
        <v>999</v>
      </c>
      <c r="H240" s="14" t="s">
        <v>351</v>
      </c>
      <c r="I240">
        <v>0</v>
      </c>
      <c r="J240">
        <v>1</v>
      </c>
      <c r="K240" t="str">
        <f>VLOOKUP(H240,metric_dict!A:B,2,0)</f>
        <v>Механики</v>
      </c>
      <c r="L240" t="str">
        <f>IF(VLOOKUP(H240,metric_dict!A:C,3,0)=0,"",VLOOKUP(H240,metric_dict!A:C,3,0))</f>
        <v/>
      </c>
      <c r="M240" t="str">
        <f>VLOOKUP(H240,metric_dict!A:AA,4,0)</f>
        <v>Адаптация предложений и коммуникаций под контекст клиента</v>
      </c>
      <c r="N240" t="str">
        <f>VLOOKUP(H240,metric_dict!A:AA,5,0)</f>
        <v>Проработать механики персонализации клиентского опыта</v>
      </c>
      <c r="O240">
        <f>VLOOKUP(H240,metric_dict!A:AA,6,0)</f>
        <v>5</v>
      </c>
      <c r="P240" t="s">
        <v>256</v>
      </c>
      <c r="Q240">
        <f>VLOOKUP(H240,metric_dict!A:AA,7,0)</f>
        <v>1</v>
      </c>
    </row>
    <row r="241" spans="1:17" x14ac:dyDescent="0.2">
      <c r="A241">
        <v>33</v>
      </c>
      <c r="B241">
        <v>34</v>
      </c>
      <c r="C241">
        <v>33</v>
      </c>
      <c r="D241">
        <v>32</v>
      </c>
      <c r="E241" t="s">
        <v>251</v>
      </c>
      <c r="F241" t="s">
        <v>54</v>
      </c>
      <c r="G241">
        <v>2222</v>
      </c>
      <c r="H241" s="14" t="s">
        <v>352</v>
      </c>
      <c r="I241">
        <v>1</v>
      </c>
      <c r="J241">
        <v>1</v>
      </c>
      <c r="K241" t="str">
        <f>VLOOKUP(H241,metric_dict!A:B,2,0)</f>
        <v>Механики</v>
      </c>
      <c r="L241" t="str">
        <f>IF(VLOOKUP(H241,metric_dict!A:C,3,0)=0,"",VLOOKUP(H241,metric_dict!A:C,3,0))</f>
        <v/>
      </c>
      <c r="M241" t="str">
        <f>VLOOKUP(H241,metric_dict!A:AA,4,0)</f>
        <v>Релевантные офферы для привлечения клиентов</v>
      </c>
      <c r="N241" t="str">
        <f>VLOOKUP(H241,metric_dict!A:AA,5,0)</f>
        <v>Проработать механики привлечения клиентов</v>
      </c>
      <c r="O241">
        <f>VLOOKUP(H241,metric_dict!A:AA,6,0)</f>
        <v>5</v>
      </c>
      <c r="P241" t="s">
        <v>256</v>
      </c>
      <c r="Q241">
        <f>VLOOKUP(H241,metric_dict!A:AA,7,0)</f>
        <v>2</v>
      </c>
    </row>
    <row r="242" spans="1:17" x14ac:dyDescent="0.2">
      <c r="A242">
        <v>33</v>
      </c>
      <c r="B242">
        <v>34</v>
      </c>
      <c r="C242">
        <v>33</v>
      </c>
      <c r="D242">
        <v>32</v>
      </c>
      <c r="E242" t="s">
        <v>251</v>
      </c>
      <c r="F242" t="s">
        <v>54</v>
      </c>
      <c r="G242">
        <v>1111</v>
      </c>
      <c r="H242" s="14" t="s">
        <v>156</v>
      </c>
      <c r="I242">
        <v>1</v>
      </c>
      <c r="J242">
        <v>1</v>
      </c>
      <c r="K242" t="str">
        <f>VLOOKUP(H242,metric_dict!A:B,2,0)</f>
        <v>Механики</v>
      </c>
      <c r="L242" t="str">
        <f>IF(VLOOKUP(H242,metric_dict!A:C,3,0)=0,"",VLOOKUP(H242,metric_dict!A:C,3,0))</f>
        <v/>
      </c>
      <c r="M242" t="str">
        <f>VLOOKUP(H242,metric_dict!A:AA,4,0)</f>
        <v>Коммуникация + ценность</v>
      </c>
      <c r="N242" t="str">
        <f>VLOOKUP(H242,metric_dict!A:AA,5,0)</f>
        <v>Проработать механики удержания клиентов</v>
      </c>
      <c r="O242">
        <f>VLOOKUP(H242,metric_dict!A:AA,6,0)</f>
        <v>5</v>
      </c>
      <c r="P242" t="s">
        <v>256</v>
      </c>
      <c r="Q242">
        <f>VLOOKUP(H242,metric_dict!A:AA,7,0)</f>
        <v>6</v>
      </c>
    </row>
    <row r="243" spans="1:17" x14ac:dyDescent="0.2">
      <c r="A243">
        <v>33</v>
      </c>
      <c r="B243">
        <v>34</v>
      </c>
      <c r="C243">
        <v>33</v>
      </c>
      <c r="D243">
        <v>32</v>
      </c>
      <c r="E243" t="s">
        <v>251</v>
      </c>
      <c r="F243" t="s">
        <v>54</v>
      </c>
      <c r="G243">
        <v>26</v>
      </c>
      <c r="H243" s="14" t="s">
        <v>159</v>
      </c>
      <c r="I243">
        <v>0</v>
      </c>
      <c r="J243">
        <v>1</v>
      </c>
      <c r="K243" t="str">
        <f>VLOOKUP(H243,metric_dict!A:B,2,0)</f>
        <v>Механики</v>
      </c>
      <c r="L243" t="str">
        <f>IF(VLOOKUP(H243,metric_dict!A:C,3,0)=0,"",VLOOKUP(H243,metric_dict!A:C,3,0))</f>
        <v/>
      </c>
      <c r="M243" t="str">
        <f>VLOOKUP(H243,metric_dict!A:AA,4,0)</f>
        <v>Реактивация оттекающих клиентов</v>
      </c>
      <c r="N243" t="str">
        <f>VLOOKUP(H243,metric_dict!A:AA,5,0)</f>
        <v>Проработать механики реактивации клиентов</v>
      </c>
      <c r="O243">
        <f>VLOOKUP(H243,metric_dict!A:AA,6,0)</f>
        <v>5</v>
      </c>
      <c r="P243" t="s">
        <v>256</v>
      </c>
      <c r="Q243">
        <f>VLOOKUP(H243,metric_dict!A:AA,7,0)</f>
        <v>4</v>
      </c>
    </row>
    <row r="244" spans="1:17" x14ac:dyDescent="0.2">
      <c r="A244">
        <v>33</v>
      </c>
      <c r="B244">
        <v>34</v>
      </c>
      <c r="C244">
        <v>33</v>
      </c>
      <c r="D244">
        <v>32</v>
      </c>
      <c r="E244" t="s">
        <v>251</v>
      </c>
      <c r="F244" t="s">
        <v>54</v>
      </c>
      <c r="G244">
        <v>1113</v>
      </c>
      <c r="H244" s="14" t="s">
        <v>262</v>
      </c>
      <c r="I244">
        <v>0.5</v>
      </c>
      <c r="J244">
        <v>1</v>
      </c>
      <c r="K244" t="str">
        <f>VLOOKUP(H244,metric_dict!A:B,2,0)</f>
        <v>Механики</v>
      </c>
      <c r="L244" t="str">
        <f>IF(VLOOKUP(H244,metric_dict!A:C,3,0)=0,"",VLOOKUP(H244,metric_dict!A:C,3,0))</f>
        <v/>
      </c>
      <c r="M244" t="str">
        <f>VLOOKUP(H244,metric_dict!A:AA,4,0)</f>
        <v>Работа с upsell-механикой уровней</v>
      </c>
      <c r="N244" t="str">
        <f>VLOOKUP(H244,metric_dict!A:AA,5,0)</f>
        <v>Проработать механики повышения уровня клиента</v>
      </c>
      <c r="O244">
        <f>VLOOKUP(H244,metric_dict!A:AA,6,0)</f>
        <v>5</v>
      </c>
      <c r="P244" t="s">
        <v>256</v>
      </c>
      <c r="Q244">
        <f>VLOOKUP(H244,metric_dict!A:AA,7,0)</f>
        <v>7</v>
      </c>
    </row>
    <row r="245" spans="1:17" x14ac:dyDescent="0.2">
      <c r="A245">
        <v>33</v>
      </c>
      <c r="B245">
        <v>34</v>
      </c>
      <c r="C245">
        <v>33</v>
      </c>
      <c r="D245">
        <v>32</v>
      </c>
      <c r="E245" t="s">
        <v>251</v>
      </c>
      <c r="F245" t="s">
        <v>54</v>
      </c>
      <c r="G245">
        <v>1114</v>
      </c>
      <c r="H245" s="14" t="s">
        <v>353</v>
      </c>
      <c r="I245">
        <v>0.5</v>
      </c>
      <c r="J245">
        <v>1</v>
      </c>
      <c r="K245" t="str">
        <f>VLOOKUP(H245,metric_dict!A:B,2,0)</f>
        <v>Механики</v>
      </c>
      <c r="L245" t="str">
        <f>IF(VLOOKUP(H245,metric_dict!A:C,3,0)=0,"",VLOOKUP(H245,metric_dict!A:C,3,0))</f>
        <v/>
      </c>
      <c r="M245" t="str">
        <f>VLOOKUP(H245,metric_dict!A:AA,4,0)</f>
        <v>Банковские предложения в момент изменения жизненного сценария</v>
      </c>
      <c r="N245" t="str">
        <f>VLOOKUP(H245,metric_dict!A:AA,5,0)</f>
        <v>Проработать механики реагирования на жизненные ситуации</v>
      </c>
      <c r="O245">
        <f>VLOOKUP(H245,metric_dict!A:AA,6,0)</f>
        <v>5</v>
      </c>
      <c r="P245" t="s">
        <v>256</v>
      </c>
      <c r="Q245">
        <f>VLOOKUP(H245,metric_dict!A:AA,7,0)</f>
        <v>5</v>
      </c>
    </row>
    <row r="246" spans="1:17" x14ac:dyDescent="0.2">
      <c r="A246">
        <v>33</v>
      </c>
      <c r="B246">
        <v>34</v>
      </c>
      <c r="C246">
        <v>33</v>
      </c>
      <c r="D246">
        <v>32</v>
      </c>
      <c r="E246" t="s">
        <v>251</v>
      </c>
      <c r="F246" t="s">
        <v>54</v>
      </c>
      <c r="G246">
        <v>500</v>
      </c>
      <c r="H246" t="s">
        <v>156</v>
      </c>
      <c r="I246">
        <v>0.5</v>
      </c>
      <c r="J246">
        <v>1</v>
      </c>
      <c r="K246" t="str">
        <f>VLOOKUP(H246,metric_dict!A:B,2,0)</f>
        <v>Механики</v>
      </c>
      <c r="L246" t="str">
        <f>IF(VLOOKUP(H246,metric_dict!A:C,3,0)=0,"",VLOOKUP(H246,metric_dict!A:C,3,0))</f>
        <v/>
      </c>
      <c r="M246" t="str">
        <f>VLOOKUP(H246,metric_dict!A:AA,4,0)</f>
        <v>Коммуникация + ценность</v>
      </c>
      <c r="N246" t="str">
        <f>VLOOKUP(H246,metric_dict!A:AA,5,0)</f>
        <v>Проработать механики удержания клиентов</v>
      </c>
      <c r="O246">
        <f>VLOOKUP(H246,metric_dict!A:AA,6,0)</f>
        <v>5</v>
      </c>
      <c r="P246" t="s">
        <v>256</v>
      </c>
      <c r="Q246">
        <f>VLOOKUP(H246,metric_dict!A:AA,7,0)</f>
        <v>6</v>
      </c>
    </row>
    <row r="247" spans="1:17" x14ac:dyDescent="0.2">
      <c r="A247">
        <v>33</v>
      </c>
      <c r="B247">
        <v>34</v>
      </c>
      <c r="C247">
        <v>33</v>
      </c>
      <c r="D247">
        <v>32</v>
      </c>
      <c r="E247" t="s">
        <v>251</v>
      </c>
      <c r="F247" t="s">
        <v>54</v>
      </c>
      <c r="G247">
        <v>501</v>
      </c>
      <c r="H247" t="s">
        <v>156</v>
      </c>
      <c r="I247">
        <v>0</v>
      </c>
      <c r="J247">
        <v>0</v>
      </c>
      <c r="K247" t="str">
        <f>VLOOKUP(H247,metric_dict!A:B,2,0)</f>
        <v>Механики</v>
      </c>
      <c r="L247" t="str">
        <f>IF(VLOOKUP(H247,metric_dict!A:C,3,0)=0,"",VLOOKUP(H247,metric_dict!A:C,3,0))</f>
        <v/>
      </c>
      <c r="M247" t="str">
        <f>VLOOKUP(H247,metric_dict!A:AA,4,0)</f>
        <v>Коммуникация + ценность</v>
      </c>
      <c r="N247" t="str">
        <f>VLOOKUP(H247,metric_dict!A:AA,5,0)</f>
        <v>Проработать механики удержания клиентов</v>
      </c>
      <c r="O247">
        <f>VLOOKUP(H247,metric_dict!A:AA,6,0)</f>
        <v>5</v>
      </c>
      <c r="P247" t="s">
        <v>256</v>
      </c>
      <c r="Q247">
        <f>VLOOKUP(H247,metric_dict!A:AA,7,0)</f>
        <v>6</v>
      </c>
    </row>
    <row r="248" spans="1:17" x14ac:dyDescent="0.2">
      <c r="A248">
        <v>33</v>
      </c>
      <c r="B248">
        <v>34</v>
      </c>
      <c r="C248">
        <v>33</v>
      </c>
      <c r="D248">
        <v>32</v>
      </c>
      <c r="E248" t="s">
        <v>251</v>
      </c>
      <c r="F248" t="s">
        <v>54</v>
      </c>
      <c r="G248">
        <v>502</v>
      </c>
      <c r="H248" t="s">
        <v>156</v>
      </c>
      <c r="I248">
        <v>0</v>
      </c>
      <c r="J248">
        <v>0</v>
      </c>
      <c r="K248" t="str">
        <f>VLOOKUP(H248,metric_dict!A:B,2,0)</f>
        <v>Механики</v>
      </c>
      <c r="L248" t="str">
        <f>IF(VLOOKUP(H248,metric_dict!A:C,3,0)=0,"",VLOOKUP(H248,metric_dict!A:C,3,0))</f>
        <v/>
      </c>
      <c r="M248" t="str">
        <f>VLOOKUP(H248,metric_dict!A:AA,4,0)</f>
        <v>Коммуникация + ценность</v>
      </c>
      <c r="N248" t="str">
        <f>VLOOKUP(H248,metric_dict!A:AA,5,0)</f>
        <v>Проработать механики удержания клиентов</v>
      </c>
      <c r="O248">
        <f>VLOOKUP(H248,metric_dict!A:AA,6,0)</f>
        <v>5</v>
      </c>
      <c r="P248" t="s">
        <v>256</v>
      </c>
      <c r="Q248">
        <f>VLOOKUP(H248,metric_dict!A:AA,7,0)</f>
        <v>6</v>
      </c>
    </row>
    <row r="249" spans="1:17" x14ac:dyDescent="0.2">
      <c r="A249">
        <v>33</v>
      </c>
      <c r="B249">
        <v>34</v>
      </c>
      <c r="C249">
        <v>33</v>
      </c>
      <c r="D249">
        <v>32</v>
      </c>
      <c r="E249" t="s">
        <v>251</v>
      </c>
      <c r="F249" t="s">
        <v>54</v>
      </c>
      <c r="G249">
        <v>504</v>
      </c>
      <c r="H249" t="s">
        <v>262</v>
      </c>
      <c r="I249">
        <v>0</v>
      </c>
      <c r="J249">
        <v>0</v>
      </c>
      <c r="K249" t="str">
        <f>VLOOKUP(H249,metric_dict!A:B,2,0)</f>
        <v>Механики</v>
      </c>
      <c r="L249" t="str">
        <f>IF(VLOOKUP(H249,metric_dict!A:C,3,0)=0,"",VLOOKUP(H249,metric_dict!A:C,3,0))</f>
        <v/>
      </c>
      <c r="M249" t="str">
        <f>VLOOKUP(H249,metric_dict!A:AA,4,0)</f>
        <v>Работа с upsell-механикой уровней</v>
      </c>
      <c r="N249" t="str">
        <f>VLOOKUP(H249,metric_dict!A:AA,5,0)</f>
        <v>Проработать механики повышения уровня клиента</v>
      </c>
      <c r="O249">
        <f>VLOOKUP(H249,metric_dict!A:AA,6,0)</f>
        <v>5</v>
      </c>
      <c r="P249" t="s">
        <v>256</v>
      </c>
      <c r="Q249">
        <f>VLOOKUP(H249,metric_dict!A:AA,7,0)</f>
        <v>7</v>
      </c>
    </row>
    <row r="250" spans="1:17" x14ac:dyDescent="0.2">
      <c r="A250">
        <v>33</v>
      </c>
      <c r="B250">
        <v>34</v>
      </c>
      <c r="C250">
        <v>33</v>
      </c>
      <c r="D250">
        <v>32</v>
      </c>
      <c r="E250" t="s">
        <v>251</v>
      </c>
      <c r="F250" t="s">
        <v>54</v>
      </c>
      <c r="G250">
        <v>505</v>
      </c>
      <c r="H250" t="s">
        <v>262</v>
      </c>
      <c r="I250">
        <v>1</v>
      </c>
      <c r="J250">
        <v>1</v>
      </c>
      <c r="K250" t="str">
        <f>VLOOKUP(H250,metric_dict!A:B,2,0)</f>
        <v>Механики</v>
      </c>
      <c r="L250" t="str">
        <f>IF(VLOOKUP(H250,metric_dict!A:C,3,0)=0,"",VLOOKUP(H250,metric_dict!A:C,3,0))</f>
        <v/>
      </c>
      <c r="M250" t="str">
        <f>VLOOKUP(H250,metric_dict!A:AA,4,0)</f>
        <v>Работа с upsell-механикой уровней</v>
      </c>
      <c r="N250" t="str">
        <f>VLOOKUP(H250,metric_dict!A:AA,5,0)</f>
        <v>Проработать механики повышения уровня клиента</v>
      </c>
      <c r="O250">
        <f>VLOOKUP(H250,metric_dict!A:AA,6,0)</f>
        <v>5</v>
      </c>
      <c r="P250" t="s">
        <v>256</v>
      </c>
      <c r="Q250">
        <f>VLOOKUP(H250,metric_dict!A:AA,7,0)</f>
        <v>7</v>
      </c>
    </row>
    <row r="251" spans="1:17" x14ac:dyDescent="0.2">
      <c r="A251">
        <v>33</v>
      </c>
      <c r="B251">
        <v>34</v>
      </c>
      <c r="C251">
        <v>33</v>
      </c>
      <c r="D251">
        <v>32</v>
      </c>
      <c r="E251" t="s">
        <v>251</v>
      </c>
      <c r="F251" t="s">
        <v>54</v>
      </c>
      <c r="G251">
        <v>225</v>
      </c>
      <c r="H251" t="s">
        <v>265</v>
      </c>
      <c r="I251">
        <v>0.25</v>
      </c>
      <c r="J251">
        <v>0.25</v>
      </c>
      <c r="K251" t="str">
        <f>VLOOKUP(H251,metric_dict!A:B,2,0)</f>
        <v>Механики</v>
      </c>
      <c r="L251" t="str">
        <f>IF(VLOOKUP(H251,metric_dict!A:C,3,0)=0,"",VLOOKUP(H251,metric_dict!A:C,3,0))</f>
        <v/>
      </c>
      <c r="M251" t="str">
        <f>VLOOKUP(H251,metric_dict!A:AA,4,0)</f>
        <v>Настроен по ключевым механикам работы с клиентской базой</v>
      </c>
      <c r="N251" t="str">
        <f>VLOOKUP(H251,metric_dict!A:AA,5,0)</f>
        <v>Настроить мониторинг по ключевым механикам</v>
      </c>
      <c r="O251">
        <f>VLOOKUP(H251,metric_dict!A:AA,6,0)</f>
        <v>2</v>
      </c>
      <c r="P251" t="s">
        <v>256</v>
      </c>
      <c r="Q251">
        <f>VLOOKUP(H251,metric_dict!A:AA,7,0)</f>
        <v>22</v>
      </c>
    </row>
    <row r="252" spans="1:17" x14ac:dyDescent="0.2">
      <c r="A252">
        <v>33</v>
      </c>
      <c r="B252">
        <v>34</v>
      </c>
      <c r="C252">
        <v>33</v>
      </c>
      <c r="D252">
        <v>32</v>
      </c>
      <c r="E252" t="s">
        <v>251</v>
      </c>
      <c r="F252" t="s">
        <v>54</v>
      </c>
      <c r="G252">
        <v>35</v>
      </c>
      <c r="H252" t="s">
        <v>165</v>
      </c>
      <c r="I252">
        <v>0.5</v>
      </c>
      <c r="J252">
        <v>1</v>
      </c>
      <c r="K252" t="str">
        <f>VLOOKUP(H252,metric_dict!A:B,2,0)</f>
        <v>Гипотезы и инициативы</v>
      </c>
      <c r="L252" t="str">
        <f>IF(VLOOKUP(H252,metric_dict!A:C,3,0)=0,"",VLOOKUP(H252,metric_dict!A:C,3,0))</f>
        <v/>
      </c>
      <c r="M252" t="str">
        <f>VLOOKUP(H252,metric_dict!A:AA,4,0)</f>
        <v>Доля исследовательских задач DA</v>
      </c>
      <c r="N252" t="str">
        <f>VLOOKUP(H252,metric_dict!A:AA,5,0)</f>
        <v>Сфокусировать бэклог аналитиков на research-задачи</v>
      </c>
      <c r="O252">
        <f>VLOOKUP(H252,metric_dict!A:AA,6,0)</f>
        <v>5</v>
      </c>
      <c r="P252" t="s">
        <v>256</v>
      </c>
      <c r="Q252">
        <f>VLOOKUP(H252,metric_dict!A:AA,7,0)</f>
        <v>1</v>
      </c>
    </row>
    <row r="253" spans="1:17" x14ac:dyDescent="0.2">
      <c r="A253">
        <v>33</v>
      </c>
      <c r="B253">
        <v>34</v>
      </c>
      <c r="C253">
        <v>33</v>
      </c>
      <c r="D253">
        <v>32</v>
      </c>
      <c r="E253" t="s">
        <v>251</v>
      </c>
      <c r="F253" t="s">
        <v>54</v>
      </c>
      <c r="G253">
        <v>44</v>
      </c>
      <c r="H253" t="s">
        <v>182</v>
      </c>
      <c r="I253">
        <v>0</v>
      </c>
      <c r="J253">
        <v>1</v>
      </c>
      <c r="K253" t="str">
        <f>VLOOKUP(H253,metric_dict!A:B,2,0)</f>
        <v>Гипотезы и инициативы</v>
      </c>
      <c r="L253" t="str">
        <f>IF(VLOOKUP(H253,metric_dict!A:C,3,0)=0,"",VLOOKUP(H253,metric_dict!A:C,3,0))</f>
        <v/>
      </c>
      <c r="M253" t="str">
        <f>VLOOKUP(H253,metric_dict!A:AA,4,0)</f>
        <v>Средняя оценка проведенных исследований</v>
      </c>
      <c r="N253" t="str">
        <f>VLOOKUP(H253,metric_dict!A:AA,5,0)</f>
        <v>Повысить качество проведенных исследований</v>
      </c>
      <c r="O253">
        <f>VLOOKUP(H253,metric_dict!A:AA,6,0)</f>
        <v>5</v>
      </c>
      <c r="P253" t="s">
        <v>256</v>
      </c>
      <c r="Q253">
        <f>VLOOKUP(H253,metric_dict!A:AA,7,0)</f>
        <v>2</v>
      </c>
    </row>
    <row r="254" spans="1:17" x14ac:dyDescent="0.2">
      <c r="A254">
        <v>38</v>
      </c>
      <c r="B254">
        <v>39</v>
      </c>
      <c r="C254">
        <v>38</v>
      </c>
      <c r="D254">
        <v>37</v>
      </c>
      <c r="E254" t="s">
        <v>251</v>
      </c>
      <c r="F254" t="s">
        <v>55</v>
      </c>
      <c r="G254">
        <v>99</v>
      </c>
      <c r="H254" t="s">
        <v>330</v>
      </c>
      <c r="I254">
        <v>0.25</v>
      </c>
      <c r="J254">
        <v>0.25</v>
      </c>
      <c r="K254" t="str">
        <f>VLOOKUP(H254,metric_dict!A:B,2,0)</f>
        <v>Знание ключевых метрик</v>
      </c>
      <c r="L254" t="str">
        <f>IF(VLOOKUP(H254,metric_dict!A:C,3,0)=0,"",VLOOKUP(H254,metric_dict!A:C,3,0))</f>
        <v/>
      </c>
      <c r="M254" t="str">
        <f>VLOOKUP(H254,metric_dict!A:AA,4,0)</f>
        <v>Знание значения метрики активной клиентской базы</v>
      </c>
      <c r="N254" t="str">
        <f>VLOOKUP(H254,metric_dict!A:AA,5,0)</f>
        <v>Знание метрик и инструментов</v>
      </c>
      <c r="O254">
        <f>VLOOKUP(H254,metric_dict!A:AA,6,0)</f>
        <v>1</v>
      </c>
      <c r="P254" t="s">
        <v>256</v>
      </c>
      <c r="Q254">
        <f>VLOOKUP(H254,metric_dict!A:AA,7,0)</f>
        <v>5</v>
      </c>
    </row>
    <row r="255" spans="1:17" x14ac:dyDescent="0.2">
      <c r="A255">
        <v>38</v>
      </c>
      <c r="B255">
        <v>39</v>
      </c>
      <c r="C255">
        <v>38</v>
      </c>
      <c r="D255">
        <v>37</v>
      </c>
      <c r="E255" t="s">
        <v>251</v>
      </c>
      <c r="F255" t="s">
        <v>55</v>
      </c>
      <c r="G255">
        <v>98</v>
      </c>
      <c r="H255" t="s">
        <v>331</v>
      </c>
      <c r="I255">
        <v>0.25</v>
      </c>
      <c r="J255">
        <v>0.25</v>
      </c>
      <c r="K255" t="str">
        <f>VLOOKUP(H255,metric_dict!A:B,2,0)</f>
        <v>Знание ключевых метрик</v>
      </c>
      <c r="L255" t="str">
        <f>IF(VLOOKUP(H255,metric_dict!A:C,3,0)=0,"",VLOOKUP(H255,metric_dict!A:C,3,0))</f>
        <v/>
      </c>
      <c r="M255" t="str">
        <f>VLOOKUP(H255,metric_dict!A:AA,4,0)</f>
        <v>Знание метрики Major</v>
      </c>
      <c r="N255" t="str">
        <f>VLOOKUP(H255,metric_dict!A:AA,5,0)</f>
        <v>Знание метрик и инструментов</v>
      </c>
      <c r="O255">
        <f>VLOOKUP(H255,metric_dict!A:AA,6,0)</f>
        <v>1</v>
      </c>
      <c r="P255" t="s">
        <v>256</v>
      </c>
      <c r="Q255">
        <f>VLOOKUP(H255,metric_dict!A:AA,7,0)</f>
        <v>6</v>
      </c>
    </row>
    <row r="256" spans="1:17" x14ac:dyDescent="0.2">
      <c r="A256">
        <v>38</v>
      </c>
      <c r="B256">
        <v>39</v>
      </c>
      <c r="C256">
        <v>38</v>
      </c>
      <c r="D256">
        <v>37</v>
      </c>
      <c r="E256" t="s">
        <v>251</v>
      </c>
      <c r="F256" t="s">
        <v>55</v>
      </c>
      <c r="G256">
        <v>97</v>
      </c>
      <c r="H256" t="s">
        <v>332</v>
      </c>
      <c r="I256">
        <v>0.125</v>
      </c>
      <c r="J256">
        <v>0.25</v>
      </c>
      <c r="K256" t="str">
        <f>VLOOKUP(H256,metric_dict!A:B,2,0)</f>
        <v>Знание ключевых метрик</v>
      </c>
      <c r="L256" t="str">
        <f>IF(VLOOKUP(H256,metric_dict!A:C,3,0)=0,"",VLOOKUP(H256,metric_dict!A:C,3,0))</f>
        <v/>
      </c>
      <c r="M256" t="str">
        <f>VLOOKUP(H256,metric_dict!A:AA,4,0)</f>
        <v>Знание метрики кол-во клиентов с 2+ нефин.сервисов</v>
      </c>
      <c r="N256" t="str">
        <f>VLOOKUP(H256,metric_dict!A:AA,5,0)</f>
        <v>Знание метрик и инструментов</v>
      </c>
      <c r="O256">
        <f>VLOOKUP(H256,metric_dict!A:AA,6,0)</f>
        <v>1</v>
      </c>
      <c r="P256" t="s">
        <v>256</v>
      </c>
      <c r="Q256">
        <f>VLOOKUP(H256,metric_dict!A:AA,7,0)</f>
        <v>7</v>
      </c>
    </row>
    <row r="257" spans="1:17" x14ac:dyDescent="0.2">
      <c r="A257">
        <v>38</v>
      </c>
      <c r="B257">
        <v>39</v>
      </c>
      <c r="C257">
        <v>38</v>
      </c>
      <c r="D257">
        <v>37</v>
      </c>
      <c r="E257" t="s">
        <v>251</v>
      </c>
      <c r="F257" t="s">
        <v>55</v>
      </c>
      <c r="G257">
        <v>97</v>
      </c>
      <c r="H257" t="s">
        <v>338</v>
      </c>
      <c r="I257">
        <v>0.25</v>
      </c>
      <c r="J257">
        <v>0.25</v>
      </c>
      <c r="K257" t="str">
        <f>VLOOKUP(H257,metric_dict!A:B,2,0)</f>
        <v>Знание ключевых метрик</v>
      </c>
      <c r="L257" t="str">
        <f>IF(VLOOKUP(H257,metric_dict!A:C,3,0)=0,"",VLOOKUP(H257,metric_dict!A:C,3,0))</f>
        <v/>
      </c>
      <c r="M257" t="str">
        <f>VLOOKUP(H257,metric_dict!A:AA,4,0)</f>
        <v>Знание метрики среднего дохода на 1 клиента</v>
      </c>
      <c r="N257" t="str">
        <f>VLOOKUP(H257,metric_dict!A:AA,5,0)</f>
        <v>Знание метрик и инструментов</v>
      </c>
      <c r="O257">
        <f>VLOOKUP(H257,metric_dict!A:AA,6,0)</f>
        <v>1</v>
      </c>
      <c r="P257" t="s">
        <v>256</v>
      </c>
      <c r="Q257">
        <f>VLOOKUP(H257,metric_dict!A:AA,7,0)</f>
        <v>11</v>
      </c>
    </row>
    <row r="258" spans="1:17" x14ac:dyDescent="0.2">
      <c r="A258">
        <v>38</v>
      </c>
      <c r="B258">
        <v>39</v>
      </c>
      <c r="C258">
        <v>38</v>
      </c>
      <c r="D258">
        <v>37</v>
      </c>
      <c r="E258" t="s">
        <v>251</v>
      </c>
      <c r="F258" t="s">
        <v>55</v>
      </c>
      <c r="G258">
        <v>2</v>
      </c>
      <c r="H258" t="s">
        <v>98</v>
      </c>
      <c r="I258">
        <v>0.25</v>
      </c>
      <c r="J258">
        <v>0.5</v>
      </c>
      <c r="K258" t="str">
        <f>VLOOKUP(H258,metric_dict!A:B,2,0)</f>
        <v>Знание ключевых метрик</v>
      </c>
      <c r="L258" t="str">
        <f>IF(VLOOKUP(H258,metric_dict!A:C,3,0)=0,"",VLOOKUP(H258,metric_dict!A:C,3,0))</f>
        <v/>
      </c>
      <c r="M258" t="str">
        <f>VLOOKUP(H258,metric_dict!A:AA,4,0)</f>
        <v>Понимание доступной отчетности и регулярного мониторинга</v>
      </c>
      <c r="N258" t="str">
        <f>VLOOKUP(H258,metric_dict!A:AA,5,0)</f>
        <v>Знание метрик и инструментов</v>
      </c>
      <c r="O258">
        <f>VLOOKUP(H258,metric_dict!A:AA,6,0)</f>
        <v>1</v>
      </c>
      <c r="P258" t="s">
        <v>256</v>
      </c>
      <c r="Q258">
        <f>VLOOKUP(H258,metric_dict!A:AA,7,0)</f>
        <v>13</v>
      </c>
    </row>
    <row r="259" spans="1:17" x14ac:dyDescent="0.2">
      <c r="A259">
        <v>38</v>
      </c>
      <c r="B259">
        <v>39</v>
      </c>
      <c r="C259">
        <v>38</v>
      </c>
      <c r="D259">
        <v>37</v>
      </c>
      <c r="E259" t="s">
        <v>251</v>
      </c>
      <c r="F259" t="s">
        <v>55</v>
      </c>
      <c r="G259">
        <v>3</v>
      </c>
      <c r="H259" t="s">
        <v>100</v>
      </c>
      <c r="I259">
        <v>1</v>
      </c>
      <c r="J259">
        <v>1</v>
      </c>
      <c r="K259" t="str">
        <f>VLOOKUP(H259,metric_dict!A:B,2,0)</f>
        <v>Цели</v>
      </c>
      <c r="L259" t="str">
        <f>IF(VLOOKUP(H259,metric_dict!A:C,3,0)=0,"",VLOOKUP(H259,metric_dict!A:C,3,0))</f>
        <v/>
      </c>
      <c r="M259" t="str">
        <f>VLOOKUP(H259,metric_dict!A:AA,4,0)</f>
        <v>Регулярное обновление в Навигаторе</v>
      </c>
      <c r="N259" t="str">
        <f>VLOOKUP(H259,metric_dict!A:AA,5,0)</f>
        <v>Обогащение целей/драйверов/прогнозов в Навигаторе</v>
      </c>
      <c r="O259">
        <f>VLOOKUP(H259,metric_dict!A:AA,6,0)</f>
        <v>2</v>
      </c>
      <c r="P259" t="s">
        <v>256</v>
      </c>
      <c r="Q259">
        <f>VLOOKUP(H259,metric_dict!A:AA,7,0)</f>
        <v>1</v>
      </c>
    </row>
    <row r="260" spans="1:17" x14ac:dyDescent="0.2">
      <c r="A260">
        <v>38</v>
      </c>
      <c r="B260">
        <v>39</v>
      </c>
      <c r="C260">
        <v>38</v>
      </c>
      <c r="D260">
        <v>37</v>
      </c>
      <c r="E260" t="s">
        <v>251</v>
      </c>
      <c r="F260" t="s">
        <v>55</v>
      </c>
      <c r="G260">
        <v>4</v>
      </c>
      <c r="H260" t="s">
        <v>104</v>
      </c>
      <c r="I260">
        <v>0.5</v>
      </c>
      <c r="J260">
        <v>1</v>
      </c>
      <c r="K260" t="str">
        <f>VLOOKUP(H260,metric_dict!A:B,2,0)</f>
        <v>Цели</v>
      </c>
      <c r="L260" t="str">
        <f>IF(VLOOKUP(H260,metric_dict!A:C,3,0)=0,"",VLOOKUP(H260,metric_dict!A:C,3,0))</f>
        <v/>
      </c>
      <c r="M260" t="str">
        <f>VLOOKUP(H260,metric_dict!A:AA,4,0)</f>
        <v>Согласно модели бизнес-процесса</v>
      </c>
      <c r="N260" t="str">
        <f>VLOOKUP(H260,metric_dict!A:AA,5,0)</f>
        <v>Декомпозировать значения целей на драйверы</v>
      </c>
      <c r="O260">
        <f>VLOOKUP(H260,metric_dict!A:AA,6,0)</f>
        <v>7</v>
      </c>
      <c r="P260" t="s">
        <v>256</v>
      </c>
      <c r="Q260">
        <f>VLOOKUP(H260,metric_dict!A:AA,7,0)</f>
        <v>2</v>
      </c>
    </row>
    <row r="261" spans="1:17" x14ac:dyDescent="0.2">
      <c r="A261">
        <v>38</v>
      </c>
      <c r="B261">
        <v>39</v>
      </c>
      <c r="C261">
        <v>38</v>
      </c>
      <c r="D261">
        <v>37</v>
      </c>
      <c r="E261" t="s">
        <v>251</v>
      </c>
      <c r="F261" t="s">
        <v>55</v>
      </c>
      <c r="G261">
        <v>5</v>
      </c>
      <c r="H261" t="s">
        <v>108</v>
      </c>
      <c r="I261">
        <v>0.5</v>
      </c>
      <c r="J261">
        <v>1</v>
      </c>
      <c r="K261" t="str">
        <f>VLOOKUP(H261,metric_dict!A:B,2,0)</f>
        <v>Цели</v>
      </c>
      <c r="L261" t="str">
        <f>IF(VLOOKUP(H261,metric_dict!A:C,3,0)=0,"",VLOOKUP(H261,metric_dict!A:C,3,0))</f>
        <v/>
      </c>
      <c r="M261" t="str">
        <f>VLOOKUP(H261,metric_dict!A:AA,4,0)</f>
        <v>Прогноз выведен в Навигатор</v>
      </c>
      <c r="N261" t="str">
        <f>VLOOKUP(H261,metric_dict!A:AA,5,0)</f>
        <v>Сформировать прогнозные значения по целям</v>
      </c>
      <c r="O261">
        <f>VLOOKUP(H261,metric_dict!A:AA,6,0)</f>
        <v>8</v>
      </c>
      <c r="P261" t="s">
        <v>256</v>
      </c>
      <c r="Q261">
        <f>VLOOKUP(H261,metric_dict!A:AA,7,0)</f>
        <v>3</v>
      </c>
    </row>
    <row r="262" spans="1:17" x14ac:dyDescent="0.2">
      <c r="A262">
        <v>38</v>
      </c>
      <c r="B262">
        <v>39</v>
      </c>
      <c r="C262">
        <v>38</v>
      </c>
      <c r="D262">
        <v>37</v>
      </c>
      <c r="E262" t="s">
        <v>251</v>
      </c>
      <c r="F262" t="s">
        <v>55</v>
      </c>
      <c r="G262">
        <v>9</v>
      </c>
      <c r="H262" t="s">
        <v>111</v>
      </c>
      <c r="I262">
        <v>0.5</v>
      </c>
      <c r="J262">
        <v>0.5</v>
      </c>
      <c r="K262" t="str">
        <f>VLOOKUP(H262,metric_dict!A:B,2,0)</f>
        <v>Воронка привлечения</v>
      </c>
      <c r="L262" t="str">
        <f>IF(VLOOKUP(H262,metric_dict!A:C,3,0)=0,"",VLOOKUP(H262,metric_dict!A:C,3,0))</f>
        <v>Отчетность</v>
      </c>
      <c r="M262" t="str">
        <f>VLOOKUP(H262,metric_dict!A:AA,4,0)</f>
        <v>Настроена по воронке</v>
      </c>
      <c r="N262" t="str">
        <f>VLOOKUP(H262,metric_dict!A:AA,5,0)</f>
        <v>Настроить мониторинг по воронке привлечения</v>
      </c>
      <c r="O262">
        <f>VLOOKUP(H262,metric_dict!A:AA,6,0)</f>
        <v>2</v>
      </c>
      <c r="P262" t="s">
        <v>256</v>
      </c>
      <c r="Q262">
        <f>VLOOKUP(H262,metric_dict!A:AA,7,0)</f>
        <v>1</v>
      </c>
    </row>
    <row r="263" spans="1:17" x14ac:dyDescent="0.2">
      <c r="A263">
        <v>38</v>
      </c>
      <c r="B263">
        <v>39</v>
      </c>
      <c r="C263">
        <v>38</v>
      </c>
      <c r="D263">
        <v>37</v>
      </c>
      <c r="E263" t="s">
        <v>251</v>
      </c>
      <c r="F263" t="s">
        <v>55</v>
      </c>
      <c r="G263">
        <v>10</v>
      </c>
      <c r="H263" t="s">
        <v>115</v>
      </c>
      <c r="I263">
        <v>0.25</v>
      </c>
      <c r="J263">
        <v>0.5</v>
      </c>
      <c r="K263" t="str">
        <f>VLOOKUP(H263,metric_dict!A:B,2,0)</f>
        <v>Воронка привлечения</v>
      </c>
      <c r="L263" t="str">
        <f>IF(VLOOKUP(H263,metric_dict!A:C,3,0)=0,"",VLOOKUP(H263,metric_dict!A:C,3,0))</f>
        <v>Отчетность</v>
      </c>
      <c r="M263" t="str">
        <f>VLOOKUP(H263,metric_dict!A:AA,4,0)</f>
        <v>Источники, CR, объёмы, сегменты</v>
      </c>
      <c r="N263" t="str">
        <f>VLOOKUP(H263,metric_dict!A:AA,5,0)</f>
        <v>Донасытить метриками мониторинг по воронке привлечения</v>
      </c>
      <c r="O263">
        <f>VLOOKUP(H263,metric_dict!A:AA,6,0)</f>
        <v>3</v>
      </c>
      <c r="P263" t="s">
        <v>256</v>
      </c>
      <c r="Q263">
        <f>VLOOKUP(H263,metric_dict!A:AA,7,0)</f>
        <v>2</v>
      </c>
    </row>
    <row r="264" spans="1:17" x14ac:dyDescent="0.2">
      <c r="A264">
        <v>38</v>
      </c>
      <c r="B264">
        <v>39</v>
      </c>
      <c r="C264">
        <v>38</v>
      </c>
      <c r="D264">
        <v>37</v>
      </c>
      <c r="E264" t="s">
        <v>251</v>
      </c>
      <c r="F264" t="s">
        <v>55</v>
      </c>
      <c r="G264">
        <v>12</v>
      </c>
      <c r="H264" t="s">
        <v>121</v>
      </c>
      <c r="I264">
        <v>0.5</v>
      </c>
      <c r="J264">
        <v>0.5</v>
      </c>
      <c r="K264" t="str">
        <f>VLOOKUP(H264,metric_dict!A:B,2,0)</f>
        <v>Воронка оттока</v>
      </c>
      <c r="L264" t="str">
        <f>IF(VLOOKUP(H264,metric_dict!A:C,3,0)=0,"",VLOOKUP(H264,metric_dict!A:C,3,0))</f>
        <v>Отчетность</v>
      </c>
      <c r="M264" t="str">
        <f>VLOOKUP(H264,metric_dict!A:AA,4,0)</f>
        <v>Настроена по воронке</v>
      </c>
      <c r="N264" t="str">
        <f>VLOOKUP(H264,metric_dict!A:AA,5,0)</f>
        <v>Настроить мониторинг по воронке оттока</v>
      </c>
      <c r="O264">
        <f>VLOOKUP(H264,metric_dict!A:AA,6,0)</f>
        <v>2</v>
      </c>
      <c r="P264" t="s">
        <v>256</v>
      </c>
      <c r="Q264">
        <f>VLOOKUP(H264,metric_dict!A:AA,7,0)</f>
        <v>1</v>
      </c>
    </row>
    <row r="265" spans="1:17" x14ac:dyDescent="0.2">
      <c r="A265">
        <v>38</v>
      </c>
      <c r="B265">
        <v>39</v>
      </c>
      <c r="C265">
        <v>38</v>
      </c>
      <c r="D265">
        <v>37</v>
      </c>
      <c r="E265" t="s">
        <v>251</v>
      </c>
      <c r="F265" t="s">
        <v>55</v>
      </c>
      <c r="G265">
        <v>13</v>
      </c>
      <c r="H265" t="s">
        <v>124</v>
      </c>
      <c r="I265">
        <v>0.25</v>
      </c>
      <c r="J265">
        <v>0.5</v>
      </c>
      <c r="K265" t="str">
        <f>VLOOKUP(H265,metric_dict!A:B,2,0)</f>
        <v>Воронка оттока</v>
      </c>
      <c r="L265" t="str">
        <f>IF(VLOOKUP(H265,metric_dict!A:C,3,0)=0,"",VLOOKUP(H265,metric_dict!A:C,3,0))</f>
        <v>Отчетность</v>
      </c>
      <c r="M265" t="str">
        <f>VLOOKUP(H265,metric_dict!A:AA,4,0)</f>
        <v>Retention, CR, удержание</v>
      </c>
      <c r="N265" t="str">
        <f>VLOOKUP(H265,metric_dict!A:AA,5,0)</f>
        <v>Донасытить метриками мониторинг по воронке оттока</v>
      </c>
      <c r="O265">
        <f>VLOOKUP(H265,metric_dict!A:AA,6,0)</f>
        <v>3</v>
      </c>
      <c r="P265" t="s">
        <v>256</v>
      </c>
      <c r="Q265">
        <f>VLOOKUP(H265,metric_dict!A:AA,7,0)</f>
        <v>2</v>
      </c>
    </row>
    <row r="266" spans="1:17" x14ac:dyDescent="0.2">
      <c r="A266">
        <v>38</v>
      </c>
      <c r="B266">
        <v>39</v>
      </c>
      <c r="C266">
        <v>38</v>
      </c>
      <c r="D266">
        <v>37</v>
      </c>
      <c r="E266" t="s">
        <v>251</v>
      </c>
      <c r="F266" t="s">
        <v>55</v>
      </c>
      <c r="G266">
        <v>15</v>
      </c>
      <c r="H266" t="s">
        <v>129</v>
      </c>
      <c r="I266">
        <v>1</v>
      </c>
      <c r="J266">
        <v>1</v>
      </c>
      <c r="K266" t="str">
        <f>VLOOKUP(H266,metric_dict!A:B,2,0)</f>
        <v>BENCHMARKS</v>
      </c>
      <c r="L266" t="str">
        <f>IF(VLOOKUP(H266,metric_dict!A:C,3,0)=0,"",VLOOKUP(H266,metric_dict!A:C,3,0))</f>
        <v/>
      </c>
      <c r="M266" t="str">
        <f>VLOOKUP(H266,metric_dict!A:AA,4,0)</f>
        <v>Цели / динамика / рынок</v>
      </c>
      <c r="N266" t="str">
        <f>VLOOKUP(H266,metric_dict!A:AA,5,0)</f>
        <v>Сформировать бенчмарки по продуктовым метрикам</v>
      </c>
      <c r="O266">
        <f>VLOOKUP(H266,metric_dict!A:AA,6,0)</f>
        <v>5</v>
      </c>
      <c r="P266" t="s">
        <v>256</v>
      </c>
      <c r="Q266">
        <f>VLOOKUP(H266,metric_dict!A:AA,7,0)</f>
        <v>6</v>
      </c>
    </row>
    <row r="267" spans="1:17" x14ac:dyDescent="0.2">
      <c r="A267">
        <v>38</v>
      </c>
      <c r="B267">
        <v>39</v>
      </c>
      <c r="C267">
        <v>38</v>
      </c>
      <c r="D267">
        <v>37</v>
      </c>
      <c r="E267" t="s">
        <v>251</v>
      </c>
      <c r="F267" t="s">
        <v>55</v>
      </c>
      <c r="G267">
        <v>17</v>
      </c>
      <c r="H267" t="s">
        <v>134</v>
      </c>
      <c r="I267">
        <v>0.25</v>
      </c>
      <c r="J267">
        <v>1</v>
      </c>
      <c r="K267" t="str">
        <f>VLOOKUP(H267,metric_dict!A:B,2,0)</f>
        <v>Воронка привлечения</v>
      </c>
      <c r="L267" t="str">
        <f>IF(VLOOKUP(H267,metric_dict!A:C,3,0)=0,"",VLOOKUP(H267,metric_dict!A:C,3,0))</f>
        <v/>
      </c>
      <c r="M267" t="str">
        <f>VLOOKUP(H267,metric_dict!A:AA,4,0)</f>
        <v>Оценка эффективности, поиск точек роста</v>
      </c>
      <c r="N267" t="str">
        <f>VLOOKUP(H267,metric_dict!A:AA,5,0)</f>
        <v>Провести анализ привлечения, выявить точки роста</v>
      </c>
      <c r="O267">
        <f>VLOOKUP(H267,metric_dict!A:AA,6,0)</f>
        <v>5</v>
      </c>
      <c r="P267" t="s">
        <v>256</v>
      </c>
      <c r="Q267">
        <f>VLOOKUP(H267,metric_dict!A:AA,7,0)</f>
        <v>4</v>
      </c>
    </row>
    <row r="268" spans="1:17" x14ac:dyDescent="0.2">
      <c r="A268">
        <v>38</v>
      </c>
      <c r="B268">
        <v>39</v>
      </c>
      <c r="C268">
        <v>38</v>
      </c>
      <c r="D268">
        <v>37</v>
      </c>
      <c r="E268" t="s">
        <v>251</v>
      </c>
      <c r="F268" t="s">
        <v>55</v>
      </c>
      <c r="G268">
        <v>18</v>
      </c>
      <c r="H268" t="s">
        <v>137</v>
      </c>
      <c r="I268">
        <v>0</v>
      </c>
      <c r="J268">
        <v>1</v>
      </c>
      <c r="K268" t="str">
        <f>VLOOKUP(H268,metric_dict!A:B,2,0)</f>
        <v>Воронка привлечения</v>
      </c>
      <c r="L268" t="str">
        <f>IF(VLOOKUP(H268,metric_dict!A:C,3,0)=0,"",VLOOKUP(H268,metric_dict!A:C,3,0))</f>
        <v/>
      </c>
      <c r="M268" t="str">
        <f>VLOOKUP(H268,metric_dict!A:AA,4,0)</f>
        <v>План действий по росту</v>
      </c>
      <c r="N268" t="str">
        <f>VLOOKUP(H268,metric_dict!A:AA,5,0)</f>
        <v>Сформировать перечень инициатив</v>
      </c>
      <c r="O268">
        <f>VLOOKUP(H268,metric_dict!A:AA,6,0)</f>
        <v>5</v>
      </c>
      <c r="P268" t="s">
        <v>256</v>
      </c>
      <c r="Q268">
        <f>VLOOKUP(H268,metric_dict!A:AA,7,0)</f>
        <v>5</v>
      </c>
    </row>
    <row r="269" spans="1:17" x14ac:dyDescent="0.2">
      <c r="A269">
        <v>38</v>
      </c>
      <c r="B269">
        <v>39</v>
      </c>
      <c r="C269">
        <v>38</v>
      </c>
      <c r="D269">
        <v>37</v>
      </c>
      <c r="E269" t="s">
        <v>251</v>
      </c>
      <c r="F269" t="s">
        <v>55</v>
      </c>
      <c r="G269">
        <v>19</v>
      </c>
      <c r="H269" t="s">
        <v>140</v>
      </c>
      <c r="I269">
        <v>0.25</v>
      </c>
      <c r="J269">
        <v>1</v>
      </c>
      <c r="K269" t="str">
        <f>VLOOKUP(H269,metric_dict!A:B,2,0)</f>
        <v>Воронка оттока</v>
      </c>
      <c r="L269" t="str">
        <f>IF(VLOOKUP(H269,metric_dict!A:C,3,0)=0,"",VLOOKUP(H269,metric_dict!A:C,3,0))</f>
        <v/>
      </c>
      <c r="M269" t="str">
        <f>VLOOKUP(H269,metric_dict!A:AA,4,0)</f>
        <v>Оценка причин и узких мест</v>
      </c>
      <c r="N269" t="str">
        <f>VLOOKUP(H269,metric_dict!A:AA,5,0)</f>
        <v>Провести анализ оттока, выявить точки роста</v>
      </c>
      <c r="O269">
        <f>VLOOKUP(H269,metric_dict!A:AA,6,0)</f>
        <v>5</v>
      </c>
      <c r="P269" t="s">
        <v>256</v>
      </c>
      <c r="Q269">
        <f>VLOOKUP(H269,metric_dict!A:AA,7,0)</f>
        <v>4</v>
      </c>
    </row>
    <row r="270" spans="1:17" x14ac:dyDescent="0.2">
      <c r="A270">
        <v>38</v>
      </c>
      <c r="B270">
        <v>39</v>
      </c>
      <c r="C270">
        <v>38</v>
      </c>
      <c r="D270">
        <v>37</v>
      </c>
      <c r="E270" t="s">
        <v>251</v>
      </c>
      <c r="F270" t="s">
        <v>55</v>
      </c>
      <c r="G270">
        <v>20</v>
      </c>
      <c r="H270" t="s">
        <v>143</v>
      </c>
      <c r="I270">
        <v>0</v>
      </c>
      <c r="J270">
        <v>1</v>
      </c>
      <c r="K270" t="str">
        <f>VLOOKUP(H270,metric_dict!A:B,2,0)</f>
        <v>Воронка оттока</v>
      </c>
      <c r="L270" t="str">
        <f>IF(VLOOKUP(H270,metric_dict!A:C,3,0)=0,"",VLOOKUP(H270,metric_dict!A:C,3,0))</f>
        <v/>
      </c>
      <c r="M270" t="str">
        <f>VLOOKUP(H270,metric_dict!A:AA,4,0)</f>
        <v>План действий по отклонениям</v>
      </c>
      <c r="N270" t="str">
        <f>VLOOKUP(H270,metric_dict!A:AA,5,0)</f>
        <v>Сформировать список мероприятий по снижению оттока</v>
      </c>
      <c r="O270">
        <f>VLOOKUP(H270,metric_dict!A:AA,6,0)</f>
        <v>4</v>
      </c>
      <c r="P270" t="s">
        <v>256</v>
      </c>
      <c r="Q270">
        <f>VLOOKUP(H270,metric_dict!A:AA,7,0)</f>
        <v>5</v>
      </c>
    </row>
    <row r="271" spans="1:17" x14ac:dyDescent="0.2">
      <c r="A271">
        <v>38</v>
      </c>
      <c r="B271">
        <v>39</v>
      </c>
      <c r="C271">
        <v>38</v>
      </c>
      <c r="D271">
        <v>37</v>
      </c>
      <c r="E271" t="s">
        <v>251</v>
      </c>
      <c r="F271" t="s">
        <v>55</v>
      </c>
      <c r="G271">
        <v>22</v>
      </c>
      <c r="H271" t="s">
        <v>150</v>
      </c>
      <c r="I271">
        <v>0</v>
      </c>
      <c r="J271">
        <v>1</v>
      </c>
      <c r="K271" t="str">
        <f>VLOOKUP(H271,metric_dict!A:B,2,0)</f>
        <v>Алерты</v>
      </c>
      <c r="L271" t="str">
        <f>IF(VLOOKUP(H271,metric_dict!A:C,3,0)=0,"",VLOOKUP(H271,metric_dict!A:C,3,0))</f>
        <v/>
      </c>
      <c r="M271" t="str">
        <f>VLOOKUP(H271,metric_dict!A:AA,4,0)</f>
        <v>Светофоры целей, драйверов, воронок</v>
      </c>
      <c r="N271" t="str">
        <f>VLOOKUP(H271,metric_dict!A:AA,5,0)</f>
        <v>Внедрить систему оповещений</v>
      </c>
      <c r="O271">
        <f>VLOOKUP(H271,metric_dict!A:AA,6,0)</f>
        <v>3</v>
      </c>
      <c r="P271" t="s">
        <v>256</v>
      </c>
      <c r="Q271">
        <f>VLOOKUP(H271,metric_dict!A:AA,7,0)</f>
        <v>2</v>
      </c>
    </row>
    <row r="272" spans="1:17" x14ac:dyDescent="0.2">
      <c r="A272">
        <v>38</v>
      </c>
      <c r="B272">
        <v>39</v>
      </c>
      <c r="C272">
        <v>38</v>
      </c>
      <c r="D272">
        <v>37</v>
      </c>
      <c r="E272" t="s">
        <v>251</v>
      </c>
      <c r="F272" t="s">
        <v>55</v>
      </c>
      <c r="G272">
        <v>999</v>
      </c>
      <c r="H272" s="14" t="s">
        <v>351</v>
      </c>
      <c r="I272">
        <v>0.5</v>
      </c>
      <c r="J272">
        <v>1</v>
      </c>
      <c r="K272" t="str">
        <f>VLOOKUP(H272,metric_dict!A:B,2,0)</f>
        <v>Механики</v>
      </c>
      <c r="L272" t="str">
        <f>IF(VLOOKUP(H272,metric_dict!A:C,3,0)=0,"",VLOOKUP(H272,metric_dict!A:C,3,0))</f>
        <v/>
      </c>
      <c r="M272" t="str">
        <f>VLOOKUP(H272,metric_dict!A:AA,4,0)</f>
        <v>Адаптация предложений и коммуникаций под контекст клиента</v>
      </c>
      <c r="N272" t="str">
        <f>VLOOKUP(H272,metric_dict!A:AA,5,0)</f>
        <v>Проработать механики персонализации клиентского опыта</v>
      </c>
      <c r="O272">
        <f>VLOOKUP(H272,metric_dict!A:AA,6,0)</f>
        <v>5</v>
      </c>
      <c r="P272" t="s">
        <v>256</v>
      </c>
      <c r="Q272">
        <f>VLOOKUP(H272,metric_dict!A:AA,7,0)</f>
        <v>1</v>
      </c>
    </row>
    <row r="273" spans="1:17" x14ac:dyDescent="0.2">
      <c r="A273">
        <v>38</v>
      </c>
      <c r="B273">
        <v>39</v>
      </c>
      <c r="C273">
        <v>38</v>
      </c>
      <c r="D273">
        <v>37</v>
      </c>
      <c r="E273" t="s">
        <v>251</v>
      </c>
      <c r="F273" t="s">
        <v>55</v>
      </c>
      <c r="G273">
        <v>2222</v>
      </c>
      <c r="H273" s="14" t="s">
        <v>352</v>
      </c>
      <c r="I273">
        <v>1</v>
      </c>
      <c r="J273">
        <v>1</v>
      </c>
      <c r="K273" t="str">
        <f>VLOOKUP(H273,metric_dict!A:B,2,0)</f>
        <v>Механики</v>
      </c>
      <c r="L273" t="str">
        <f>IF(VLOOKUP(H273,metric_dict!A:C,3,0)=0,"",VLOOKUP(H273,metric_dict!A:C,3,0))</f>
        <v/>
      </c>
      <c r="M273" t="str">
        <f>VLOOKUP(H273,metric_dict!A:AA,4,0)</f>
        <v>Релевантные офферы для привлечения клиентов</v>
      </c>
      <c r="N273" t="str">
        <f>VLOOKUP(H273,metric_dict!A:AA,5,0)</f>
        <v>Проработать механики привлечения клиентов</v>
      </c>
      <c r="O273">
        <f>VLOOKUP(H273,metric_dict!A:AA,6,0)</f>
        <v>5</v>
      </c>
      <c r="P273" t="s">
        <v>256</v>
      </c>
      <c r="Q273">
        <f>VLOOKUP(H273,metric_dict!A:AA,7,0)</f>
        <v>2</v>
      </c>
    </row>
    <row r="274" spans="1:17" x14ac:dyDescent="0.2">
      <c r="A274">
        <v>38</v>
      </c>
      <c r="B274">
        <v>39</v>
      </c>
      <c r="C274">
        <v>38</v>
      </c>
      <c r="D274">
        <v>37</v>
      </c>
      <c r="E274" t="s">
        <v>251</v>
      </c>
      <c r="F274" t="s">
        <v>55</v>
      </c>
      <c r="G274">
        <v>1111</v>
      </c>
      <c r="H274" s="14" t="s">
        <v>156</v>
      </c>
      <c r="I274">
        <v>1</v>
      </c>
      <c r="J274">
        <v>1</v>
      </c>
      <c r="K274" t="str">
        <f>VLOOKUP(H274,metric_dict!A:B,2,0)</f>
        <v>Механики</v>
      </c>
      <c r="L274" t="str">
        <f>IF(VLOOKUP(H274,metric_dict!A:C,3,0)=0,"",VLOOKUP(H274,metric_dict!A:C,3,0))</f>
        <v/>
      </c>
      <c r="M274" t="str">
        <f>VLOOKUP(H274,metric_dict!A:AA,4,0)</f>
        <v>Коммуникация + ценность</v>
      </c>
      <c r="N274" t="str">
        <f>VLOOKUP(H274,metric_dict!A:AA,5,0)</f>
        <v>Проработать механики удержания клиентов</v>
      </c>
      <c r="O274">
        <f>VLOOKUP(H274,metric_dict!A:AA,6,0)</f>
        <v>5</v>
      </c>
      <c r="P274" t="s">
        <v>256</v>
      </c>
      <c r="Q274">
        <f>VLOOKUP(H274,metric_dict!A:AA,7,0)</f>
        <v>6</v>
      </c>
    </row>
    <row r="275" spans="1:17" x14ac:dyDescent="0.2">
      <c r="A275">
        <v>38</v>
      </c>
      <c r="B275">
        <v>39</v>
      </c>
      <c r="C275">
        <v>38</v>
      </c>
      <c r="D275">
        <v>37</v>
      </c>
      <c r="E275" t="s">
        <v>251</v>
      </c>
      <c r="F275" t="s">
        <v>55</v>
      </c>
      <c r="G275">
        <v>26</v>
      </c>
      <c r="H275" s="14" t="s">
        <v>159</v>
      </c>
      <c r="I275">
        <v>0</v>
      </c>
      <c r="J275">
        <v>1</v>
      </c>
      <c r="K275" t="str">
        <f>VLOOKUP(H275,metric_dict!A:B,2,0)</f>
        <v>Механики</v>
      </c>
      <c r="L275" t="str">
        <f>IF(VLOOKUP(H275,metric_dict!A:C,3,0)=0,"",VLOOKUP(H275,metric_dict!A:C,3,0))</f>
        <v/>
      </c>
      <c r="M275" t="str">
        <f>VLOOKUP(H275,metric_dict!A:AA,4,0)</f>
        <v>Реактивация оттекающих клиентов</v>
      </c>
      <c r="N275" t="str">
        <f>VLOOKUP(H275,metric_dict!A:AA,5,0)</f>
        <v>Проработать механики реактивации клиентов</v>
      </c>
      <c r="O275">
        <f>VLOOKUP(H275,metric_dict!A:AA,6,0)</f>
        <v>5</v>
      </c>
      <c r="P275" t="s">
        <v>256</v>
      </c>
      <c r="Q275">
        <f>VLOOKUP(H275,metric_dict!A:AA,7,0)</f>
        <v>4</v>
      </c>
    </row>
    <row r="276" spans="1:17" x14ac:dyDescent="0.2">
      <c r="A276">
        <v>38</v>
      </c>
      <c r="B276">
        <v>39</v>
      </c>
      <c r="C276">
        <v>38</v>
      </c>
      <c r="D276">
        <v>37</v>
      </c>
      <c r="E276" t="s">
        <v>251</v>
      </c>
      <c r="F276" t="s">
        <v>55</v>
      </c>
      <c r="G276">
        <v>1112</v>
      </c>
      <c r="H276" s="14" t="s">
        <v>262</v>
      </c>
      <c r="I276">
        <v>1</v>
      </c>
      <c r="J276">
        <v>1</v>
      </c>
      <c r="K276" t="str">
        <f>VLOOKUP(H276,metric_dict!A:B,2,0)</f>
        <v>Механики</v>
      </c>
      <c r="L276" t="str">
        <f>IF(VLOOKUP(H276,metric_dict!A:C,3,0)=0,"",VLOOKUP(H276,metric_dict!A:C,3,0))</f>
        <v/>
      </c>
      <c r="M276" t="str">
        <f>VLOOKUP(H276,metric_dict!A:AA,4,0)</f>
        <v>Работа с upsell-механикой уровней</v>
      </c>
      <c r="N276" t="str">
        <f>VLOOKUP(H276,metric_dict!A:AA,5,0)</f>
        <v>Проработать механики повышения уровня клиента</v>
      </c>
      <c r="O276">
        <f>VLOOKUP(H276,metric_dict!A:AA,6,0)</f>
        <v>5</v>
      </c>
      <c r="P276" t="s">
        <v>256</v>
      </c>
      <c r="Q276">
        <f>VLOOKUP(H276,metric_dict!A:AA,7,0)</f>
        <v>7</v>
      </c>
    </row>
    <row r="277" spans="1:17" x14ac:dyDescent="0.2">
      <c r="A277">
        <v>38</v>
      </c>
      <c r="B277">
        <v>39</v>
      </c>
      <c r="C277">
        <v>38</v>
      </c>
      <c r="D277">
        <v>37</v>
      </c>
      <c r="E277" t="s">
        <v>251</v>
      </c>
      <c r="F277" t="s">
        <v>55</v>
      </c>
      <c r="G277">
        <v>1113</v>
      </c>
      <c r="H277" s="14" t="s">
        <v>353</v>
      </c>
      <c r="I277">
        <v>1</v>
      </c>
      <c r="J277">
        <v>1</v>
      </c>
      <c r="K277" t="str">
        <f>VLOOKUP(H277,metric_dict!A:B,2,0)</f>
        <v>Механики</v>
      </c>
      <c r="L277" t="str">
        <f>IF(VLOOKUP(H277,metric_dict!A:C,3,0)=0,"",VLOOKUP(H277,metric_dict!A:C,3,0))</f>
        <v/>
      </c>
      <c r="M277" t="str">
        <f>VLOOKUP(H277,metric_dict!A:AA,4,0)</f>
        <v>Банковские предложения в момент изменения жизненного сценария</v>
      </c>
      <c r="N277" t="str">
        <f>VLOOKUP(H277,metric_dict!A:AA,5,0)</f>
        <v>Проработать механики реагирования на жизненные ситуации</v>
      </c>
      <c r="O277">
        <f>VLOOKUP(H277,metric_dict!A:AA,6,0)</f>
        <v>5</v>
      </c>
      <c r="P277" t="s">
        <v>256</v>
      </c>
      <c r="Q277">
        <f>VLOOKUP(H277,metric_dict!A:AA,7,0)</f>
        <v>5</v>
      </c>
    </row>
    <row r="278" spans="1:17" x14ac:dyDescent="0.2">
      <c r="A278">
        <v>38</v>
      </c>
      <c r="B278">
        <v>39</v>
      </c>
      <c r="C278">
        <v>38</v>
      </c>
      <c r="D278">
        <v>37</v>
      </c>
      <c r="E278" t="s">
        <v>251</v>
      </c>
      <c r="F278" t="s">
        <v>55</v>
      </c>
      <c r="G278">
        <v>500</v>
      </c>
      <c r="H278" t="s">
        <v>156</v>
      </c>
      <c r="I278">
        <v>0.25</v>
      </c>
      <c r="J278">
        <v>0.5</v>
      </c>
      <c r="K278" t="str">
        <f>VLOOKUP(H278,metric_dict!A:B,2,0)</f>
        <v>Механики</v>
      </c>
      <c r="L278" t="str">
        <f>IF(VLOOKUP(H278,metric_dict!A:C,3,0)=0,"",VLOOKUP(H278,metric_dict!A:C,3,0))</f>
        <v/>
      </c>
      <c r="M278" t="str">
        <f>VLOOKUP(H278,metric_dict!A:AA,4,0)</f>
        <v>Коммуникация + ценность</v>
      </c>
      <c r="N278" t="str">
        <f>VLOOKUP(H278,metric_dict!A:AA,5,0)</f>
        <v>Проработать механики удержания клиентов</v>
      </c>
      <c r="O278">
        <f>VLOOKUP(H278,metric_dict!A:AA,6,0)</f>
        <v>5</v>
      </c>
      <c r="P278" t="s">
        <v>256</v>
      </c>
      <c r="Q278">
        <f>VLOOKUP(H278,metric_dict!A:AA,7,0)</f>
        <v>6</v>
      </c>
    </row>
    <row r="279" spans="1:17" x14ac:dyDescent="0.2">
      <c r="A279">
        <v>38</v>
      </c>
      <c r="B279">
        <v>39</v>
      </c>
      <c r="C279">
        <v>38</v>
      </c>
      <c r="D279">
        <v>37</v>
      </c>
      <c r="E279" t="s">
        <v>251</v>
      </c>
      <c r="F279" t="s">
        <v>55</v>
      </c>
      <c r="G279">
        <v>501</v>
      </c>
      <c r="H279" t="s">
        <v>156</v>
      </c>
      <c r="I279">
        <v>0</v>
      </c>
      <c r="J279">
        <v>0</v>
      </c>
      <c r="K279" t="str">
        <f>VLOOKUP(H279,metric_dict!A:B,2,0)</f>
        <v>Механики</v>
      </c>
      <c r="L279" t="str">
        <f>IF(VLOOKUP(H279,metric_dict!A:C,3,0)=0,"",VLOOKUP(H279,metric_dict!A:C,3,0))</f>
        <v/>
      </c>
      <c r="M279" t="str">
        <f>VLOOKUP(H279,metric_dict!A:AA,4,0)</f>
        <v>Коммуникация + ценность</v>
      </c>
      <c r="N279" t="str">
        <f>VLOOKUP(H279,metric_dict!A:AA,5,0)</f>
        <v>Проработать механики удержания клиентов</v>
      </c>
      <c r="O279">
        <f>VLOOKUP(H279,metric_dict!A:AA,6,0)</f>
        <v>5</v>
      </c>
      <c r="P279" t="s">
        <v>256</v>
      </c>
      <c r="Q279">
        <f>VLOOKUP(H279,metric_dict!A:AA,7,0)</f>
        <v>6</v>
      </c>
    </row>
    <row r="280" spans="1:17" x14ac:dyDescent="0.2">
      <c r="A280">
        <v>38</v>
      </c>
      <c r="B280">
        <v>39</v>
      </c>
      <c r="C280">
        <v>38</v>
      </c>
      <c r="D280">
        <v>37</v>
      </c>
      <c r="E280" t="s">
        <v>251</v>
      </c>
      <c r="F280" t="s">
        <v>55</v>
      </c>
      <c r="G280">
        <v>502</v>
      </c>
      <c r="H280" t="s">
        <v>156</v>
      </c>
      <c r="I280">
        <v>0</v>
      </c>
      <c r="J280">
        <v>0</v>
      </c>
      <c r="K280" t="str">
        <f>VLOOKUP(H280,metric_dict!A:B,2,0)</f>
        <v>Механики</v>
      </c>
      <c r="L280" t="str">
        <f>IF(VLOOKUP(H280,metric_dict!A:C,3,0)=0,"",VLOOKUP(H280,metric_dict!A:C,3,0))</f>
        <v/>
      </c>
      <c r="M280" t="str">
        <f>VLOOKUP(H280,metric_dict!A:AA,4,0)</f>
        <v>Коммуникация + ценность</v>
      </c>
      <c r="N280" t="str">
        <f>VLOOKUP(H280,metric_dict!A:AA,5,0)</f>
        <v>Проработать механики удержания клиентов</v>
      </c>
      <c r="O280">
        <f>VLOOKUP(H280,metric_dict!A:AA,6,0)</f>
        <v>5</v>
      </c>
      <c r="P280" t="s">
        <v>256</v>
      </c>
      <c r="Q280">
        <f>VLOOKUP(H280,metric_dict!A:AA,7,0)</f>
        <v>6</v>
      </c>
    </row>
    <row r="281" spans="1:17" x14ac:dyDescent="0.2">
      <c r="A281">
        <v>38</v>
      </c>
      <c r="B281">
        <v>39</v>
      </c>
      <c r="C281">
        <v>38</v>
      </c>
      <c r="D281">
        <v>37</v>
      </c>
      <c r="E281" t="s">
        <v>251</v>
      </c>
      <c r="F281" t="s">
        <v>55</v>
      </c>
      <c r="G281">
        <v>504</v>
      </c>
      <c r="H281" t="s">
        <v>262</v>
      </c>
      <c r="I281">
        <v>0</v>
      </c>
      <c r="J281">
        <v>0</v>
      </c>
      <c r="K281" t="str">
        <f>VLOOKUP(H281,metric_dict!A:B,2,0)</f>
        <v>Механики</v>
      </c>
      <c r="L281" t="str">
        <f>IF(VLOOKUP(H281,metric_dict!A:C,3,0)=0,"",VLOOKUP(H281,metric_dict!A:C,3,0))</f>
        <v/>
      </c>
      <c r="M281" t="str">
        <f>VLOOKUP(H281,metric_dict!A:AA,4,0)</f>
        <v>Работа с upsell-механикой уровней</v>
      </c>
      <c r="N281" t="str">
        <f>VLOOKUP(H281,metric_dict!A:AA,5,0)</f>
        <v>Проработать механики повышения уровня клиента</v>
      </c>
      <c r="O281">
        <f>VLOOKUP(H281,metric_dict!A:AA,6,0)</f>
        <v>5</v>
      </c>
      <c r="P281" t="s">
        <v>256</v>
      </c>
      <c r="Q281">
        <f>VLOOKUP(H281,metric_dict!A:AA,7,0)</f>
        <v>7</v>
      </c>
    </row>
    <row r="282" spans="1:17" x14ac:dyDescent="0.2">
      <c r="A282">
        <v>38</v>
      </c>
      <c r="B282">
        <v>39</v>
      </c>
      <c r="C282">
        <v>38</v>
      </c>
      <c r="D282">
        <v>37</v>
      </c>
      <c r="E282" t="s">
        <v>251</v>
      </c>
      <c r="F282" t="s">
        <v>55</v>
      </c>
      <c r="G282">
        <v>505</v>
      </c>
      <c r="H282" t="s">
        <v>262</v>
      </c>
      <c r="I282">
        <v>0.5</v>
      </c>
      <c r="J282">
        <v>1</v>
      </c>
      <c r="K282" t="str">
        <f>VLOOKUP(H282,metric_dict!A:B,2,0)</f>
        <v>Механики</v>
      </c>
      <c r="L282" t="str">
        <f>IF(VLOOKUP(H282,metric_dict!A:C,3,0)=0,"",VLOOKUP(H282,metric_dict!A:C,3,0))</f>
        <v/>
      </c>
      <c r="M282" t="str">
        <f>VLOOKUP(H282,metric_dict!A:AA,4,0)</f>
        <v>Работа с upsell-механикой уровней</v>
      </c>
      <c r="N282" t="str">
        <f>VLOOKUP(H282,metric_dict!A:AA,5,0)</f>
        <v>Проработать механики повышения уровня клиента</v>
      </c>
      <c r="O282">
        <f>VLOOKUP(H282,metric_dict!A:AA,6,0)</f>
        <v>5</v>
      </c>
      <c r="P282" t="s">
        <v>256</v>
      </c>
      <c r="Q282">
        <f>VLOOKUP(H282,metric_dict!A:AA,7,0)</f>
        <v>7</v>
      </c>
    </row>
    <row r="283" spans="1:17" x14ac:dyDescent="0.2">
      <c r="A283">
        <v>38</v>
      </c>
      <c r="B283">
        <v>39</v>
      </c>
      <c r="C283">
        <v>38</v>
      </c>
      <c r="D283">
        <v>37</v>
      </c>
      <c r="E283" t="s">
        <v>251</v>
      </c>
      <c r="F283" t="s">
        <v>55</v>
      </c>
      <c r="G283">
        <v>225</v>
      </c>
      <c r="H283" t="s">
        <v>265</v>
      </c>
      <c r="I283">
        <v>0.25</v>
      </c>
      <c r="J283">
        <v>0.25</v>
      </c>
      <c r="K283" t="str">
        <f>VLOOKUP(H283,metric_dict!A:B,2,0)</f>
        <v>Механики</v>
      </c>
      <c r="L283" t="str">
        <f>IF(VLOOKUP(H283,metric_dict!A:C,3,0)=0,"",VLOOKUP(H283,metric_dict!A:C,3,0))</f>
        <v/>
      </c>
      <c r="M283" t="str">
        <f>VLOOKUP(H283,metric_dict!A:AA,4,0)</f>
        <v>Настроен по ключевым механикам работы с клиентской базой</v>
      </c>
      <c r="N283" t="str">
        <f>VLOOKUP(H283,metric_dict!A:AA,5,0)</f>
        <v>Настроить мониторинг по ключевым механикам</v>
      </c>
      <c r="O283">
        <f>VLOOKUP(H283,metric_dict!A:AA,6,0)</f>
        <v>2</v>
      </c>
      <c r="P283" t="s">
        <v>256</v>
      </c>
      <c r="Q283">
        <f>VLOOKUP(H283,metric_dict!A:AA,7,0)</f>
        <v>22</v>
      </c>
    </row>
    <row r="284" spans="1:17" x14ac:dyDescent="0.2">
      <c r="A284">
        <v>38</v>
      </c>
      <c r="B284">
        <v>39</v>
      </c>
      <c r="C284">
        <v>38</v>
      </c>
      <c r="D284">
        <v>37</v>
      </c>
      <c r="E284" t="s">
        <v>251</v>
      </c>
      <c r="F284" t="s">
        <v>55</v>
      </c>
      <c r="G284">
        <v>35</v>
      </c>
      <c r="H284" t="s">
        <v>165</v>
      </c>
      <c r="I284">
        <v>0</v>
      </c>
      <c r="J284">
        <v>1</v>
      </c>
      <c r="K284" t="str">
        <f>VLOOKUP(H284,metric_dict!A:B,2,0)</f>
        <v>Гипотезы и инициативы</v>
      </c>
      <c r="L284" t="str">
        <f>IF(VLOOKUP(H284,metric_dict!A:C,3,0)=0,"",VLOOKUP(H284,metric_dict!A:C,3,0))</f>
        <v/>
      </c>
      <c r="M284" t="str">
        <f>VLOOKUP(H284,metric_dict!A:AA,4,0)</f>
        <v>Доля исследовательских задач DA</v>
      </c>
      <c r="N284" t="str">
        <f>VLOOKUP(H284,metric_dict!A:AA,5,0)</f>
        <v>Сфокусировать бэклог аналитиков на research-задачи</v>
      </c>
      <c r="O284">
        <f>VLOOKUP(H284,metric_dict!A:AA,6,0)</f>
        <v>5</v>
      </c>
      <c r="P284" t="s">
        <v>256</v>
      </c>
      <c r="Q284">
        <f>VLOOKUP(H284,metric_dict!A:AA,7,0)</f>
        <v>1</v>
      </c>
    </row>
    <row r="285" spans="1:17" x14ac:dyDescent="0.2">
      <c r="A285">
        <v>38</v>
      </c>
      <c r="B285">
        <v>39</v>
      </c>
      <c r="C285">
        <v>38</v>
      </c>
      <c r="D285">
        <v>37</v>
      </c>
      <c r="E285" t="s">
        <v>251</v>
      </c>
      <c r="F285" t="s">
        <v>55</v>
      </c>
      <c r="G285">
        <v>44</v>
      </c>
      <c r="H285" t="s">
        <v>182</v>
      </c>
      <c r="I285">
        <v>0</v>
      </c>
      <c r="J285">
        <v>1</v>
      </c>
      <c r="K285" t="str">
        <f>VLOOKUP(H285,metric_dict!A:B,2,0)</f>
        <v>Гипотезы и инициативы</v>
      </c>
      <c r="L285" t="str">
        <f>IF(VLOOKUP(H285,metric_dict!A:C,3,0)=0,"",VLOOKUP(H285,metric_dict!A:C,3,0))</f>
        <v/>
      </c>
      <c r="M285" t="str">
        <f>VLOOKUP(H285,metric_dict!A:AA,4,0)</f>
        <v>Средняя оценка проведенных исследований</v>
      </c>
      <c r="N285" t="str">
        <f>VLOOKUP(H285,metric_dict!A:AA,5,0)</f>
        <v>Повысить качество проведенных исследований</v>
      </c>
      <c r="O285">
        <f>VLOOKUP(H285,metric_dict!A:AA,6,0)</f>
        <v>5</v>
      </c>
      <c r="P285" t="s">
        <v>256</v>
      </c>
      <c r="Q285">
        <f>VLOOKUP(H285,metric_dict!A:AA,7,0)</f>
        <v>2</v>
      </c>
    </row>
    <row r="286" spans="1:17" x14ac:dyDescent="0.2">
      <c r="A286">
        <v>43</v>
      </c>
      <c r="B286">
        <v>44</v>
      </c>
      <c r="C286">
        <v>43</v>
      </c>
      <c r="D286">
        <v>42</v>
      </c>
      <c r="E286" t="s">
        <v>251</v>
      </c>
      <c r="F286" t="s">
        <v>56</v>
      </c>
      <c r="G286">
        <v>99</v>
      </c>
      <c r="H286" t="s">
        <v>330</v>
      </c>
      <c r="I286">
        <v>0.25</v>
      </c>
      <c r="J286">
        <v>0.25</v>
      </c>
      <c r="K286" t="str">
        <f>VLOOKUP(H286,metric_dict!A:B,2,0)</f>
        <v>Знание ключевых метрик</v>
      </c>
      <c r="L286" t="str">
        <f>IF(VLOOKUP(H286,metric_dict!A:C,3,0)=0,"",VLOOKUP(H286,metric_dict!A:C,3,0))</f>
        <v/>
      </c>
      <c r="M286" t="str">
        <f>VLOOKUP(H286,metric_dict!A:AA,4,0)</f>
        <v>Знание значения метрики активной клиентской базы</v>
      </c>
      <c r="N286" t="str">
        <f>VLOOKUP(H286,metric_dict!A:AA,5,0)</f>
        <v>Знание метрик и инструментов</v>
      </c>
      <c r="O286">
        <f>VLOOKUP(H286,metric_dict!A:AA,6,0)</f>
        <v>1</v>
      </c>
      <c r="P286" t="s">
        <v>256</v>
      </c>
      <c r="Q286">
        <f>VLOOKUP(H286,metric_dict!A:AA,7,0)</f>
        <v>5</v>
      </c>
    </row>
    <row r="287" spans="1:17" x14ac:dyDescent="0.2">
      <c r="A287">
        <v>43</v>
      </c>
      <c r="B287">
        <v>44</v>
      </c>
      <c r="C287">
        <v>43</v>
      </c>
      <c r="D287">
        <v>42</v>
      </c>
      <c r="E287" t="s">
        <v>251</v>
      </c>
      <c r="F287" t="s">
        <v>56</v>
      </c>
      <c r="G287">
        <v>98</v>
      </c>
      <c r="H287" t="s">
        <v>331</v>
      </c>
      <c r="I287">
        <v>0.25</v>
      </c>
      <c r="J287">
        <v>0.25</v>
      </c>
      <c r="K287" t="str">
        <f>VLOOKUP(H287,metric_dict!A:B,2,0)</f>
        <v>Знание ключевых метрик</v>
      </c>
      <c r="L287" t="str">
        <f>IF(VLOOKUP(H287,metric_dict!A:C,3,0)=0,"",VLOOKUP(H287,metric_dict!A:C,3,0))</f>
        <v/>
      </c>
      <c r="M287" t="str">
        <f>VLOOKUP(H287,metric_dict!A:AA,4,0)</f>
        <v>Знание метрики Major</v>
      </c>
      <c r="N287" t="str">
        <f>VLOOKUP(H287,metric_dict!A:AA,5,0)</f>
        <v>Знание метрик и инструментов</v>
      </c>
      <c r="O287">
        <f>VLOOKUP(H287,metric_dict!A:AA,6,0)</f>
        <v>1</v>
      </c>
      <c r="P287" t="s">
        <v>256</v>
      </c>
      <c r="Q287">
        <f>VLOOKUP(H287,metric_dict!A:AA,7,0)</f>
        <v>6</v>
      </c>
    </row>
    <row r="288" spans="1:17" x14ac:dyDescent="0.2">
      <c r="A288">
        <v>43</v>
      </c>
      <c r="B288">
        <v>44</v>
      </c>
      <c r="C288">
        <v>43</v>
      </c>
      <c r="D288">
        <v>42</v>
      </c>
      <c r="E288" t="s">
        <v>251</v>
      </c>
      <c r="F288" t="s">
        <v>56</v>
      </c>
      <c r="G288">
        <v>97</v>
      </c>
      <c r="H288" t="s">
        <v>332</v>
      </c>
      <c r="I288">
        <v>0.25</v>
      </c>
      <c r="J288">
        <v>0.25</v>
      </c>
      <c r="K288" t="str">
        <f>VLOOKUP(H288,metric_dict!A:B,2,0)</f>
        <v>Знание ключевых метрик</v>
      </c>
      <c r="L288" t="str">
        <f>IF(VLOOKUP(H288,metric_dict!A:C,3,0)=0,"",VLOOKUP(H288,metric_dict!A:C,3,0))</f>
        <v/>
      </c>
      <c r="M288" t="str">
        <f>VLOOKUP(H288,metric_dict!A:AA,4,0)</f>
        <v>Знание метрики кол-во клиентов с 2+ нефин.сервисов</v>
      </c>
      <c r="N288" t="str">
        <f>VLOOKUP(H288,metric_dict!A:AA,5,0)</f>
        <v>Знание метрик и инструментов</v>
      </c>
      <c r="O288">
        <f>VLOOKUP(H288,metric_dict!A:AA,6,0)</f>
        <v>1</v>
      </c>
      <c r="P288" t="s">
        <v>256</v>
      </c>
      <c r="Q288">
        <f>VLOOKUP(H288,metric_dict!A:AA,7,0)</f>
        <v>7</v>
      </c>
    </row>
    <row r="289" spans="1:17" x14ac:dyDescent="0.2">
      <c r="A289">
        <v>43</v>
      </c>
      <c r="B289">
        <v>44</v>
      </c>
      <c r="C289">
        <v>43</v>
      </c>
      <c r="D289">
        <v>42</v>
      </c>
      <c r="E289" t="s">
        <v>251</v>
      </c>
      <c r="F289" t="s">
        <v>56</v>
      </c>
      <c r="G289">
        <v>90</v>
      </c>
      <c r="H289" t="s">
        <v>338</v>
      </c>
      <c r="I289">
        <v>0.125</v>
      </c>
      <c r="J289">
        <v>0.25</v>
      </c>
      <c r="K289" t="str">
        <f>VLOOKUP(H289,metric_dict!A:B,2,0)</f>
        <v>Знание ключевых метрик</v>
      </c>
      <c r="L289" t="str">
        <f>IF(VLOOKUP(H289,metric_dict!A:C,3,0)=0,"",VLOOKUP(H289,metric_dict!A:C,3,0))</f>
        <v/>
      </c>
      <c r="M289" t="str">
        <f>VLOOKUP(H289,metric_dict!A:AA,4,0)</f>
        <v>Знание метрики среднего дохода на 1 клиента</v>
      </c>
      <c r="N289" t="str">
        <f>VLOOKUP(H289,metric_dict!A:AA,5,0)</f>
        <v>Знание метрик и инструментов</v>
      </c>
      <c r="O289">
        <f>VLOOKUP(H289,metric_dict!A:AA,6,0)</f>
        <v>1</v>
      </c>
      <c r="P289" t="s">
        <v>256</v>
      </c>
      <c r="Q289">
        <f>VLOOKUP(H289,metric_dict!A:AA,7,0)</f>
        <v>11</v>
      </c>
    </row>
    <row r="290" spans="1:17" x14ac:dyDescent="0.2">
      <c r="A290">
        <v>43</v>
      </c>
      <c r="B290">
        <v>44</v>
      </c>
      <c r="C290">
        <v>43</v>
      </c>
      <c r="D290">
        <v>42</v>
      </c>
      <c r="E290" t="s">
        <v>251</v>
      </c>
      <c r="F290" t="s">
        <v>56</v>
      </c>
      <c r="G290">
        <v>2</v>
      </c>
      <c r="H290" t="s">
        <v>98</v>
      </c>
      <c r="I290">
        <v>0.5</v>
      </c>
      <c r="J290">
        <v>0.5</v>
      </c>
      <c r="K290" t="str">
        <f>VLOOKUP(H290,metric_dict!A:B,2,0)</f>
        <v>Знание ключевых метрик</v>
      </c>
      <c r="L290" t="str">
        <f>IF(VLOOKUP(H290,metric_dict!A:C,3,0)=0,"",VLOOKUP(H290,metric_dict!A:C,3,0))</f>
        <v/>
      </c>
      <c r="M290" t="str">
        <f>VLOOKUP(H290,metric_dict!A:AA,4,0)</f>
        <v>Понимание доступной отчетности и регулярного мониторинга</v>
      </c>
      <c r="N290" t="str">
        <f>VLOOKUP(H290,metric_dict!A:AA,5,0)</f>
        <v>Знание метрик и инструментов</v>
      </c>
      <c r="O290">
        <f>VLOOKUP(H290,metric_dict!A:AA,6,0)</f>
        <v>1</v>
      </c>
      <c r="P290" t="s">
        <v>256</v>
      </c>
      <c r="Q290">
        <f>VLOOKUP(H290,metric_dict!A:AA,7,0)</f>
        <v>13</v>
      </c>
    </row>
    <row r="291" spans="1:17" x14ac:dyDescent="0.2">
      <c r="A291">
        <v>43</v>
      </c>
      <c r="B291">
        <v>44</v>
      </c>
      <c r="C291">
        <v>43</v>
      </c>
      <c r="D291">
        <v>42</v>
      </c>
      <c r="E291" t="s">
        <v>251</v>
      </c>
      <c r="F291" t="s">
        <v>56</v>
      </c>
      <c r="G291">
        <v>3</v>
      </c>
      <c r="H291" t="s">
        <v>100</v>
      </c>
      <c r="I291">
        <v>1</v>
      </c>
      <c r="J291">
        <v>1</v>
      </c>
      <c r="K291" t="str">
        <f>VLOOKUP(H291,metric_dict!A:B,2,0)</f>
        <v>Цели</v>
      </c>
      <c r="L291" t="str">
        <f>IF(VLOOKUP(H291,metric_dict!A:C,3,0)=0,"",VLOOKUP(H291,metric_dict!A:C,3,0))</f>
        <v/>
      </c>
      <c r="M291" t="str">
        <f>VLOOKUP(H291,metric_dict!A:AA,4,0)</f>
        <v>Регулярное обновление в Навигаторе</v>
      </c>
      <c r="N291" t="str">
        <f>VLOOKUP(H291,metric_dict!A:AA,5,0)</f>
        <v>Обогащение целей/драйверов/прогнозов в Навигаторе</v>
      </c>
      <c r="O291">
        <f>VLOOKUP(H291,metric_dict!A:AA,6,0)</f>
        <v>2</v>
      </c>
      <c r="P291" t="s">
        <v>256</v>
      </c>
      <c r="Q291">
        <f>VLOOKUP(H291,metric_dict!A:AA,7,0)</f>
        <v>1</v>
      </c>
    </row>
    <row r="292" spans="1:17" x14ac:dyDescent="0.2">
      <c r="A292">
        <v>43</v>
      </c>
      <c r="B292">
        <v>44</v>
      </c>
      <c r="C292">
        <v>43</v>
      </c>
      <c r="D292">
        <v>42</v>
      </c>
      <c r="E292" t="s">
        <v>251</v>
      </c>
      <c r="F292" t="s">
        <v>56</v>
      </c>
      <c r="G292">
        <v>4</v>
      </c>
      <c r="H292" t="s">
        <v>104</v>
      </c>
      <c r="I292">
        <v>0.5</v>
      </c>
      <c r="J292">
        <v>1</v>
      </c>
      <c r="K292" t="str">
        <f>VLOOKUP(H292,metric_dict!A:B,2,0)</f>
        <v>Цели</v>
      </c>
      <c r="L292" t="str">
        <f>IF(VLOOKUP(H292,metric_dict!A:C,3,0)=0,"",VLOOKUP(H292,metric_dict!A:C,3,0))</f>
        <v/>
      </c>
      <c r="M292" t="str">
        <f>VLOOKUP(H292,metric_dict!A:AA,4,0)</f>
        <v>Согласно модели бизнес-процесса</v>
      </c>
      <c r="N292" t="str">
        <f>VLOOKUP(H292,metric_dict!A:AA,5,0)</f>
        <v>Декомпозировать значения целей на драйверы</v>
      </c>
      <c r="O292">
        <f>VLOOKUP(H292,metric_dict!A:AA,6,0)</f>
        <v>7</v>
      </c>
      <c r="P292" t="s">
        <v>256</v>
      </c>
      <c r="Q292">
        <f>VLOOKUP(H292,metric_dict!A:AA,7,0)</f>
        <v>2</v>
      </c>
    </row>
    <row r="293" spans="1:17" x14ac:dyDescent="0.2">
      <c r="A293">
        <v>43</v>
      </c>
      <c r="B293">
        <v>44</v>
      </c>
      <c r="C293">
        <v>43</v>
      </c>
      <c r="D293">
        <v>42</v>
      </c>
      <c r="E293" t="s">
        <v>251</v>
      </c>
      <c r="F293" t="s">
        <v>56</v>
      </c>
      <c r="G293">
        <v>5</v>
      </c>
      <c r="H293" t="s">
        <v>108</v>
      </c>
      <c r="I293">
        <v>0</v>
      </c>
      <c r="J293">
        <v>1</v>
      </c>
      <c r="K293" t="str">
        <f>VLOOKUP(H293,metric_dict!A:B,2,0)</f>
        <v>Цели</v>
      </c>
      <c r="L293" t="str">
        <f>IF(VLOOKUP(H293,metric_dict!A:C,3,0)=0,"",VLOOKUP(H293,metric_dict!A:C,3,0))</f>
        <v/>
      </c>
      <c r="M293" t="str">
        <f>VLOOKUP(H293,metric_dict!A:AA,4,0)</f>
        <v>Прогноз выведен в Навигатор</v>
      </c>
      <c r="N293" t="str">
        <f>VLOOKUP(H293,metric_dict!A:AA,5,0)</f>
        <v>Сформировать прогнозные значения по целям</v>
      </c>
      <c r="O293">
        <f>VLOOKUP(H293,metric_dict!A:AA,6,0)</f>
        <v>8</v>
      </c>
      <c r="P293" t="s">
        <v>256</v>
      </c>
      <c r="Q293">
        <f>VLOOKUP(H293,metric_dict!A:AA,7,0)</f>
        <v>3</v>
      </c>
    </row>
    <row r="294" spans="1:17" x14ac:dyDescent="0.2">
      <c r="A294">
        <v>43</v>
      </c>
      <c r="B294">
        <v>44</v>
      </c>
      <c r="C294">
        <v>43</v>
      </c>
      <c r="D294">
        <v>42</v>
      </c>
      <c r="E294" t="s">
        <v>251</v>
      </c>
      <c r="F294" t="s">
        <v>56</v>
      </c>
      <c r="G294">
        <v>9</v>
      </c>
      <c r="H294" t="s">
        <v>111</v>
      </c>
      <c r="I294">
        <v>0.25</v>
      </c>
      <c r="J294">
        <v>0.5</v>
      </c>
      <c r="K294" t="str">
        <f>VLOOKUP(H294,metric_dict!A:B,2,0)</f>
        <v>Воронка привлечения</v>
      </c>
      <c r="L294" t="str">
        <f>IF(VLOOKUP(H294,metric_dict!A:C,3,0)=0,"",VLOOKUP(H294,metric_dict!A:C,3,0))</f>
        <v>Отчетность</v>
      </c>
      <c r="M294" t="str">
        <f>VLOOKUP(H294,metric_dict!A:AA,4,0)</f>
        <v>Настроена по воронке</v>
      </c>
      <c r="N294" t="str">
        <f>VLOOKUP(H294,metric_dict!A:AA,5,0)</f>
        <v>Настроить мониторинг по воронке привлечения</v>
      </c>
      <c r="O294">
        <f>VLOOKUP(H294,metric_dict!A:AA,6,0)</f>
        <v>2</v>
      </c>
      <c r="P294" t="s">
        <v>256</v>
      </c>
      <c r="Q294">
        <f>VLOOKUP(H294,metric_dict!A:AA,7,0)</f>
        <v>1</v>
      </c>
    </row>
    <row r="295" spans="1:17" x14ac:dyDescent="0.2">
      <c r="A295">
        <v>43</v>
      </c>
      <c r="B295">
        <v>44</v>
      </c>
      <c r="C295">
        <v>43</v>
      </c>
      <c r="D295">
        <v>42</v>
      </c>
      <c r="E295" t="s">
        <v>251</v>
      </c>
      <c r="F295" t="s">
        <v>56</v>
      </c>
      <c r="G295">
        <v>10</v>
      </c>
      <c r="H295" t="s">
        <v>115</v>
      </c>
      <c r="I295">
        <v>0.25</v>
      </c>
      <c r="J295">
        <v>0.5</v>
      </c>
      <c r="K295" t="str">
        <f>VLOOKUP(H295,metric_dict!A:B,2,0)</f>
        <v>Воронка привлечения</v>
      </c>
      <c r="L295" t="str">
        <f>IF(VLOOKUP(H295,metric_dict!A:C,3,0)=0,"",VLOOKUP(H295,metric_dict!A:C,3,0))</f>
        <v>Отчетность</v>
      </c>
      <c r="M295" t="str">
        <f>VLOOKUP(H295,metric_dict!A:AA,4,0)</f>
        <v>Источники, CR, объёмы, сегменты</v>
      </c>
      <c r="N295" t="str">
        <f>VLOOKUP(H295,metric_dict!A:AA,5,0)</f>
        <v>Донасытить метриками мониторинг по воронке привлечения</v>
      </c>
      <c r="O295">
        <f>VLOOKUP(H295,metric_dict!A:AA,6,0)</f>
        <v>3</v>
      </c>
      <c r="P295" t="s">
        <v>256</v>
      </c>
      <c r="Q295">
        <f>VLOOKUP(H295,metric_dict!A:AA,7,0)</f>
        <v>2</v>
      </c>
    </row>
    <row r="296" spans="1:17" x14ac:dyDescent="0.2">
      <c r="A296">
        <v>43</v>
      </c>
      <c r="B296">
        <v>44</v>
      </c>
      <c r="C296">
        <v>43</v>
      </c>
      <c r="D296">
        <v>42</v>
      </c>
      <c r="E296" t="s">
        <v>251</v>
      </c>
      <c r="F296" t="s">
        <v>56</v>
      </c>
      <c r="G296">
        <v>12</v>
      </c>
      <c r="H296" t="s">
        <v>121</v>
      </c>
      <c r="I296">
        <v>0</v>
      </c>
      <c r="J296">
        <v>0.5</v>
      </c>
      <c r="K296" t="str">
        <f>VLOOKUP(H296,metric_dict!A:B,2,0)</f>
        <v>Воронка оттока</v>
      </c>
      <c r="L296" t="str">
        <f>IF(VLOOKUP(H296,metric_dict!A:C,3,0)=0,"",VLOOKUP(H296,metric_dict!A:C,3,0))</f>
        <v>Отчетность</v>
      </c>
      <c r="M296" t="str">
        <f>VLOOKUP(H296,metric_dict!A:AA,4,0)</f>
        <v>Настроена по воронке</v>
      </c>
      <c r="N296" t="str">
        <f>VLOOKUP(H296,metric_dict!A:AA,5,0)</f>
        <v>Настроить мониторинг по воронке оттока</v>
      </c>
      <c r="O296">
        <f>VLOOKUP(H296,metric_dict!A:AA,6,0)</f>
        <v>2</v>
      </c>
      <c r="P296" t="s">
        <v>256</v>
      </c>
      <c r="Q296">
        <f>VLOOKUP(H296,metric_dict!A:AA,7,0)</f>
        <v>1</v>
      </c>
    </row>
    <row r="297" spans="1:17" x14ac:dyDescent="0.2">
      <c r="A297">
        <v>43</v>
      </c>
      <c r="B297">
        <v>44</v>
      </c>
      <c r="C297">
        <v>43</v>
      </c>
      <c r="D297">
        <v>42</v>
      </c>
      <c r="E297" t="s">
        <v>251</v>
      </c>
      <c r="F297" t="s">
        <v>56</v>
      </c>
      <c r="G297">
        <v>13</v>
      </c>
      <c r="H297" t="s">
        <v>124</v>
      </c>
      <c r="I297">
        <v>0</v>
      </c>
      <c r="J297">
        <v>0.5</v>
      </c>
      <c r="K297" t="str">
        <f>VLOOKUP(H297,metric_dict!A:B,2,0)</f>
        <v>Воронка оттока</v>
      </c>
      <c r="L297" t="str">
        <f>IF(VLOOKUP(H297,metric_dict!A:C,3,0)=0,"",VLOOKUP(H297,metric_dict!A:C,3,0))</f>
        <v>Отчетность</v>
      </c>
      <c r="M297" t="str">
        <f>VLOOKUP(H297,metric_dict!A:AA,4,0)</f>
        <v>Retention, CR, удержание</v>
      </c>
      <c r="N297" t="str">
        <f>VLOOKUP(H297,metric_dict!A:AA,5,0)</f>
        <v>Донасытить метриками мониторинг по воронке оттока</v>
      </c>
      <c r="O297">
        <f>VLOOKUP(H297,metric_dict!A:AA,6,0)</f>
        <v>3</v>
      </c>
      <c r="P297" t="s">
        <v>256</v>
      </c>
      <c r="Q297">
        <f>VLOOKUP(H297,metric_dict!A:AA,7,0)</f>
        <v>2</v>
      </c>
    </row>
    <row r="298" spans="1:17" x14ac:dyDescent="0.2">
      <c r="A298">
        <v>43</v>
      </c>
      <c r="B298">
        <v>44</v>
      </c>
      <c r="C298">
        <v>43</v>
      </c>
      <c r="D298">
        <v>42</v>
      </c>
      <c r="E298" t="s">
        <v>251</v>
      </c>
      <c r="F298" t="s">
        <v>56</v>
      </c>
      <c r="G298">
        <v>15</v>
      </c>
      <c r="H298" t="s">
        <v>129</v>
      </c>
      <c r="I298">
        <v>0</v>
      </c>
      <c r="J298">
        <v>1</v>
      </c>
      <c r="K298" t="str">
        <f>VLOOKUP(H298,metric_dict!A:B,2,0)</f>
        <v>BENCHMARKS</v>
      </c>
      <c r="L298" t="str">
        <f>IF(VLOOKUP(H298,metric_dict!A:C,3,0)=0,"",VLOOKUP(H298,metric_dict!A:C,3,0))</f>
        <v/>
      </c>
      <c r="M298" t="str">
        <f>VLOOKUP(H298,metric_dict!A:AA,4,0)</f>
        <v>Цели / динамика / рынок</v>
      </c>
      <c r="N298" t="str">
        <f>VLOOKUP(H298,metric_dict!A:AA,5,0)</f>
        <v>Сформировать бенчмарки по продуктовым метрикам</v>
      </c>
      <c r="O298">
        <f>VLOOKUP(H298,metric_dict!A:AA,6,0)</f>
        <v>5</v>
      </c>
      <c r="P298" t="s">
        <v>256</v>
      </c>
      <c r="Q298">
        <f>VLOOKUP(H298,metric_dict!A:AA,7,0)</f>
        <v>6</v>
      </c>
    </row>
    <row r="299" spans="1:17" x14ac:dyDescent="0.2">
      <c r="A299">
        <v>43</v>
      </c>
      <c r="B299">
        <v>44</v>
      </c>
      <c r="C299">
        <v>43</v>
      </c>
      <c r="D299">
        <v>42</v>
      </c>
      <c r="E299" t="s">
        <v>251</v>
      </c>
      <c r="F299" t="s">
        <v>56</v>
      </c>
      <c r="G299">
        <v>17</v>
      </c>
      <c r="H299" t="s">
        <v>134</v>
      </c>
      <c r="I299">
        <v>0.5</v>
      </c>
      <c r="J299">
        <v>1</v>
      </c>
      <c r="K299" t="str">
        <f>VLOOKUP(H299,metric_dict!A:B,2,0)</f>
        <v>Воронка привлечения</v>
      </c>
      <c r="L299" t="str">
        <f>IF(VLOOKUP(H299,metric_dict!A:C,3,0)=0,"",VLOOKUP(H299,metric_dict!A:C,3,0))</f>
        <v/>
      </c>
      <c r="M299" t="str">
        <f>VLOOKUP(H299,metric_dict!A:AA,4,0)</f>
        <v>Оценка эффективности, поиск точек роста</v>
      </c>
      <c r="N299" t="str">
        <f>VLOOKUP(H299,metric_dict!A:AA,5,0)</f>
        <v>Провести анализ привлечения, выявить точки роста</v>
      </c>
      <c r="O299">
        <f>VLOOKUP(H299,metric_dict!A:AA,6,0)</f>
        <v>5</v>
      </c>
      <c r="P299" t="s">
        <v>256</v>
      </c>
      <c r="Q299">
        <f>VLOOKUP(H299,metric_dict!A:AA,7,0)</f>
        <v>4</v>
      </c>
    </row>
    <row r="300" spans="1:17" x14ac:dyDescent="0.2">
      <c r="A300">
        <v>43</v>
      </c>
      <c r="B300">
        <v>44</v>
      </c>
      <c r="C300">
        <v>43</v>
      </c>
      <c r="D300">
        <v>42</v>
      </c>
      <c r="E300" t="s">
        <v>251</v>
      </c>
      <c r="F300" t="s">
        <v>56</v>
      </c>
      <c r="G300">
        <v>18</v>
      </c>
      <c r="H300" t="s">
        <v>137</v>
      </c>
      <c r="I300">
        <v>1</v>
      </c>
      <c r="J300">
        <v>1</v>
      </c>
      <c r="K300" t="str">
        <f>VLOOKUP(H300,metric_dict!A:B,2,0)</f>
        <v>Воронка привлечения</v>
      </c>
      <c r="L300" t="str">
        <f>IF(VLOOKUP(H300,metric_dict!A:C,3,0)=0,"",VLOOKUP(H300,metric_dict!A:C,3,0))</f>
        <v/>
      </c>
      <c r="M300" t="str">
        <f>VLOOKUP(H300,metric_dict!A:AA,4,0)</f>
        <v>План действий по росту</v>
      </c>
      <c r="N300" t="str">
        <f>VLOOKUP(H300,metric_dict!A:AA,5,0)</f>
        <v>Сформировать перечень инициатив</v>
      </c>
      <c r="O300">
        <f>VLOOKUP(H300,metric_dict!A:AA,6,0)</f>
        <v>5</v>
      </c>
      <c r="P300" t="s">
        <v>256</v>
      </c>
      <c r="Q300">
        <f>VLOOKUP(H300,metric_dict!A:AA,7,0)</f>
        <v>5</v>
      </c>
    </row>
    <row r="301" spans="1:17" x14ac:dyDescent="0.2">
      <c r="A301">
        <v>43</v>
      </c>
      <c r="B301">
        <v>44</v>
      </c>
      <c r="C301">
        <v>43</v>
      </c>
      <c r="D301">
        <v>42</v>
      </c>
      <c r="E301" t="s">
        <v>251</v>
      </c>
      <c r="F301" t="s">
        <v>56</v>
      </c>
      <c r="G301">
        <v>19</v>
      </c>
      <c r="H301" t="s">
        <v>140</v>
      </c>
      <c r="I301">
        <v>0.25</v>
      </c>
      <c r="J301">
        <v>1</v>
      </c>
      <c r="K301" t="str">
        <f>VLOOKUP(H301,metric_dict!A:B,2,0)</f>
        <v>Воронка оттока</v>
      </c>
      <c r="L301" t="str">
        <f>IF(VLOOKUP(H301,metric_dict!A:C,3,0)=0,"",VLOOKUP(H301,metric_dict!A:C,3,0))</f>
        <v/>
      </c>
      <c r="M301" t="str">
        <f>VLOOKUP(H301,metric_dict!A:AA,4,0)</f>
        <v>Оценка причин и узких мест</v>
      </c>
      <c r="N301" t="str">
        <f>VLOOKUP(H301,metric_dict!A:AA,5,0)</f>
        <v>Провести анализ оттока, выявить точки роста</v>
      </c>
      <c r="O301">
        <f>VLOOKUP(H301,metric_dict!A:AA,6,0)</f>
        <v>5</v>
      </c>
      <c r="P301" t="s">
        <v>256</v>
      </c>
      <c r="Q301">
        <f>VLOOKUP(H301,metric_dict!A:AA,7,0)</f>
        <v>4</v>
      </c>
    </row>
    <row r="302" spans="1:17" x14ac:dyDescent="0.2">
      <c r="A302">
        <v>43</v>
      </c>
      <c r="B302">
        <v>44</v>
      </c>
      <c r="C302">
        <v>43</v>
      </c>
      <c r="D302">
        <v>42</v>
      </c>
      <c r="E302" t="s">
        <v>251</v>
      </c>
      <c r="F302" t="s">
        <v>56</v>
      </c>
      <c r="G302">
        <v>20</v>
      </c>
      <c r="H302" t="s">
        <v>143</v>
      </c>
      <c r="I302">
        <v>0</v>
      </c>
      <c r="J302">
        <v>1</v>
      </c>
      <c r="K302" t="str">
        <f>VLOOKUP(H302,metric_dict!A:B,2,0)</f>
        <v>Воронка оттока</v>
      </c>
      <c r="L302" t="str">
        <f>IF(VLOOKUP(H302,metric_dict!A:C,3,0)=0,"",VLOOKUP(H302,metric_dict!A:C,3,0))</f>
        <v/>
      </c>
      <c r="M302" t="str">
        <f>VLOOKUP(H302,metric_dict!A:AA,4,0)</f>
        <v>План действий по отклонениям</v>
      </c>
      <c r="N302" t="str">
        <f>VLOOKUP(H302,metric_dict!A:AA,5,0)</f>
        <v>Сформировать список мероприятий по снижению оттока</v>
      </c>
      <c r="O302">
        <f>VLOOKUP(H302,metric_dict!A:AA,6,0)</f>
        <v>4</v>
      </c>
      <c r="P302" t="s">
        <v>256</v>
      </c>
      <c r="Q302">
        <f>VLOOKUP(H302,metric_dict!A:AA,7,0)</f>
        <v>5</v>
      </c>
    </row>
    <row r="303" spans="1:17" x14ac:dyDescent="0.2">
      <c r="A303">
        <v>43</v>
      </c>
      <c r="B303">
        <v>44</v>
      </c>
      <c r="C303">
        <v>43</v>
      </c>
      <c r="D303">
        <v>42</v>
      </c>
      <c r="E303" t="s">
        <v>251</v>
      </c>
      <c r="F303" t="s">
        <v>56</v>
      </c>
      <c r="G303">
        <v>22</v>
      </c>
      <c r="H303" t="s">
        <v>150</v>
      </c>
      <c r="I303">
        <v>0</v>
      </c>
      <c r="J303">
        <v>1</v>
      </c>
      <c r="K303" t="str">
        <f>VLOOKUP(H303,metric_dict!A:B,2,0)</f>
        <v>Алерты</v>
      </c>
      <c r="L303" t="str">
        <f>IF(VLOOKUP(H303,metric_dict!A:C,3,0)=0,"",VLOOKUP(H303,metric_dict!A:C,3,0))</f>
        <v/>
      </c>
      <c r="M303" t="str">
        <f>VLOOKUP(H303,metric_dict!A:AA,4,0)</f>
        <v>Светофоры целей, драйверов, воронок</v>
      </c>
      <c r="N303" t="str">
        <f>VLOOKUP(H303,metric_dict!A:AA,5,0)</f>
        <v>Внедрить систему оповещений</v>
      </c>
      <c r="O303">
        <f>VLOOKUP(H303,metric_dict!A:AA,6,0)</f>
        <v>3</v>
      </c>
      <c r="P303" t="s">
        <v>256</v>
      </c>
      <c r="Q303">
        <f>VLOOKUP(H303,metric_dict!A:AA,7,0)</f>
        <v>2</v>
      </c>
    </row>
    <row r="304" spans="1:17" x14ac:dyDescent="0.2">
      <c r="A304">
        <v>43</v>
      </c>
      <c r="B304">
        <v>44</v>
      </c>
      <c r="C304">
        <v>43</v>
      </c>
      <c r="D304">
        <v>42</v>
      </c>
      <c r="E304" t="s">
        <v>251</v>
      </c>
      <c r="F304" t="s">
        <v>56</v>
      </c>
      <c r="G304">
        <v>999</v>
      </c>
      <c r="H304" s="14" t="s">
        <v>351</v>
      </c>
      <c r="I304">
        <v>0</v>
      </c>
      <c r="J304">
        <v>1</v>
      </c>
      <c r="K304" t="str">
        <f>VLOOKUP(H304,metric_dict!A:B,2,0)</f>
        <v>Механики</v>
      </c>
      <c r="L304" t="str">
        <f>IF(VLOOKUP(H304,metric_dict!A:C,3,0)=0,"",VLOOKUP(H304,metric_dict!A:C,3,0))</f>
        <v/>
      </c>
      <c r="M304" t="str">
        <f>VLOOKUP(H304,metric_dict!A:AA,4,0)</f>
        <v>Адаптация предложений и коммуникаций под контекст клиента</v>
      </c>
      <c r="N304" t="str">
        <f>VLOOKUP(H304,metric_dict!A:AA,5,0)</f>
        <v>Проработать механики персонализации клиентского опыта</v>
      </c>
      <c r="O304">
        <f>VLOOKUP(H304,metric_dict!A:AA,6,0)</f>
        <v>5</v>
      </c>
      <c r="P304" t="s">
        <v>256</v>
      </c>
      <c r="Q304">
        <f>VLOOKUP(H304,metric_dict!A:AA,7,0)</f>
        <v>1</v>
      </c>
    </row>
    <row r="305" spans="1:17" x14ac:dyDescent="0.2">
      <c r="A305">
        <v>43</v>
      </c>
      <c r="B305">
        <v>44</v>
      </c>
      <c r="C305">
        <v>43</v>
      </c>
      <c r="D305">
        <v>42</v>
      </c>
      <c r="E305" t="s">
        <v>251</v>
      </c>
      <c r="F305" t="s">
        <v>56</v>
      </c>
      <c r="G305">
        <v>2222</v>
      </c>
      <c r="H305" s="14" t="s">
        <v>352</v>
      </c>
      <c r="I305">
        <v>1</v>
      </c>
      <c r="J305">
        <v>1</v>
      </c>
      <c r="K305" t="str">
        <f>VLOOKUP(H305,metric_dict!A:B,2,0)</f>
        <v>Механики</v>
      </c>
      <c r="L305" t="str">
        <f>IF(VLOOKUP(H305,metric_dict!A:C,3,0)=0,"",VLOOKUP(H305,metric_dict!A:C,3,0))</f>
        <v/>
      </c>
      <c r="M305" t="str">
        <f>VLOOKUP(H305,metric_dict!A:AA,4,0)</f>
        <v>Релевантные офферы для привлечения клиентов</v>
      </c>
      <c r="N305" t="str">
        <f>VLOOKUP(H305,metric_dict!A:AA,5,0)</f>
        <v>Проработать механики привлечения клиентов</v>
      </c>
      <c r="O305">
        <f>VLOOKUP(H305,metric_dict!A:AA,6,0)</f>
        <v>5</v>
      </c>
      <c r="P305" t="s">
        <v>256</v>
      </c>
      <c r="Q305">
        <f>VLOOKUP(H305,metric_dict!A:AA,7,0)</f>
        <v>2</v>
      </c>
    </row>
    <row r="306" spans="1:17" x14ac:dyDescent="0.2">
      <c r="A306">
        <v>43</v>
      </c>
      <c r="B306">
        <v>44</v>
      </c>
      <c r="C306">
        <v>43</v>
      </c>
      <c r="D306">
        <v>42</v>
      </c>
      <c r="E306" t="s">
        <v>251</v>
      </c>
      <c r="F306" t="s">
        <v>56</v>
      </c>
      <c r="G306">
        <v>1111</v>
      </c>
      <c r="H306" s="14" t="s">
        <v>156</v>
      </c>
      <c r="I306">
        <v>1</v>
      </c>
      <c r="J306">
        <v>1</v>
      </c>
      <c r="K306" t="str">
        <f>VLOOKUP(H306,metric_dict!A:B,2,0)</f>
        <v>Механики</v>
      </c>
      <c r="L306" t="str">
        <f>IF(VLOOKUP(H306,metric_dict!A:C,3,0)=0,"",VLOOKUP(H306,metric_dict!A:C,3,0))</f>
        <v/>
      </c>
      <c r="M306" t="str">
        <f>VLOOKUP(H306,metric_dict!A:AA,4,0)</f>
        <v>Коммуникация + ценность</v>
      </c>
      <c r="N306" t="str">
        <f>VLOOKUP(H306,metric_dict!A:AA,5,0)</f>
        <v>Проработать механики удержания клиентов</v>
      </c>
      <c r="O306">
        <f>VLOOKUP(H306,metric_dict!A:AA,6,0)</f>
        <v>5</v>
      </c>
      <c r="P306" t="s">
        <v>256</v>
      </c>
      <c r="Q306">
        <f>VLOOKUP(H306,metric_dict!A:AA,7,0)</f>
        <v>6</v>
      </c>
    </row>
    <row r="307" spans="1:17" x14ac:dyDescent="0.2">
      <c r="A307">
        <v>43</v>
      </c>
      <c r="B307">
        <v>44</v>
      </c>
      <c r="C307">
        <v>43</v>
      </c>
      <c r="D307">
        <v>42</v>
      </c>
      <c r="E307" t="s">
        <v>251</v>
      </c>
      <c r="F307" t="s">
        <v>56</v>
      </c>
      <c r="G307">
        <v>26</v>
      </c>
      <c r="H307" s="14" t="s">
        <v>159</v>
      </c>
      <c r="I307">
        <v>0</v>
      </c>
      <c r="J307">
        <v>1</v>
      </c>
      <c r="K307" t="str">
        <f>VLOOKUP(H307,metric_dict!A:B,2,0)</f>
        <v>Механики</v>
      </c>
      <c r="L307" t="str">
        <f>IF(VLOOKUP(H307,metric_dict!A:C,3,0)=0,"",VLOOKUP(H307,metric_dict!A:C,3,0))</f>
        <v/>
      </c>
      <c r="M307" t="str">
        <f>VLOOKUP(H307,metric_dict!A:AA,4,0)</f>
        <v>Реактивация оттекающих клиентов</v>
      </c>
      <c r="N307" t="str">
        <f>VLOOKUP(H307,metric_dict!A:AA,5,0)</f>
        <v>Проработать механики реактивации клиентов</v>
      </c>
      <c r="O307">
        <f>VLOOKUP(H307,metric_dict!A:AA,6,0)</f>
        <v>5</v>
      </c>
      <c r="P307" t="s">
        <v>256</v>
      </c>
      <c r="Q307">
        <f>VLOOKUP(H307,metric_dict!A:AA,7,0)</f>
        <v>4</v>
      </c>
    </row>
    <row r="308" spans="1:17" x14ac:dyDescent="0.2">
      <c r="A308">
        <v>43</v>
      </c>
      <c r="B308">
        <v>44</v>
      </c>
      <c r="C308">
        <v>43</v>
      </c>
      <c r="D308">
        <v>42</v>
      </c>
      <c r="E308" t="s">
        <v>251</v>
      </c>
      <c r="F308" t="s">
        <v>56</v>
      </c>
      <c r="G308">
        <v>1112</v>
      </c>
      <c r="H308" s="14" t="s">
        <v>262</v>
      </c>
      <c r="I308">
        <v>1</v>
      </c>
      <c r="J308">
        <v>1</v>
      </c>
      <c r="K308" t="str">
        <f>VLOOKUP(H308,metric_dict!A:B,2,0)</f>
        <v>Механики</v>
      </c>
      <c r="L308" t="str">
        <f>IF(VLOOKUP(H308,metric_dict!A:C,3,0)=0,"",VLOOKUP(H308,metric_dict!A:C,3,0))</f>
        <v/>
      </c>
      <c r="M308" t="str">
        <f>VLOOKUP(H308,metric_dict!A:AA,4,0)</f>
        <v>Работа с upsell-механикой уровней</v>
      </c>
      <c r="N308" t="str">
        <f>VLOOKUP(H308,metric_dict!A:AA,5,0)</f>
        <v>Проработать механики повышения уровня клиента</v>
      </c>
      <c r="O308">
        <f>VLOOKUP(H308,metric_dict!A:AA,6,0)</f>
        <v>5</v>
      </c>
      <c r="P308" t="s">
        <v>256</v>
      </c>
      <c r="Q308">
        <f>VLOOKUP(H308,metric_dict!A:AA,7,0)</f>
        <v>7</v>
      </c>
    </row>
    <row r="309" spans="1:17" x14ac:dyDescent="0.2">
      <c r="A309">
        <v>43</v>
      </c>
      <c r="B309">
        <v>44</v>
      </c>
      <c r="C309">
        <v>43</v>
      </c>
      <c r="D309">
        <v>42</v>
      </c>
      <c r="E309" t="s">
        <v>251</v>
      </c>
      <c r="F309" t="s">
        <v>56</v>
      </c>
      <c r="G309">
        <v>1113</v>
      </c>
      <c r="H309" s="14" t="s">
        <v>353</v>
      </c>
      <c r="I309">
        <v>0.25</v>
      </c>
      <c r="J309">
        <v>1</v>
      </c>
      <c r="K309" t="str">
        <f>VLOOKUP(H309,metric_dict!A:B,2,0)</f>
        <v>Механики</v>
      </c>
      <c r="L309" t="str">
        <f>IF(VLOOKUP(H309,metric_dict!A:C,3,0)=0,"",VLOOKUP(H309,metric_dict!A:C,3,0))</f>
        <v/>
      </c>
      <c r="M309" t="str">
        <f>VLOOKUP(H309,metric_dict!A:AA,4,0)</f>
        <v>Банковские предложения в момент изменения жизненного сценария</v>
      </c>
      <c r="N309" t="str">
        <f>VLOOKUP(H309,metric_dict!A:AA,5,0)</f>
        <v>Проработать механики реагирования на жизненные ситуации</v>
      </c>
      <c r="O309">
        <f>VLOOKUP(H309,metric_dict!A:AA,6,0)</f>
        <v>5</v>
      </c>
      <c r="P309" t="s">
        <v>256</v>
      </c>
      <c r="Q309">
        <f>VLOOKUP(H309,metric_dict!A:AA,7,0)</f>
        <v>5</v>
      </c>
    </row>
    <row r="310" spans="1:17" x14ac:dyDescent="0.2">
      <c r="A310">
        <v>43</v>
      </c>
      <c r="B310">
        <v>44</v>
      </c>
      <c r="C310">
        <v>43</v>
      </c>
      <c r="D310">
        <v>42</v>
      </c>
      <c r="E310" t="s">
        <v>251</v>
      </c>
      <c r="F310" t="s">
        <v>56</v>
      </c>
      <c r="G310">
        <v>500</v>
      </c>
      <c r="H310" t="s">
        <v>156</v>
      </c>
      <c r="I310">
        <v>0.25</v>
      </c>
      <c r="J310">
        <v>0.5</v>
      </c>
      <c r="K310" t="str">
        <f>VLOOKUP(H310,metric_dict!A:B,2,0)</f>
        <v>Механики</v>
      </c>
      <c r="L310" t="str">
        <f>IF(VLOOKUP(H310,metric_dict!A:C,3,0)=0,"",VLOOKUP(H310,metric_dict!A:C,3,0))</f>
        <v/>
      </c>
      <c r="M310" t="str">
        <f>VLOOKUP(H310,metric_dict!A:AA,4,0)</f>
        <v>Коммуникация + ценность</v>
      </c>
      <c r="N310" t="str">
        <f>VLOOKUP(H310,metric_dict!A:AA,5,0)</f>
        <v>Проработать механики удержания клиентов</v>
      </c>
      <c r="O310">
        <f>VLOOKUP(H310,metric_dict!A:AA,6,0)</f>
        <v>5</v>
      </c>
      <c r="P310" t="s">
        <v>256</v>
      </c>
      <c r="Q310">
        <f>VLOOKUP(H310,metric_dict!A:AA,7,0)</f>
        <v>6</v>
      </c>
    </row>
    <row r="311" spans="1:17" x14ac:dyDescent="0.2">
      <c r="A311">
        <v>43</v>
      </c>
      <c r="B311">
        <v>44</v>
      </c>
      <c r="C311">
        <v>43</v>
      </c>
      <c r="D311">
        <v>42</v>
      </c>
      <c r="E311" t="s">
        <v>251</v>
      </c>
      <c r="F311" t="s">
        <v>56</v>
      </c>
      <c r="G311">
        <v>501</v>
      </c>
      <c r="H311" t="s">
        <v>156</v>
      </c>
      <c r="I311">
        <v>0</v>
      </c>
      <c r="J311">
        <v>0</v>
      </c>
      <c r="K311" t="str">
        <f>VLOOKUP(H311,metric_dict!A:B,2,0)</f>
        <v>Механики</v>
      </c>
      <c r="L311" t="str">
        <f>IF(VLOOKUP(H311,metric_dict!A:C,3,0)=0,"",VLOOKUP(H311,metric_dict!A:C,3,0))</f>
        <v/>
      </c>
      <c r="M311" t="str">
        <f>VLOOKUP(H311,metric_dict!A:AA,4,0)</f>
        <v>Коммуникация + ценность</v>
      </c>
      <c r="N311" t="str">
        <f>VLOOKUP(H311,metric_dict!A:AA,5,0)</f>
        <v>Проработать механики удержания клиентов</v>
      </c>
      <c r="O311">
        <f>VLOOKUP(H311,metric_dict!A:AA,6,0)</f>
        <v>5</v>
      </c>
      <c r="P311" t="s">
        <v>256</v>
      </c>
      <c r="Q311">
        <f>VLOOKUP(H311,metric_dict!A:AA,7,0)</f>
        <v>6</v>
      </c>
    </row>
    <row r="312" spans="1:17" x14ac:dyDescent="0.2">
      <c r="A312">
        <v>43</v>
      </c>
      <c r="B312">
        <v>44</v>
      </c>
      <c r="C312">
        <v>43</v>
      </c>
      <c r="D312">
        <v>42</v>
      </c>
      <c r="E312" t="s">
        <v>251</v>
      </c>
      <c r="F312" t="s">
        <v>56</v>
      </c>
      <c r="G312">
        <v>502</v>
      </c>
      <c r="H312" t="s">
        <v>156</v>
      </c>
      <c r="I312">
        <v>0</v>
      </c>
      <c r="J312">
        <v>0</v>
      </c>
      <c r="K312" t="str">
        <f>VLOOKUP(H312,metric_dict!A:B,2,0)</f>
        <v>Механики</v>
      </c>
      <c r="L312" t="str">
        <f>IF(VLOOKUP(H312,metric_dict!A:C,3,0)=0,"",VLOOKUP(H312,metric_dict!A:C,3,0))</f>
        <v/>
      </c>
      <c r="M312" t="str">
        <f>VLOOKUP(H312,metric_dict!A:AA,4,0)</f>
        <v>Коммуникация + ценность</v>
      </c>
      <c r="N312" t="str">
        <f>VLOOKUP(H312,metric_dict!A:AA,5,0)</f>
        <v>Проработать механики удержания клиентов</v>
      </c>
      <c r="O312">
        <f>VLOOKUP(H312,metric_dict!A:AA,6,0)</f>
        <v>5</v>
      </c>
      <c r="P312" t="s">
        <v>256</v>
      </c>
      <c r="Q312">
        <f>VLOOKUP(H312,metric_dict!A:AA,7,0)</f>
        <v>6</v>
      </c>
    </row>
    <row r="313" spans="1:17" x14ac:dyDescent="0.2">
      <c r="A313">
        <v>43</v>
      </c>
      <c r="B313">
        <v>44</v>
      </c>
      <c r="C313">
        <v>43</v>
      </c>
      <c r="D313">
        <v>42</v>
      </c>
      <c r="E313" t="s">
        <v>251</v>
      </c>
      <c r="F313" t="s">
        <v>56</v>
      </c>
      <c r="G313">
        <v>505</v>
      </c>
      <c r="H313" t="s">
        <v>262</v>
      </c>
      <c r="I313">
        <v>0.25</v>
      </c>
      <c r="J313">
        <v>1</v>
      </c>
      <c r="K313" t="str">
        <f>VLOOKUP(H313,metric_dict!A:B,2,0)</f>
        <v>Механики</v>
      </c>
      <c r="L313" t="str">
        <f>IF(VLOOKUP(H313,metric_dict!A:C,3,0)=0,"",VLOOKUP(H313,metric_dict!A:C,3,0))</f>
        <v/>
      </c>
      <c r="M313" t="str">
        <f>VLOOKUP(H313,metric_dict!A:AA,4,0)</f>
        <v>Работа с upsell-механикой уровней</v>
      </c>
      <c r="N313" t="str">
        <f>VLOOKUP(H313,metric_dict!A:AA,5,0)</f>
        <v>Проработать механики повышения уровня клиента</v>
      </c>
      <c r="O313">
        <f>VLOOKUP(H313,metric_dict!A:AA,6,0)</f>
        <v>5</v>
      </c>
      <c r="P313" t="s">
        <v>256</v>
      </c>
      <c r="Q313">
        <f>VLOOKUP(H313,metric_dict!A:AA,7,0)</f>
        <v>7</v>
      </c>
    </row>
    <row r="314" spans="1:17" x14ac:dyDescent="0.2">
      <c r="A314">
        <v>43</v>
      </c>
      <c r="B314">
        <v>44</v>
      </c>
      <c r="C314">
        <v>43</v>
      </c>
      <c r="D314">
        <v>42</v>
      </c>
      <c r="E314" t="s">
        <v>251</v>
      </c>
      <c r="F314" t="s">
        <v>56</v>
      </c>
      <c r="G314">
        <v>225</v>
      </c>
      <c r="H314" t="s">
        <v>265</v>
      </c>
      <c r="I314">
        <v>0.25</v>
      </c>
      <c r="J314">
        <v>0.25</v>
      </c>
      <c r="K314" t="str">
        <f>VLOOKUP(H314,metric_dict!A:B,2,0)</f>
        <v>Механики</v>
      </c>
      <c r="L314" t="str">
        <f>IF(VLOOKUP(H314,metric_dict!A:C,3,0)=0,"",VLOOKUP(H314,metric_dict!A:C,3,0))</f>
        <v/>
      </c>
      <c r="M314" t="str">
        <f>VLOOKUP(H314,metric_dict!A:AA,4,0)</f>
        <v>Настроен по ключевым механикам работы с клиентской базой</v>
      </c>
      <c r="N314" t="str">
        <f>VLOOKUP(H314,metric_dict!A:AA,5,0)</f>
        <v>Настроить мониторинг по ключевым механикам</v>
      </c>
      <c r="O314">
        <f>VLOOKUP(H314,metric_dict!A:AA,6,0)</f>
        <v>2</v>
      </c>
      <c r="P314" t="s">
        <v>256</v>
      </c>
      <c r="Q314">
        <f>VLOOKUP(H314,metric_dict!A:AA,7,0)</f>
        <v>22</v>
      </c>
    </row>
    <row r="315" spans="1:17" x14ac:dyDescent="0.2">
      <c r="A315">
        <v>43</v>
      </c>
      <c r="B315">
        <v>44</v>
      </c>
      <c r="C315">
        <v>43</v>
      </c>
      <c r="D315">
        <v>42</v>
      </c>
      <c r="E315" t="s">
        <v>251</v>
      </c>
      <c r="F315" t="s">
        <v>56</v>
      </c>
      <c r="G315">
        <v>35</v>
      </c>
      <c r="H315" t="s">
        <v>165</v>
      </c>
      <c r="I315">
        <v>0</v>
      </c>
      <c r="J315">
        <v>1</v>
      </c>
      <c r="K315" t="str">
        <f>VLOOKUP(H315,metric_dict!A:B,2,0)</f>
        <v>Гипотезы и инициативы</v>
      </c>
      <c r="L315" t="str">
        <f>IF(VLOOKUP(H315,metric_dict!A:C,3,0)=0,"",VLOOKUP(H315,metric_dict!A:C,3,0))</f>
        <v/>
      </c>
      <c r="M315" t="str">
        <f>VLOOKUP(H315,metric_dict!A:AA,4,0)</f>
        <v>Доля исследовательских задач DA</v>
      </c>
      <c r="N315" t="str">
        <f>VLOOKUP(H315,metric_dict!A:AA,5,0)</f>
        <v>Сфокусировать бэклог аналитиков на research-задачи</v>
      </c>
      <c r="O315">
        <f>VLOOKUP(H315,metric_dict!A:AA,6,0)</f>
        <v>5</v>
      </c>
      <c r="P315" t="s">
        <v>256</v>
      </c>
      <c r="Q315">
        <f>VLOOKUP(H315,metric_dict!A:AA,7,0)</f>
        <v>1</v>
      </c>
    </row>
    <row r="316" spans="1:17" x14ac:dyDescent="0.2">
      <c r="A316">
        <v>43</v>
      </c>
      <c r="B316">
        <v>44</v>
      </c>
      <c r="C316">
        <v>43</v>
      </c>
      <c r="D316">
        <v>42</v>
      </c>
      <c r="E316" t="s">
        <v>251</v>
      </c>
      <c r="F316" t="s">
        <v>56</v>
      </c>
      <c r="G316">
        <v>44</v>
      </c>
      <c r="H316" t="s">
        <v>182</v>
      </c>
      <c r="I316">
        <v>0</v>
      </c>
      <c r="J316">
        <v>1</v>
      </c>
      <c r="K316" t="str">
        <f>VLOOKUP(H316,metric_dict!A:B,2,0)</f>
        <v>Гипотезы и инициативы</v>
      </c>
      <c r="L316" t="str">
        <f>IF(VLOOKUP(H316,metric_dict!A:C,3,0)=0,"",VLOOKUP(H316,metric_dict!A:C,3,0))</f>
        <v/>
      </c>
      <c r="M316" t="str">
        <f>VLOOKUP(H316,metric_dict!A:AA,4,0)</f>
        <v>Средняя оценка проведенных исследований</v>
      </c>
      <c r="N316" t="str">
        <f>VLOOKUP(H316,metric_dict!A:AA,5,0)</f>
        <v>Повысить качество проведенных исследований</v>
      </c>
      <c r="O316">
        <f>VLOOKUP(H316,metric_dict!A:AA,6,0)</f>
        <v>5</v>
      </c>
      <c r="P316" t="s">
        <v>256</v>
      </c>
      <c r="Q316">
        <f>VLOOKUP(H316,metric_dict!A:AA,7,0)</f>
        <v>2</v>
      </c>
    </row>
    <row r="317" spans="1:17" x14ac:dyDescent="0.2">
      <c r="A317">
        <v>234</v>
      </c>
      <c r="B317">
        <v>235</v>
      </c>
      <c r="C317">
        <v>234</v>
      </c>
      <c r="D317">
        <v>233</v>
      </c>
      <c r="E317" t="s">
        <v>251</v>
      </c>
      <c r="F317" t="s">
        <v>48</v>
      </c>
      <c r="G317">
        <v>1</v>
      </c>
      <c r="H317" t="s">
        <v>92</v>
      </c>
      <c r="I317">
        <v>0.2</v>
      </c>
      <c r="J317">
        <v>0.2</v>
      </c>
      <c r="K317" t="str">
        <f>VLOOKUP(H317,metric_dict!A:B,2,0)</f>
        <v>Знание ключевых метрик</v>
      </c>
      <c r="L317" t="str">
        <f>IF(VLOOKUP(H317,metric_dict!A:C,3,0)=0,"",VLOOKUP(H317,metric_dict!A:C,3,0))</f>
        <v/>
      </c>
      <c r="M317" t="str">
        <f>VLOOKUP(H317,metric_dict!A:AA,4,0)</f>
        <v>Оценка потенциального объема клиентов в России</v>
      </c>
      <c r="N317" t="str">
        <f>VLOOKUP(H317,metric_dict!A:AA,5,0)</f>
        <v>Знание метрик и инструментов</v>
      </c>
      <c r="O317">
        <f>VLOOKUP(H317,metric_dict!A:AA,6,0)</f>
        <v>1</v>
      </c>
      <c r="P317" t="s">
        <v>97</v>
      </c>
      <c r="Q317">
        <f>VLOOKUP(H317,metric_dict!A:AA,7,0)</f>
        <v>1</v>
      </c>
    </row>
    <row r="318" spans="1:17" x14ac:dyDescent="0.2">
      <c r="A318">
        <v>234</v>
      </c>
      <c r="B318">
        <v>235</v>
      </c>
      <c r="C318">
        <v>234</v>
      </c>
      <c r="D318">
        <v>233</v>
      </c>
      <c r="E318" t="s">
        <v>251</v>
      </c>
      <c r="F318" t="s">
        <v>48</v>
      </c>
      <c r="G318">
        <v>2</v>
      </c>
      <c r="H318" t="s">
        <v>98</v>
      </c>
      <c r="I318">
        <v>0.25</v>
      </c>
      <c r="J318">
        <v>0.5</v>
      </c>
      <c r="K318" t="str">
        <f>VLOOKUP(H318,metric_dict!A:B,2,0)</f>
        <v>Знание ключевых метрик</v>
      </c>
      <c r="L318" t="str">
        <f>IF(VLOOKUP(H318,metric_dict!A:C,3,0)=0,"",VLOOKUP(H318,metric_dict!A:C,3,0))</f>
        <v/>
      </c>
      <c r="M318" t="str">
        <f>VLOOKUP(H318,metric_dict!A:AA,4,0)</f>
        <v>Понимание доступной отчетности и регулярного мониторинга</v>
      </c>
      <c r="N318" t="str">
        <f>VLOOKUP(H318,metric_dict!A:AA,5,0)</f>
        <v>Знание метрик и инструментов</v>
      </c>
      <c r="O318">
        <f>VLOOKUP(H318,metric_dict!A:AA,6,0)</f>
        <v>1</v>
      </c>
      <c r="P318" t="s">
        <v>97</v>
      </c>
      <c r="Q318">
        <f>VLOOKUP(H318,metric_dict!A:AA,7,0)</f>
        <v>13</v>
      </c>
    </row>
    <row r="319" spans="1:17" x14ac:dyDescent="0.2">
      <c r="A319">
        <v>234</v>
      </c>
      <c r="B319">
        <v>235</v>
      </c>
      <c r="C319">
        <v>234</v>
      </c>
      <c r="D319">
        <v>233</v>
      </c>
      <c r="E319" t="s">
        <v>251</v>
      </c>
      <c r="F319" t="s">
        <v>48</v>
      </c>
      <c r="G319">
        <v>3</v>
      </c>
      <c r="H319" t="s">
        <v>100</v>
      </c>
      <c r="I319">
        <v>1</v>
      </c>
      <c r="J319">
        <v>1</v>
      </c>
      <c r="K319" t="str">
        <f>VLOOKUP(H319,metric_dict!A:B,2,0)</f>
        <v>Цели</v>
      </c>
      <c r="L319" t="str">
        <f>IF(VLOOKUP(H319,metric_dict!A:C,3,0)=0,"",VLOOKUP(H319,metric_dict!A:C,3,0))</f>
        <v/>
      </c>
      <c r="M319" t="str">
        <f>VLOOKUP(H319,metric_dict!A:AA,4,0)</f>
        <v>Регулярное обновление в Навигаторе</v>
      </c>
      <c r="N319" t="str">
        <f>VLOOKUP(H319,metric_dict!A:AA,5,0)</f>
        <v>Обогащение целей/драйверов/прогнозов в Навигаторе</v>
      </c>
      <c r="O319">
        <f>VLOOKUP(H319,metric_dict!A:AA,6,0)</f>
        <v>2</v>
      </c>
      <c r="P319" t="s">
        <v>97</v>
      </c>
      <c r="Q319">
        <f>VLOOKUP(H319,metric_dict!A:AA,7,0)</f>
        <v>1</v>
      </c>
    </row>
    <row r="320" spans="1:17" x14ac:dyDescent="0.2">
      <c r="A320">
        <v>234</v>
      </c>
      <c r="B320">
        <v>235</v>
      </c>
      <c r="C320">
        <v>234</v>
      </c>
      <c r="D320">
        <v>233</v>
      </c>
      <c r="E320" t="s">
        <v>251</v>
      </c>
      <c r="F320" t="s">
        <v>48</v>
      </c>
      <c r="G320">
        <v>4</v>
      </c>
      <c r="H320" t="s">
        <v>104</v>
      </c>
      <c r="I320">
        <v>0.5</v>
      </c>
      <c r="J320">
        <v>1</v>
      </c>
      <c r="K320" t="str">
        <f>VLOOKUP(H320,metric_dict!A:B,2,0)</f>
        <v>Цели</v>
      </c>
      <c r="L320" t="str">
        <f>IF(VLOOKUP(H320,metric_dict!A:C,3,0)=0,"",VLOOKUP(H320,metric_dict!A:C,3,0))</f>
        <v/>
      </c>
      <c r="M320" t="str">
        <f>VLOOKUP(H320,metric_dict!A:AA,4,0)</f>
        <v>Согласно модели бизнес-процесса</v>
      </c>
      <c r="N320" t="str">
        <f>VLOOKUP(H320,metric_dict!A:AA,5,0)</f>
        <v>Декомпозировать значения целей на драйверы</v>
      </c>
      <c r="O320">
        <f>VLOOKUP(H320,metric_dict!A:AA,6,0)</f>
        <v>7</v>
      </c>
      <c r="P320" t="s">
        <v>97</v>
      </c>
      <c r="Q320">
        <f>VLOOKUP(H320,metric_dict!A:AA,7,0)</f>
        <v>2</v>
      </c>
    </row>
    <row r="321" spans="1:17" x14ac:dyDescent="0.2">
      <c r="A321">
        <v>234</v>
      </c>
      <c r="B321">
        <v>235</v>
      </c>
      <c r="C321">
        <v>234</v>
      </c>
      <c r="D321">
        <v>233</v>
      </c>
      <c r="E321" t="s">
        <v>251</v>
      </c>
      <c r="F321" t="s">
        <v>48</v>
      </c>
      <c r="G321">
        <v>5</v>
      </c>
      <c r="H321" t="s">
        <v>108</v>
      </c>
      <c r="I321">
        <v>0</v>
      </c>
      <c r="J321">
        <v>1</v>
      </c>
      <c r="K321" t="str">
        <f>VLOOKUP(H321,metric_dict!A:B,2,0)</f>
        <v>Цели</v>
      </c>
      <c r="L321" t="str">
        <f>IF(VLOOKUP(H321,metric_dict!A:C,3,0)=0,"",VLOOKUP(H321,metric_dict!A:C,3,0))</f>
        <v/>
      </c>
      <c r="M321" t="str">
        <f>VLOOKUP(H321,metric_dict!A:AA,4,0)</f>
        <v>Прогноз выведен в Навигатор</v>
      </c>
      <c r="N321" t="str">
        <f>VLOOKUP(H321,metric_dict!A:AA,5,0)</f>
        <v>Сформировать прогнозные значения по целям</v>
      </c>
      <c r="O321">
        <f>VLOOKUP(H321,metric_dict!A:AA,6,0)</f>
        <v>8</v>
      </c>
      <c r="P321" t="s">
        <v>97</v>
      </c>
      <c r="Q321">
        <f>VLOOKUP(H321,metric_dict!A:AA,7,0)</f>
        <v>3</v>
      </c>
    </row>
    <row r="322" spans="1:17" x14ac:dyDescent="0.2">
      <c r="A322">
        <v>234</v>
      </c>
      <c r="B322">
        <v>235</v>
      </c>
      <c r="C322">
        <v>234</v>
      </c>
      <c r="D322">
        <v>233</v>
      </c>
      <c r="E322" t="s">
        <v>251</v>
      </c>
      <c r="F322" t="s">
        <v>48</v>
      </c>
      <c r="G322">
        <v>9</v>
      </c>
      <c r="H322" t="s">
        <v>111</v>
      </c>
      <c r="I322">
        <v>0.25</v>
      </c>
      <c r="J322">
        <v>0.5</v>
      </c>
      <c r="K322" t="str">
        <f>VLOOKUP(H322,metric_dict!A:B,2,0)</f>
        <v>Воронка привлечения</v>
      </c>
      <c r="L322" t="str">
        <f>IF(VLOOKUP(H322,metric_dict!A:C,3,0)=0,"",VLOOKUP(H322,metric_dict!A:C,3,0))</f>
        <v>Отчетность</v>
      </c>
      <c r="M322" t="str">
        <f>VLOOKUP(H322,metric_dict!A:AA,4,0)</f>
        <v>Настроена по воронке</v>
      </c>
      <c r="N322" t="str">
        <f>VLOOKUP(H322,metric_dict!A:AA,5,0)</f>
        <v>Настроить мониторинг по воронке привлечения</v>
      </c>
      <c r="O322">
        <f>VLOOKUP(H322,metric_dict!A:AA,6,0)</f>
        <v>2</v>
      </c>
      <c r="P322" t="s">
        <v>97</v>
      </c>
      <c r="Q322">
        <f>VLOOKUP(H322,metric_dict!A:AA,7,0)</f>
        <v>1</v>
      </c>
    </row>
    <row r="323" spans="1:17" x14ac:dyDescent="0.2">
      <c r="A323">
        <v>234</v>
      </c>
      <c r="B323">
        <v>235</v>
      </c>
      <c r="C323">
        <v>234</v>
      </c>
      <c r="D323">
        <v>233</v>
      </c>
      <c r="E323" t="s">
        <v>251</v>
      </c>
      <c r="F323" t="s">
        <v>48</v>
      </c>
      <c r="G323">
        <v>10</v>
      </c>
      <c r="H323" t="s">
        <v>115</v>
      </c>
      <c r="I323">
        <v>0.5</v>
      </c>
      <c r="J323">
        <v>0.5</v>
      </c>
      <c r="K323" t="str">
        <f>VLOOKUP(H323,metric_dict!A:B,2,0)</f>
        <v>Воронка привлечения</v>
      </c>
      <c r="L323" t="str">
        <f>IF(VLOOKUP(H323,metric_dict!A:C,3,0)=0,"",VLOOKUP(H323,metric_dict!A:C,3,0))</f>
        <v>Отчетность</v>
      </c>
      <c r="M323" t="str">
        <f>VLOOKUP(H323,metric_dict!A:AA,4,0)</f>
        <v>Источники, CR, объёмы, сегменты</v>
      </c>
      <c r="N323" t="str">
        <f>VLOOKUP(H323,metric_dict!A:AA,5,0)</f>
        <v>Донасытить метриками мониторинг по воронке привлечения</v>
      </c>
      <c r="O323">
        <f>VLOOKUP(H323,metric_dict!A:AA,6,0)</f>
        <v>3</v>
      </c>
      <c r="P323" t="s">
        <v>97</v>
      </c>
      <c r="Q323">
        <f>VLOOKUP(H323,metric_dict!A:AA,7,0)</f>
        <v>2</v>
      </c>
    </row>
    <row r="324" spans="1:17" x14ac:dyDescent="0.2">
      <c r="A324">
        <v>234</v>
      </c>
      <c r="B324">
        <v>235</v>
      </c>
      <c r="C324">
        <v>234</v>
      </c>
      <c r="D324">
        <v>233</v>
      </c>
      <c r="E324" t="s">
        <v>251</v>
      </c>
      <c r="F324" t="s">
        <v>48</v>
      </c>
      <c r="G324">
        <v>11</v>
      </c>
      <c r="H324" t="s">
        <v>118</v>
      </c>
      <c r="I324">
        <v>0.5</v>
      </c>
      <c r="J324">
        <v>1</v>
      </c>
      <c r="K324" t="str">
        <f>VLOOKUP(H324,metric_dict!A:B,2,0)</f>
        <v>Воронка привлечения</v>
      </c>
      <c r="L324" t="str">
        <f>IF(VLOOKUP(H324,metric_dict!A:C,3,0)=0,"",VLOOKUP(H324,metric_dict!A:C,3,0))</f>
        <v>Отчетность</v>
      </c>
      <c r="M324" t="str">
        <f>VLOOKUP(H324,metric_dict!A:AA,4,0)</f>
        <v>Daily / weekly</v>
      </c>
      <c r="N324" t="str">
        <f>VLOOKUP(H324,metric_dict!A:AA,5,0)</f>
        <v>Автоматизировать расчет воронки привлечения</v>
      </c>
      <c r="O324">
        <f>VLOOKUP(H324,metric_dict!A:AA,6,0)</f>
        <v>4</v>
      </c>
      <c r="P324" t="s">
        <v>97</v>
      </c>
      <c r="Q324">
        <f>VLOOKUP(H324,metric_dict!A:AA,7,0)</f>
        <v>3</v>
      </c>
    </row>
    <row r="325" spans="1:17" x14ac:dyDescent="0.2">
      <c r="A325">
        <v>234</v>
      </c>
      <c r="B325">
        <v>235</v>
      </c>
      <c r="C325">
        <v>234</v>
      </c>
      <c r="D325">
        <v>233</v>
      </c>
      <c r="E325" t="s">
        <v>251</v>
      </c>
      <c r="F325" t="s">
        <v>48</v>
      </c>
      <c r="G325">
        <v>12</v>
      </c>
      <c r="H325" t="s">
        <v>121</v>
      </c>
      <c r="I325">
        <v>0</v>
      </c>
      <c r="J325">
        <v>0.5</v>
      </c>
      <c r="K325" t="str">
        <f>VLOOKUP(H325,metric_dict!A:B,2,0)</f>
        <v>Воронка оттока</v>
      </c>
      <c r="L325" t="str">
        <f>IF(VLOOKUP(H325,metric_dict!A:C,3,0)=0,"",VLOOKUP(H325,metric_dict!A:C,3,0))</f>
        <v>Отчетность</v>
      </c>
      <c r="M325" t="str">
        <f>VLOOKUP(H325,metric_dict!A:AA,4,0)</f>
        <v>Настроена по воронке</v>
      </c>
      <c r="N325" t="str">
        <f>VLOOKUP(H325,metric_dict!A:AA,5,0)</f>
        <v>Настроить мониторинг по воронке оттока</v>
      </c>
      <c r="O325">
        <f>VLOOKUP(H325,metric_dict!A:AA,6,0)</f>
        <v>2</v>
      </c>
      <c r="P325" t="s">
        <v>97</v>
      </c>
      <c r="Q325">
        <f>VLOOKUP(H325,metric_dict!A:AA,7,0)</f>
        <v>1</v>
      </c>
    </row>
    <row r="326" spans="1:17" x14ac:dyDescent="0.2">
      <c r="A326">
        <v>234</v>
      </c>
      <c r="B326">
        <v>235</v>
      </c>
      <c r="C326">
        <v>234</v>
      </c>
      <c r="D326">
        <v>233</v>
      </c>
      <c r="E326" t="s">
        <v>251</v>
      </c>
      <c r="F326" t="s">
        <v>48</v>
      </c>
      <c r="G326">
        <v>13</v>
      </c>
      <c r="H326" t="s">
        <v>124</v>
      </c>
      <c r="I326">
        <v>0</v>
      </c>
      <c r="J326">
        <v>0.5</v>
      </c>
      <c r="K326" t="str">
        <f>VLOOKUP(H326,metric_dict!A:B,2,0)</f>
        <v>Воронка оттока</v>
      </c>
      <c r="L326" t="str">
        <f>IF(VLOOKUP(H326,metric_dict!A:C,3,0)=0,"",VLOOKUP(H326,metric_dict!A:C,3,0))</f>
        <v>Отчетность</v>
      </c>
      <c r="M326" t="str">
        <f>VLOOKUP(H326,metric_dict!A:AA,4,0)</f>
        <v>Retention, CR, удержание</v>
      </c>
      <c r="N326" t="str">
        <f>VLOOKUP(H326,metric_dict!A:AA,5,0)</f>
        <v>Донасытить метриками мониторинг по воронке оттока</v>
      </c>
      <c r="O326">
        <f>VLOOKUP(H326,metric_dict!A:AA,6,0)</f>
        <v>3</v>
      </c>
      <c r="P326" t="s">
        <v>97</v>
      </c>
      <c r="Q326">
        <f>VLOOKUP(H326,metric_dict!A:AA,7,0)</f>
        <v>2</v>
      </c>
    </row>
    <row r="327" spans="1:17" x14ac:dyDescent="0.2">
      <c r="A327">
        <v>234</v>
      </c>
      <c r="B327">
        <v>235</v>
      </c>
      <c r="C327">
        <v>234</v>
      </c>
      <c r="D327">
        <v>233</v>
      </c>
      <c r="E327" t="s">
        <v>251</v>
      </c>
      <c r="F327" t="s">
        <v>48</v>
      </c>
      <c r="G327">
        <v>14</v>
      </c>
      <c r="H327" t="s">
        <v>127</v>
      </c>
      <c r="I327">
        <v>0.5</v>
      </c>
      <c r="J327">
        <v>1</v>
      </c>
      <c r="K327" t="str">
        <f>VLOOKUP(H327,metric_dict!A:B,2,0)</f>
        <v>Воронка оттока</v>
      </c>
      <c r="L327" t="str">
        <f>IF(VLOOKUP(H327,metric_dict!A:C,3,0)=0,"",VLOOKUP(H327,metric_dict!A:C,3,0))</f>
        <v>Отчетность</v>
      </c>
      <c r="M327" t="str">
        <f>VLOOKUP(H327,metric_dict!A:AA,4,0)</f>
        <v>Daily / weekly</v>
      </c>
      <c r="N327" t="str">
        <f>VLOOKUP(H327,metric_dict!A:AA,5,0)</f>
        <v>Автоматизировать расчет воронки оттока</v>
      </c>
      <c r="O327">
        <f>VLOOKUP(H327,metric_dict!A:AA,6,0)</f>
        <v>4</v>
      </c>
      <c r="P327" t="s">
        <v>97</v>
      </c>
      <c r="Q327">
        <f>VLOOKUP(H327,metric_dict!A:AA,7,0)</f>
        <v>3</v>
      </c>
    </row>
    <row r="328" spans="1:17" x14ac:dyDescent="0.2">
      <c r="A328">
        <v>234</v>
      </c>
      <c r="B328">
        <v>235</v>
      </c>
      <c r="C328">
        <v>234</v>
      </c>
      <c r="D328">
        <v>233</v>
      </c>
      <c r="E328" t="s">
        <v>251</v>
      </c>
      <c r="F328" t="s">
        <v>48</v>
      </c>
      <c r="G328">
        <v>15</v>
      </c>
      <c r="H328" t="s">
        <v>129</v>
      </c>
      <c r="I328">
        <v>1</v>
      </c>
      <c r="J328">
        <v>1</v>
      </c>
      <c r="K328" t="str">
        <f>VLOOKUP(H328,metric_dict!A:B,2,0)</f>
        <v>BENCHMARKS</v>
      </c>
      <c r="L328" t="str">
        <f>IF(VLOOKUP(H328,metric_dict!A:C,3,0)=0,"",VLOOKUP(H328,metric_dict!A:C,3,0))</f>
        <v/>
      </c>
      <c r="M328" t="str">
        <f>VLOOKUP(H328,metric_dict!A:AA,4,0)</f>
        <v>Цели / динамика / рынок</v>
      </c>
      <c r="N328" t="str">
        <f>VLOOKUP(H328,metric_dict!A:AA,5,0)</f>
        <v>Сформировать бенчмарки по продуктовым метрикам</v>
      </c>
      <c r="O328">
        <f>VLOOKUP(H328,metric_dict!A:AA,6,0)</f>
        <v>5</v>
      </c>
      <c r="P328" t="s">
        <v>97</v>
      </c>
      <c r="Q328">
        <f>VLOOKUP(H328,metric_dict!A:AA,7,0)</f>
        <v>6</v>
      </c>
    </row>
    <row r="329" spans="1:17" x14ac:dyDescent="0.2">
      <c r="A329">
        <v>234</v>
      </c>
      <c r="B329">
        <v>235</v>
      </c>
      <c r="C329">
        <v>234</v>
      </c>
      <c r="D329">
        <v>233</v>
      </c>
      <c r="E329" t="s">
        <v>251</v>
      </c>
      <c r="F329" t="s">
        <v>48</v>
      </c>
      <c r="G329">
        <v>16</v>
      </c>
      <c r="H329" t="s">
        <v>133</v>
      </c>
      <c r="I329">
        <v>0</v>
      </c>
      <c r="J329">
        <v>0</v>
      </c>
      <c r="K329" t="e">
        <f>VLOOKUP(H329,metric_dict!A:B,2,0)</f>
        <v>#N/A</v>
      </c>
      <c r="L329" t="e">
        <f>IF(VLOOKUP(H329,metric_dict!A:C,3,0)=0,"",VLOOKUP(H329,metric_dict!A:C,3,0))</f>
        <v>#N/A</v>
      </c>
      <c r="M329" t="e">
        <f>VLOOKUP(H329,metric_dict!A:AA,4,0)</f>
        <v>#N/A</v>
      </c>
      <c r="N329" t="e">
        <f>VLOOKUP(H329,metric_dict!A:AA,5,0)</f>
        <v>#N/A</v>
      </c>
      <c r="O329" t="e">
        <f>VLOOKUP(H329,metric_dict!A:AA,6,0)</f>
        <v>#N/A</v>
      </c>
      <c r="P329" t="s">
        <v>97</v>
      </c>
      <c r="Q329" t="e">
        <f>VLOOKUP(H329,metric_dict!A:AA,7,0)</f>
        <v>#N/A</v>
      </c>
    </row>
    <row r="330" spans="1:17" x14ac:dyDescent="0.2">
      <c r="A330">
        <v>234</v>
      </c>
      <c r="B330">
        <v>235</v>
      </c>
      <c r="C330">
        <v>234</v>
      </c>
      <c r="D330">
        <v>233</v>
      </c>
      <c r="E330" t="s">
        <v>251</v>
      </c>
      <c r="F330" t="s">
        <v>48</v>
      </c>
      <c r="G330">
        <v>17</v>
      </c>
      <c r="H330" t="s">
        <v>134</v>
      </c>
      <c r="I330">
        <v>1</v>
      </c>
      <c r="J330">
        <v>1</v>
      </c>
      <c r="K330" t="str">
        <f>VLOOKUP(H330,metric_dict!A:B,2,0)</f>
        <v>Воронка привлечения</v>
      </c>
      <c r="L330" t="str">
        <f>IF(VLOOKUP(H330,metric_dict!A:C,3,0)=0,"",VLOOKUP(H330,metric_dict!A:C,3,0))</f>
        <v/>
      </c>
      <c r="M330" t="str">
        <f>VLOOKUP(H330,metric_dict!A:AA,4,0)</f>
        <v>Оценка эффективности, поиск точек роста</v>
      </c>
      <c r="N330" t="str">
        <f>VLOOKUP(H330,metric_dict!A:AA,5,0)</f>
        <v>Провести анализ привлечения, выявить точки роста</v>
      </c>
      <c r="O330">
        <f>VLOOKUP(H330,metric_dict!A:AA,6,0)</f>
        <v>5</v>
      </c>
      <c r="P330" t="s">
        <v>97</v>
      </c>
      <c r="Q330">
        <f>VLOOKUP(H330,metric_dict!A:AA,7,0)</f>
        <v>4</v>
      </c>
    </row>
    <row r="331" spans="1:17" x14ac:dyDescent="0.2">
      <c r="A331">
        <v>234</v>
      </c>
      <c r="B331">
        <v>235</v>
      </c>
      <c r="C331">
        <v>234</v>
      </c>
      <c r="D331">
        <v>233</v>
      </c>
      <c r="E331" t="s">
        <v>251</v>
      </c>
      <c r="F331" t="s">
        <v>48</v>
      </c>
      <c r="G331">
        <v>18</v>
      </c>
      <c r="H331" t="s">
        <v>137</v>
      </c>
      <c r="I331">
        <v>1</v>
      </c>
      <c r="J331">
        <v>1</v>
      </c>
      <c r="K331" t="str">
        <f>VLOOKUP(H331,metric_dict!A:B,2,0)</f>
        <v>Воронка привлечения</v>
      </c>
      <c r="L331" t="str">
        <f>IF(VLOOKUP(H331,metric_dict!A:C,3,0)=0,"",VLOOKUP(H331,metric_dict!A:C,3,0))</f>
        <v/>
      </c>
      <c r="M331" t="str">
        <f>VLOOKUP(H331,metric_dict!A:AA,4,0)</f>
        <v>План действий по росту</v>
      </c>
      <c r="N331" t="str">
        <f>VLOOKUP(H331,metric_dict!A:AA,5,0)</f>
        <v>Сформировать перечень инициатив</v>
      </c>
      <c r="O331">
        <f>VLOOKUP(H331,metric_dict!A:AA,6,0)</f>
        <v>5</v>
      </c>
      <c r="P331" t="s">
        <v>97</v>
      </c>
      <c r="Q331">
        <f>VLOOKUP(H331,metric_dict!A:AA,7,0)</f>
        <v>5</v>
      </c>
    </row>
    <row r="332" spans="1:17" x14ac:dyDescent="0.2">
      <c r="A332">
        <v>234</v>
      </c>
      <c r="B332">
        <v>235</v>
      </c>
      <c r="C332">
        <v>234</v>
      </c>
      <c r="D332">
        <v>233</v>
      </c>
      <c r="E332" t="s">
        <v>251</v>
      </c>
      <c r="F332" t="s">
        <v>48</v>
      </c>
      <c r="G332">
        <v>19</v>
      </c>
      <c r="H332" t="s">
        <v>140</v>
      </c>
      <c r="I332">
        <v>0.5</v>
      </c>
      <c r="J332">
        <v>1</v>
      </c>
      <c r="K332" t="str">
        <f>VLOOKUP(H332,metric_dict!A:B,2,0)</f>
        <v>Воронка оттока</v>
      </c>
      <c r="L332" t="str">
        <f>IF(VLOOKUP(H332,metric_dict!A:C,3,0)=0,"",VLOOKUP(H332,metric_dict!A:C,3,0))</f>
        <v/>
      </c>
      <c r="M332" t="str">
        <f>VLOOKUP(H332,metric_dict!A:AA,4,0)</f>
        <v>Оценка причин и узких мест</v>
      </c>
      <c r="N332" t="str">
        <f>VLOOKUP(H332,metric_dict!A:AA,5,0)</f>
        <v>Провести анализ оттока, выявить точки роста</v>
      </c>
      <c r="O332">
        <f>VLOOKUP(H332,metric_dict!A:AA,6,0)</f>
        <v>5</v>
      </c>
      <c r="P332" t="s">
        <v>97</v>
      </c>
      <c r="Q332">
        <f>VLOOKUP(H332,metric_dict!A:AA,7,0)</f>
        <v>4</v>
      </c>
    </row>
    <row r="333" spans="1:17" x14ac:dyDescent="0.2">
      <c r="A333">
        <v>234</v>
      </c>
      <c r="B333">
        <v>235</v>
      </c>
      <c r="C333">
        <v>234</v>
      </c>
      <c r="D333">
        <v>233</v>
      </c>
      <c r="E333" t="s">
        <v>251</v>
      </c>
      <c r="F333" t="s">
        <v>48</v>
      </c>
      <c r="G333">
        <v>20</v>
      </c>
      <c r="H333" t="s">
        <v>143</v>
      </c>
      <c r="I333">
        <v>1</v>
      </c>
      <c r="J333">
        <v>1</v>
      </c>
      <c r="K333" t="str">
        <f>VLOOKUP(H333,metric_dict!A:B,2,0)</f>
        <v>Воронка оттока</v>
      </c>
      <c r="L333" t="str">
        <f>IF(VLOOKUP(H333,metric_dict!A:C,3,0)=0,"",VLOOKUP(H333,metric_dict!A:C,3,0))</f>
        <v/>
      </c>
      <c r="M333" t="str">
        <f>VLOOKUP(H333,metric_dict!A:AA,4,0)</f>
        <v>План действий по отклонениям</v>
      </c>
      <c r="N333" t="str">
        <f>VLOOKUP(H333,metric_dict!A:AA,5,0)</f>
        <v>Сформировать список мероприятий по снижению оттока</v>
      </c>
      <c r="O333">
        <f>VLOOKUP(H333,metric_dict!A:AA,6,0)</f>
        <v>4</v>
      </c>
      <c r="P333" t="s">
        <v>97</v>
      </c>
      <c r="Q333">
        <f>VLOOKUP(H333,metric_dict!A:AA,7,0)</f>
        <v>5</v>
      </c>
    </row>
    <row r="334" spans="1:17" x14ac:dyDescent="0.2">
      <c r="A334">
        <v>234</v>
      </c>
      <c r="B334">
        <v>235</v>
      </c>
      <c r="C334">
        <v>234</v>
      </c>
      <c r="D334">
        <v>233</v>
      </c>
      <c r="E334" t="s">
        <v>251</v>
      </c>
      <c r="F334" t="s">
        <v>48</v>
      </c>
      <c r="G334">
        <v>21</v>
      </c>
      <c r="H334" t="s">
        <v>146</v>
      </c>
      <c r="I334">
        <v>1</v>
      </c>
      <c r="J334">
        <v>1</v>
      </c>
      <c r="K334" t="str">
        <f>VLOOKUP(H334,metric_dict!A:B,2,0)</f>
        <v>Алерты</v>
      </c>
      <c r="L334" t="str">
        <f>IF(VLOOKUP(H334,metric_dict!A:C,3,0)=0,"",VLOOKUP(H334,metric_dict!A:C,3,0))</f>
        <v/>
      </c>
      <c r="M334" t="str">
        <f>VLOOKUP(H334,metric_dict!A:AA,4,0)</f>
        <v>Авто-алерты по IT-инфраструктуре</v>
      </c>
      <c r="N334" t="str">
        <f>VLOOKUP(H334,metric_dict!A:AA,5,0)</f>
        <v>Внедрить систему оповещений</v>
      </c>
      <c r="O334">
        <f>VLOOKUP(H334,metric_dict!A:AA,6,0)</f>
        <v>5</v>
      </c>
      <c r="P334" t="s">
        <v>97</v>
      </c>
      <c r="Q334">
        <f>VLOOKUP(H334,metric_dict!A:AA,7,0)</f>
        <v>1</v>
      </c>
    </row>
    <row r="335" spans="1:17" x14ac:dyDescent="0.2">
      <c r="A335">
        <v>234</v>
      </c>
      <c r="B335">
        <v>235</v>
      </c>
      <c r="C335">
        <v>234</v>
      </c>
      <c r="D335">
        <v>233</v>
      </c>
      <c r="E335" t="s">
        <v>251</v>
      </c>
      <c r="F335" t="s">
        <v>48</v>
      </c>
      <c r="G335">
        <v>22</v>
      </c>
      <c r="H335" t="s">
        <v>150</v>
      </c>
      <c r="I335">
        <v>0</v>
      </c>
      <c r="J335">
        <v>1</v>
      </c>
      <c r="K335" t="str">
        <f>VLOOKUP(H335,metric_dict!A:B,2,0)</f>
        <v>Алерты</v>
      </c>
      <c r="L335" t="str">
        <f>IF(VLOOKUP(H335,metric_dict!A:C,3,0)=0,"",VLOOKUP(H335,metric_dict!A:C,3,0))</f>
        <v/>
      </c>
      <c r="M335" t="str">
        <f>VLOOKUP(H335,metric_dict!A:AA,4,0)</f>
        <v>Светофоры целей, драйверов, воронок</v>
      </c>
      <c r="N335" t="str">
        <f>VLOOKUP(H335,metric_dict!A:AA,5,0)</f>
        <v>Внедрить систему оповещений</v>
      </c>
      <c r="O335">
        <f>VLOOKUP(H335,metric_dict!A:AA,6,0)</f>
        <v>3</v>
      </c>
      <c r="P335" t="s">
        <v>97</v>
      </c>
      <c r="Q335">
        <f>VLOOKUP(H335,metric_dict!A:AA,7,0)</f>
        <v>2</v>
      </c>
    </row>
    <row r="336" spans="1:17" x14ac:dyDescent="0.2">
      <c r="A336">
        <v>234</v>
      </c>
      <c r="B336">
        <v>235</v>
      </c>
      <c r="C336">
        <v>234</v>
      </c>
      <c r="D336">
        <v>233</v>
      </c>
      <c r="E336" t="s">
        <v>251</v>
      </c>
      <c r="F336" t="s">
        <v>48</v>
      </c>
      <c r="G336">
        <v>23</v>
      </c>
      <c r="H336" t="s">
        <v>265</v>
      </c>
      <c r="I336">
        <v>0</v>
      </c>
      <c r="J336">
        <v>0</v>
      </c>
      <c r="K336" t="str">
        <f>VLOOKUP(H336,metric_dict!A:B,2,0)</f>
        <v>Механики</v>
      </c>
      <c r="L336" t="str">
        <f>IF(VLOOKUP(H336,metric_dict!A:C,3,0)=0,"",VLOOKUP(H336,metric_dict!A:C,3,0))</f>
        <v/>
      </c>
      <c r="M336" t="str">
        <f>VLOOKUP(H336,metric_dict!A:AA,4,0)</f>
        <v>Настроен по ключевым механикам работы с клиентской базой</v>
      </c>
      <c r="N336" t="str">
        <f>VLOOKUP(H336,metric_dict!A:AA,5,0)</f>
        <v>Настроить мониторинг по ключевым механикам</v>
      </c>
      <c r="O336">
        <f>VLOOKUP(H336,metric_dict!A:AA,6,0)</f>
        <v>2</v>
      </c>
      <c r="P336" t="s">
        <v>97</v>
      </c>
      <c r="Q336">
        <f>VLOOKUP(H336,metric_dict!A:AA,7,0)</f>
        <v>22</v>
      </c>
    </row>
    <row r="337" spans="1:17" x14ac:dyDescent="0.2">
      <c r="A337">
        <v>234</v>
      </c>
      <c r="B337">
        <v>235</v>
      </c>
      <c r="C337">
        <v>234</v>
      </c>
      <c r="D337">
        <v>233</v>
      </c>
      <c r="E337" t="s">
        <v>251</v>
      </c>
      <c r="F337" t="s">
        <v>48</v>
      </c>
      <c r="G337">
        <v>24</v>
      </c>
      <c r="H337" t="s">
        <v>156</v>
      </c>
      <c r="I337">
        <v>0</v>
      </c>
      <c r="J337">
        <v>0.5</v>
      </c>
      <c r="K337" t="str">
        <f>VLOOKUP(H337,metric_dict!A:B,2,0)</f>
        <v>Механики</v>
      </c>
      <c r="L337" t="str">
        <f>IF(VLOOKUP(H337,metric_dict!A:C,3,0)=0,"",VLOOKUP(H337,metric_dict!A:C,3,0))</f>
        <v/>
      </c>
      <c r="M337" t="str">
        <f>VLOOKUP(H337,metric_dict!A:AA,4,0)</f>
        <v>Коммуникация + ценность</v>
      </c>
      <c r="N337" t="str">
        <f>VLOOKUP(H337,metric_dict!A:AA,5,0)</f>
        <v>Проработать механики удержания клиентов</v>
      </c>
      <c r="O337">
        <f>VLOOKUP(H337,metric_dict!A:AA,6,0)</f>
        <v>5</v>
      </c>
      <c r="P337" t="s">
        <v>97</v>
      </c>
      <c r="Q337">
        <f>VLOOKUP(H337,metric_dict!A:AA,7,0)</f>
        <v>6</v>
      </c>
    </row>
    <row r="338" spans="1:17" x14ac:dyDescent="0.2">
      <c r="A338">
        <v>234</v>
      </c>
      <c r="B338">
        <v>235</v>
      </c>
      <c r="C338">
        <v>234</v>
      </c>
      <c r="D338">
        <v>233</v>
      </c>
      <c r="E338" t="s">
        <v>251</v>
      </c>
      <c r="F338" t="s">
        <v>48</v>
      </c>
      <c r="G338">
        <v>25</v>
      </c>
      <c r="H338" t="s">
        <v>156</v>
      </c>
      <c r="I338">
        <v>0</v>
      </c>
      <c r="J338">
        <v>0.5</v>
      </c>
      <c r="K338" t="str">
        <f>VLOOKUP(H338,metric_dict!A:B,2,0)</f>
        <v>Механики</v>
      </c>
      <c r="L338" t="str">
        <f>IF(VLOOKUP(H338,metric_dict!A:C,3,0)=0,"",VLOOKUP(H338,metric_dict!A:C,3,0))</f>
        <v/>
      </c>
      <c r="M338" t="str">
        <f>VLOOKUP(H338,metric_dict!A:AA,4,0)</f>
        <v>Коммуникация + ценность</v>
      </c>
      <c r="N338" t="str">
        <f>VLOOKUP(H338,metric_dict!A:AA,5,0)</f>
        <v>Проработать механики удержания клиентов</v>
      </c>
      <c r="O338">
        <f>VLOOKUP(H338,metric_dict!A:AA,6,0)</f>
        <v>5</v>
      </c>
      <c r="P338" t="s">
        <v>97</v>
      </c>
      <c r="Q338">
        <f>VLOOKUP(H338,metric_dict!A:AA,7,0)</f>
        <v>6</v>
      </c>
    </row>
    <row r="339" spans="1:17" x14ac:dyDescent="0.2">
      <c r="A339">
        <v>234</v>
      </c>
      <c r="B339">
        <v>235</v>
      </c>
      <c r="C339">
        <v>234</v>
      </c>
      <c r="D339">
        <v>233</v>
      </c>
      <c r="E339" t="s">
        <v>251</v>
      </c>
      <c r="F339" t="s">
        <v>48</v>
      </c>
      <c r="G339">
        <v>26</v>
      </c>
      <c r="H339" t="s">
        <v>265</v>
      </c>
      <c r="I339">
        <v>0</v>
      </c>
      <c r="J339">
        <v>0</v>
      </c>
      <c r="K339" t="str">
        <f>VLOOKUP(H339,metric_dict!A:B,2,0)</f>
        <v>Механики</v>
      </c>
      <c r="L339" t="str">
        <f>IF(VLOOKUP(H339,metric_dict!A:C,3,0)=0,"",VLOOKUP(H339,metric_dict!A:C,3,0))</f>
        <v/>
      </c>
      <c r="M339" t="str">
        <f>VLOOKUP(H339,metric_dict!A:AA,4,0)</f>
        <v>Настроен по ключевым механикам работы с клиентской базой</v>
      </c>
      <c r="N339" t="str">
        <f>VLOOKUP(H339,metric_dict!A:AA,5,0)</f>
        <v>Настроить мониторинг по ключевым механикам</v>
      </c>
      <c r="O339">
        <f>VLOOKUP(H339,metric_dict!A:AA,6,0)</f>
        <v>2</v>
      </c>
      <c r="P339" t="s">
        <v>97</v>
      </c>
      <c r="Q339">
        <f>VLOOKUP(H339,metric_dict!A:AA,7,0)</f>
        <v>22</v>
      </c>
    </row>
    <row r="340" spans="1:17" x14ac:dyDescent="0.2">
      <c r="A340">
        <v>234</v>
      </c>
      <c r="B340">
        <v>235</v>
      </c>
      <c r="C340">
        <v>234</v>
      </c>
      <c r="D340">
        <v>233</v>
      </c>
      <c r="E340" t="s">
        <v>251</v>
      </c>
      <c r="F340" t="s">
        <v>48</v>
      </c>
      <c r="G340">
        <v>27</v>
      </c>
      <c r="H340" t="s">
        <v>159</v>
      </c>
      <c r="I340">
        <v>0</v>
      </c>
      <c r="J340">
        <v>0.5</v>
      </c>
      <c r="K340" t="str">
        <f>VLOOKUP(H340,metric_dict!A:B,2,0)</f>
        <v>Механики</v>
      </c>
      <c r="L340" t="str">
        <f>IF(VLOOKUP(H340,metric_dict!A:C,3,0)=0,"",VLOOKUP(H340,metric_dict!A:C,3,0))</f>
        <v/>
      </c>
      <c r="M340" t="str">
        <f>VLOOKUP(H340,metric_dict!A:AA,4,0)</f>
        <v>Реактивация оттекающих клиентов</v>
      </c>
      <c r="N340" t="str">
        <f>VLOOKUP(H340,metric_dict!A:AA,5,0)</f>
        <v>Проработать механики реактивации клиентов</v>
      </c>
      <c r="O340">
        <f>VLOOKUP(H340,metric_dict!A:AA,6,0)</f>
        <v>5</v>
      </c>
      <c r="P340" t="s">
        <v>97</v>
      </c>
      <c r="Q340">
        <f>VLOOKUP(H340,metric_dict!A:AA,7,0)</f>
        <v>4</v>
      </c>
    </row>
    <row r="341" spans="1:17" x14ac:dyDescent="0.2">
      <c r="A341">
        <v>234</v>
      </c>
      <c r="B341">
        <v>235</v>
      </c>
      <c r="C341">
        <v>234</v>
      </c>
      <c r="D341">
        <v>233</v>
      </c>
      <c r="E341" t="s">
        <v>251</v>
      </c>
      <c r="F341" t="s">
        <v>48</v>
      </c>
      <c r="G341">
        <v>28</v>
      </c>
      <c r="H341" t="s">
        <v>159</v>
      </c>
      <c r="I341">
        <v>0</v>
      </c>
      <c r="J341">
        <v>0.5</v>
      </c>
      <c r="K341" t="str">
        <f>VLOOKUP(H341,metric_dict!A:B,2,0)</f>
        <v>Механики</v>
      </c>
      <c r="L341" t="str">
        <f>IF(VLOOKUP(H341,metric_dict!A:C,3,0)=0,"",VLOOKUP(H341,metric_dict!A:C,3,0))</f>
        <v/>
      </c>
      <c r="M341" t="str">
        <f>VLOOKUP(H341,metric_dict!A:AA,4,0)</f>
        <v>Реактивация оттекающих клиентов</v>
      </c>
      <c r="N341" t="str">
        <f>VLOOKUP(H341,metric_dict!A:AA,5,0)</f>
        <v>Проработать механики реактивации клиентов</v>
      </c>
      <c r="O341">
        <f>VLOOKUP(H341,metric_dict!A:AA,6,0)</f>
        <v>5</v>
      </c>
      <c r="P341" t="s">
        <v>97</v>
      </c>
      <c r="Q341">
        <f>VLOOKUP(H341,metric_dict!A:AA,7,0)</f>
        <v>4</v>
      </c>
    </row>
    <row r="342" spans="1:17" x14ac:dyDescent="0.2">
      <c r="A342">
        <v>234</v>
      </c>
      <c r="B342">
        <v>235</v>
      </c>
      <c r="C342">
        <v>234</v>
      </c>
      <c r="D342">
        <v>233</v>
      </c>
      <c r="E342" t="s">
        <v>251</v>
      </c>
      <c r="F342" t="s">
        <v>48</v>
      </c>
      <c r="G342">
        <v>29</v>
      </c>
      <c r="H342" t="s">
        <v>265</v>
      </c>
      <c r="I342">
        <v>0</v>
      </c>
      <c r="J342">
        <v>0</v>
      </c>
      <c r="K342" t="str">
        <f>VLOOKUP(H342,metric_dict!A:B,2,0)</f>
        <v>Механики</v>
      </c>
      <c r="L342" t="str">
        <f>IF(VLOOKUP(H342,metric_dict!A:C,3,0)=0,"",VLOOKUP(H342,metric_dict!A:C,3,0))</f>
        <v/>
      </c>
      <c r="M342" t="str">
        <f>VLOOKUP(H342,metric_dict!A:AA,4,0)</f>
        <v>Настроен по ключевым механикам работы с клиентской базой</v>
      </c>
      <c r="N342" t="str">
        <f>VLOOKUP(H342,metric_dict!A:AA,5,0)</f>
        <v>Настроить мониторинг по ключевым механикам</v>
      </c>
      <c r="O342">
        <f>VLOOKUP(H342,metric_dict!A:AA,6,0)</f>
        <v>2</v>
      </c>
      <c r="P342" t="s">
        <v>97</v>
      </c>
      <c r="Q342">
        <f>VLOOKUP(H342,metric_dict!A:AA,7,0)</f>
        <v>22</v>
      </c>
    </row>
    <row r="343" spans="1:17" x14ac:dyDescent="0.2">
      <c r="A343">
        <v>234</v>
      </c>
      <c r="B343">
        <v>235</v>
      </c>
      <c r="C343">
        <v>234</v>
      </c>
      <c r="D343">
        <v>233</v>
      </c>
      <c r="E343" t="s">
        <v>251</v>
      </c>
      <c r="F343" t="s">
        <v>48</v>
      </c>
      <c r="G343">
        <v>30</v>
      </c>
      <c r="H343" t="s">
        <v>162</v>
      </c>
      <c r="I343">
        <v>0</v>
      </c>
      <c r="J343">
        <v>1</v>
      </c>
      <c r="K343" t="str">
        <f>VLOOKUP(H343,metric_dict!A:B,2,0)</f>
        <v>Механики</v>
      </c>
      <c r="L343" t="str">
        <f>IF(VLOOKUP(H343,metric_dict!A:C,3,0)=0,"",VLOOKUP(H343,metric_dict!A:C,3,0))</f>
        <v/>
      </c>
      <c r="M343" t="str">
        <f>VLOOKUP(H343,metric_dict!A:AA,4,0)</f>
        <v>В оформлении и после покупки</v>
      </c>
      <c r="N343" t="str">
        <f>VLOOKUP(H343,metric_dict!A:AA,5,0)</f>
        <v>Проработать механики кросс-продаж</v>
      </c>
      <c r="O343">
        <f>VLOOKUP(H343,metric_dict!A:AA,6,0)</f>
        <v>5</v>
      </c>
      <c r="P343" t="s">
        <v>97</v>
      </c>
      <c r="Q343">
        <f>VLOOKUP(H343,metric_dict!A:AA,7,0)</f>
        <v>8</v>
      </c>
    </row>
    <row r="344" spans="1:17" x14ac:dyDescent="0.2">
      <c r="A344">
        <v>234</v>
      </c>
      <c r="B344">
        <v>235</v>
      </c>
      <c r="C344">
        <v>234</v>
      </c>
      <c r="D344">
        <v>233</v>
      </c>
      <c r="E344" t="s">
        <v>251</v>
      </c>
      <c r="F344" t="s">
        <v>48</v>
      </c>
      <c r="G344">
        <v>31</v>
      </c>
      <c r="H344" t="s">
        <v>162</v>
      </c>
      <c r="I344">
        <v>0</v>
      </c>
      <c r="J344">
        <v>0</v>
      </c>
      <c r="K344" t="str">
        <f>VLOOKUP(H344,metric_dict!A:B,2,0)</f>
        <v>Механики</v>
      </c>
      <c r="L344" t="str">
        <f>IF(VLOOKUP(H344,metric_dict!A:C,3,0)=0,"",VLOOKUP(H344,metric_dict!A:C,3,0))</f>
        <v/>
      </c>
      <c r="M344" t="str">
        <f>VLOOKUP(H344,metric_dict!A:AA,4,0)</f>
        <v>В оформлении и после покупки</v>
      </c>
      <c r="N344" t="str">
        <f>VLOOKUP(H344,metric_dict!A:AA,5,0)</f>
        <v>Проработать механики кросс-продаж</v>
      </c>
      <c r="O344">
        <f>VLOOKUP(H344,metric_dict!A:AA,6,0)</f>
        <v>5</v>
      </c>
      <c r="P344" t="s">
        <v>97</v>
      </c>
      <c r="Q344">
        <f>VLOOKUP(H344,metric_dict!A:AA,7,0)</f>
        <v>8</v>
      </c>
    </row>
    <row r="345" spans="1:17" x14ac:dyDescent="0.2">
      <c r="A345">
        <v>234</v>
      </c>
      <c r="B345">
        <v>235</v>
      </c>
      <c r="C345">
        <v>234</v>
      </c>
      <c r="D345">
        <v>233</v>
      </c>
      <c r="E345" t="s">
        <v>251</v>
      </c>
      <c r="F345" t="s">
        <v>48</v>
      </c>
      <c r="G345">
        <v>32</v>
      </c>
      <c r="H345" t="s">
        <v>162</v>
      </c>
      <c r="I345">
        <v>0</v>
      </c>
      <c r="J345">
        <v>0</v>
      </c>
      <c r="K345" t="str">
        <f>VLOOKUP(H345,metric_dict!A:B,2,0)</f>
        <v>Механики</v>
      </c>
      <c r="L345" t="str">
        <f>IF(VLOOKUP(H345,metric_dict!A:C,3,0)=0,"",VLOOKUP(H345,metric_dict!A:C,3,0))</f>
        <v/>
      </c>
      <c r="M345" t="str">
        <f>VLOOKUP(H345,metric_dict!A:AA,4,0)</f>
        <v>В оформлении и после покупки</v>
      </c>
      <c r="N345" t="str">
        <f>VLOOKUP(H345,metric_dict!A:AA,5,0)</f>
        <v>Проработать механики кросс-продаж</v>
      </c>
      <c r="O345">
        <f>VLOOKUP(H345,metric_dict!A:AA,6,0)</f>
        <v>5</v>
      </c>
      <c r="P345" t="s">
        <v>97</v>
      </c>
      <c r="Q345">
        <f>VLOOKUP(H345,metric_dict!A:AA,7,0)</f>
        <v>8</v>
      </c>
    </row>
    <row r="346" spans="1:17" x14ac:dyDescent="0.2">
      <c r="A346">
        <v>234</v>
      </c>
      <c r="B346">
        <v>235</v>
      </c>
      <c r="C346">
        <v>234</v>
      </c>
      <c r="D346">
        <v>233</v>
      </c>
      <c r="E346" t="s">
        <v>251</v>
      </c>
      <c r="F346" t="s">
        <v>48</v>
      </c>
      <c r="G346">
        <v>33</v>
      </c>
      <c r="H346" t="s">
        <v>363</v>
      </c>
      <c r="I346">
        <v>1</v>
      </c>
      <c r="J346">
        <v>1</v>
      </c>
      <c r="K346" t="str">
        <f>VLOOKUP(H346,metric_dict!A:B,2,0)</f>
        <v>Механики</v>
      </c>
      <c r="L346" t="str">
        <f>IF(VLOOKUP(H346,metric_dict!A:C,3,0)=0,"",VLOOKUP(H346,metric_dict!A:C,3,0))</f>
        <v/>
      </c>
      <c r="M346" t="str">
        <f>VLOOKUP(H346,metric_dict!A:AA,4,0)</f>
        <v>Переход клиента на более ценный продукт или расширенный пакет услуг</v>
      </c>
      <c r="N346" t="str">
        <f>VLOOKUP(H346,metric_dict!A:AA,5,0)</f>
        <v>Настроить мониторинг по ключевым механикам</v>
      </c>
      <c r="O346">
        <f>VLOOKUP(H346,metric_dict!A:AA,6,0)</f>
        <v>5</v>
      </c>
      <c r="P346" t="s">
        <v>97</v>
      </c>
      <c r="Q346">
        <f>VLOOKUP(H346,metric_dict!A:AA,7,0)</f>
        <v>10</v>
      </c>
    </row>
    <row r="347" spans="1:17" x14ac:dyDescent="0.2">
      <c r="A347">
        <v>234</v>
      </c>
      <c r="B347">
        <v>235</v>
      </c>
      <c r="C347">
        <v>234</v>
      </c>
      <c r="D347">
        <v>233</v>
      </c>
      <c r="E347" t="s">
        <v>251</v>
      </c>
      <c r="F347" t="s">
        <v>48</v>
      </c>
      <c r="G347">
        <v>34</v>
      </c>
      <c r="H347" t="s">
        <v>265</v>
      </c>
      <c r="I347">
        <v>0</v>
      </c>
      <c r="J347">
        <v>0</v>
      </c>
      <c r="K347" t="str">
        <f>VLOOKUP(H347,metric_dict!A:B,2,0)</f>
        <v>Механики</v>
      </c>
      <c r="L347" t="str">
        <f>IF(VLOOKUP(H347,metric_dict!A:C,3,0)=0,"",VLOOKUP(H347,metric_dict!A:C,3,0))</f>
        <v/>
      </c>
      <c r="M347" t="str">
        <f>VLOOKUP(H347,metric_dict!A:AA,4,0)</f>
        <v>Настроен по ключевым механикам работы с клиентской базой</v>
      </c>
      <c r="N347" t="str">
        <f>VLOOKUP(H347,metric_dict!A:AA,5,0)</f>
        <v>Настроить мониторинг по ключевым механикам</v>
      </c>
      <c r="O347">
        <f>VLOOKUP(H347,metric_dict!A:AA,6,0)</f>
        <v>2</v>
      </c>
      <c r="P347" t="s">
        <v>97</v>
      </c>
      <c r="Q347">
        <f>VLOOKUP(H347,metric_dict!A:AA,7,0)</f>
        <v>22</v>
      </c>
    </row>
    <row r="348" spans="1:17" x14ac:dyDescent="0.2">
      <c r="A348">
        <v>234</v>
      </c>
      <c r="B348">
        <v>235</v>
      </c>
      <c r="C348">
        <v>234</v>
      </c>
      <c r="D348">
        <v>233</v>
      </c>
      <c r="E348" t="s">
        <v>251</v>
      </c>
      <c r="F348" t="s">
        <v>48</v>
      </c>
      <c r="G348">
        <v>35</v>
      </c>
      <c r="H348" t="s">
        <v>165</v>
      </c>
      <c r="I348">
        <v>0.5</v>
      </c>
      <c r="J348">
        <v>1</v>
      </c>
      <c r="K348" t="str">
        <f>VLOOKUP(H348,metric_dict!A:B,2,0)</f>
        <v>Гипотезы и инициативы</v>
      </c>
      <c r="L348" t="str">
        <f>IF(VLOOKUP(H348,metric_dict!A:C,3,0)=0,"",VLOOKUP(H348,metric_dict!A:C,3,0))</f>
        <v/>
      </c>
      <c r="M348" t="str">
        <f>VLOOKUP(H348,metric_dict!A:AA,4,0)</f>
        <v>Доля исследовательских задач DA</v>
      </c>
      <c r="N348" t="str">
        <f>VLOOKUP(H348,metric_dict!A:AA,5,0)</f>
        <v>Сфокусировать бэклог аналитиков на research-задачи</v>
      </c>
      <c r="O348">
        <f>VLOOKUP(H348,metric_dict!A:AA,6,0)</f>
        <v>5</v>
      </c>
      <c r="P348" t="s">
        <v>97</v>
      </c>
      <c r="Q348">
        <f>VLOOKUP(H348,metric_dict!A:AA,7,0)</f>
        <v>1</v>
      </c>
    </row>
    <row r="349" spans="1:17" x14ac:dyDescent="0.2">
      <c r="A349">
        <v>234</v>
      </c>
      <c r="B349">
        <v>235</v>
      </c>
      <c r="C349">
        <v>234</v>
      </c>
      <c r="D349">
        <v>233</v>
      </c>
      <c r="E349" t="s">
        <v>251</v>
      </c>
      <c r="F349" t="s">
        <v>48</v>
      </c>
      <c r="G349">
        <v>36</v>
      </c>
      <c r="H349" t="s">
        <v>169</v>
      </c>
      <c r="I349">
        <v>0</v>
      </c>
      <c r="J349">
        <v>0</v>
      </c>
      <c r="K349" t="e">
        <f>VLOOKUP(H349,metric_dict!A:B,2,0)</f>
        <v>#N/A</v>
      </c>
      <c r="L349" t="e">
        <f>IF(VLOOKUP(H349,metric_dict!A:C,3,0)=0,"",VLOOKUP(H349,metric_dict!A:C,3,0))</f>
        <v>#N/A</v>
      </c>
      <c r="M349" t="e">
        <f>VLOOKUP(H349,metric_dict!A:AA,4,0)</f>
        <v>#N/A</v>
      </c>
      <c r="N349" t="e">
        <f>VLOOKUP(H349,metric_dict!A:AA,5,0)</f>
        <v>#N/A</v>
      </c>
      <c r="O349" t="e">
        <f>VLOOKUP(H349,metric_dict!A:AA,6,0)</f>
        <v>#N/A</v>
      </c>
      <c r="P349" t="s">
        <v>97</v>
      </c>
      <c r="Q349" t="e">
        <f>VLOOKUP(H349,metric_dict!A:AA,7,0)</f>
        <v>#N/A</v>
      </c>
    </row>
    <row r="350" spans="1:17" x14ac:dyDescent="0.2">
      <c r="A350">
        <v>234</v>
      </c>
      <c r="B350">
        <v>235</v>
      </c>
      <c r="C350">
        <v>234</v>
      </c>
      <c r="D350">
        <v>233</v>
      </c>
      <c r="E350" t="s">
        <v>251</v>
      </c>
      <c r="F350" t="s">
        <v>48</v>
      </c>
      <c r="G350">
        <v>38</v>
      </c>
      <c r="H350" t="s">
        <v>170</v>
      </c>
      <c r="I350">
        <v>0.5</v>
      </c>
      <c r="J350">
        <v>0.5</v>
      </c>
      <c r="K350" t="str">
        <f>VLOOKUP(H350,metric_dict!A:B,2,0)</f>
        <v>Воронка привлечения</v>
      </c>
      <c r="L350" t="str">
        <f>IF(VLOOKUP(H350,metric_dict!A:C,3,0)=0,"",VLOOKUP(H350,metric_dict!A:C,3,0))</f>
        <v/>
      </c>
      <c r="M350" t="str">
        <f>VLOOKUP(H350,metric_dict!A:AA,4,0)</f>
        <v>Self-service / кампейнинг, успешность</v>
      </c>
      <c r="N350" t="str">
        <f>VLOOKUP(H350,metric_dict!A:AA,5,0)</f>
        <v>Развитие кампейнинга</v>
      </c>
      <c r="O350">
        <f>VLOOKUP(H350,metric_dict!A:AA,6,0)</f>
        <v>2</v>
      </c>
      <c r="P350" t="s">
        <v>97</v>
      </c>
      <c r="Q350">
        <f>VLOOKUP(H350,metric_dict!A:AA,7,0)</f>
        <v>6</v>
      </c>
    </row>
    <row r="351" spans="1:17" x14ac:dyDescent="0.2">
      <c r="A351">
        <v>234</v>
      </c>
      <c r="B351">
        <v>235</v>
      </c>
      <c r="C351">
        <v>234</v>
      </c>
      <c r="D351">
        <v>233</v>
      </c>
      <c r="E351" t="s">
        <v>251</v>
      </c>
      <c r="F351" t="s">
        <v>48</v>
      </c>
      <c r="G351">
        <v>39</v>
      </c>
      <c r="H351" t="s">
        <v>170</v>
      </c>
      <c r="I351">
        <v>0.5</v>
      </c>
      <c r="J351">
        <v>0.5</v>
      </c>
      <c r="K351" t="str">
        <f>VLOOKUP(H351,metric_dict!A:B,2,0)</f>
        <v>Воронка привлечения</v>
      </c>
      <c r="L351" t="str">
        <f>IF(VLOOKUP(H351,metric_dict!A:C,3,0)=0,"",VLOOKUP(H351,metric_dict!A:C,3,0))</f>
        <v/>
      </c>
      <c r="M351" t="str">
        <f>VLOOKUP(H351,metric_dict!A:AA,4,0)</f>
        <v>Self-service / кампейнинг, успешность</v>
      </c>
      <c r="N351" t="str">
        <f>VLOOKUP(H351,metric_dict!A:AA,5,0)</f>
        <v>Развитие кампейнинга</v>
      </c>
      <c r="O351">
        <f>VLOOKUP(H351,metric_dict!A:AA,6,0)</f>
        <v>2</v>
      </c>
      <c r="P351" t="s">
        <v>97</v>
      </c>
      <c r="Q351">
        <f>VLOOKUP(H351,metric_dict!A:AA,7,0)</f>
        <v>6</v>
      </c>
    </row>
    <row r="352" spans="1:17" x14ac:dyDescent="0.2">
      <c r="A352">
        <v>234</v>
      </c>
      <c r="B352">
        <v>235</v>
      </c>
      <c r="C352">
        <v>234</v>
      </c>
      <c r="D352">
        <v>233</v>
      </c>
      <c r="E352" t="s">
        <v>251</v>
      </c>
      <c r="F352" t="s">
        <v>48</v>
      </c>
      <c r="G352">
        <v>40</v>
      </c>
      <c r="H352" t="s">
        <v>170</v>
      </c>
      <c r="I352">
        <v>0.5</v>
      </c>
      <c r="J352">
        <v>0.5</v>
      </c>
      <c r="K352" t="str">
        <f>VLOOKUP(H352,metric_dict!A:B,2,0)</f>
        <v>Воронка привлечения</v>
      </c>
      <c r="L352" t="str">
        <f>IF(VLOOKUP(H352,metric_dict!A:C,3,0)=0,"",VLOOKUP(H352,metric_dict!A:C,3,0))</f>
        <v/>
      </c>
      <c r="M352" t="str">
        <f>VLOOKUP(H352,metric_dict!A:AA,4,0)</f>
        <v>Self-service / кампейнинг, успешность</v>
      </c>
      <c r="N352" t="str">
        <f>VLOOKUP(H352,metric_dict!A:AA,5,0)</f>
        <v>Развитие кампейнинга</v>
      </c>
      <c r="O352">
        <f>VLOOKUP(H352,metric_dict!A:AA,6,0)</f>
        <v>2</v>
      </c>
      <c r="P352" t="s">
        <v>97</v>
      </c>
      <c r="Q352">
        <f>VLOOKUP(H352,metric_dict!A:AA,7,0)</f>
        <v>6</v>
      </c>
    </row>
    <row r="353" spans="1:17" x14ac:dyDescent="0.2">
      <c r="A353">
        <v>234</v>
      </c>
      <c r="B353">
        <v>235</v>
      </c>
      <c r="C353">
        <v>234</v>
      </c>
      <c r="D353">
        <v>233</v>
      </c>
      <c r="E353" t="s">
        <v>251</v>
      </c>
      <c r="F353" t="s">
        <v>48</v>
      </c>
      <c r="G353">
        <v>41</v>
      </c>
      <c r="H353" t="s">
        <v>173</v>
      </c>
      <c r="I353">
        <v>0</v>
      </c>
      <c r="J353">
        <v>1</v>
      </c>
      <c r="K353" t="str">
        <f>VLOOKUP(H353,metric_dict!A:B,2,0)</f>
        <v>Воронка привлечения</v>
      </c>
      <c r="L353" t="str">
        <f>IF(VLOOKUP(H353,metric_dict!A:C,3,0)=0,"",VLOOKUP(H353,metric_dict!A:C,3,0))</f>
        <v/>
      </c>
      <c r="M353" t="str">
        <f>VLOOKUP(H353,metric_dict!A:AA,4,0)</f>
        <v>Покрытие черновиков коммуникациями</v>
      </c>
      <c r="N353" t="str">
        <f>VLOOKUP(H353,metric_dict!A:AA,5,0)</f>
        <v>Увеличить покрытие черновиков</v>
      </c>
      <c r="O353">
        <f>VLOOKUP(H353,metric_dict!A:AA,6,0)</f>
        <v>5</v>
      </c>
      <c r="P353" t="s">
        <v>97</v>
      </c>
      <c r="Q353">
        <f>VLOOKUP(H353,metric_dict!A:AA,7,0)</f>
        <v>7</v>
      </c>
    </row>
    <row r="354" spans="1:17" x14ac:dyDescent="0.2">
      <c r="A354">
        <v>234</v>
      </c>
      <c r="B354">
        <v>235</v>
      </c>
      <c r="C354">
        <v>234</v>
      </c>
      <c r="D354">
        <v>233</v>
      </c>
      <c r="E354" t="s">
        <v>251</v>
      </c>
      <c r="F354" t="s">
        <v>48</v>
      </c>
      <c r="G354">
        <v>42</v>
      </c>
      <c r="H354" t="s">
        <v>176</v>
      </c>
      <c r="I354">
        <v>0.5</v>
      </c>
      <c r="J354">
        <v>1</v>
      </c>
      <c r="K354" t="str">
        <f>VLOOKUP(H354,metric_dict!A:B,2,0)</f>
        <v>Клиентский опыт</v>
      </c>
      <c r="L354" t="str">
        <f>IF(VLOOKUP(H354,metric_dict!A:C,3,0)=0,"",VLOOKUP(H354,metric_dict!A:C,3,0))</f>
        <v/>
      </c>
      <c r="M354" t="str">
        <f>VLOOKUP(H354,metric_dict!A:AA,4,0)</f>
        <v>Зелёная зона клиентского пути</v>
      </c>
      <c r="N354" t="str">
        <f>VLOOKUP(H354,metric_dict!A:AA,5,0)</f>
        <v>Достигнуть целевого CX Score</v>
      </c>
      <c r="O354">
        <f>VLOOKUP(H354,metric_dict!A:AA,6,0)</f>
        <v>5</v>
      </c>
      <c r="P354" t="s">
        <v>97</v>
      </c>
      <c r="Q354">
        <f>VLOOKUP(H354,metric_dict!A:AA,7,0)</f>
        <v>1</v>
      </c>
    </row>
    <row r="355" spans="1:17" x14ac:dyDescent="0.2">
      <c r="A355">
        <v>234</v>
      </c>
      <c r="B355">
        <v>235</v>
      </c>
      <c r="C355">
        <v>234</v>
      </c>
      <c r="D355">
        <v>233</v>
      </c>
      <c r="E355" t="s">
        <v>251</v>
      </c>
      <c r="F355" t="s">
        <v>48</v>
      </c>
      <c r="G355">
        <v>43</v>
      </c>
      <c r="H355" t="s">
        <v>179</v>
      </c>
      <c r="I355">
        <v>0</v>
      </c>
      <c r="J355">
        <v>0</v>
      </c>
      <c r="K355" t="str">
        <f>VLOOKUP(H355,metric_dict!A:B,2,0)</f>
        <v>Гипотезы и инициативы</v>
      </c>
      <c r="L355" t="str">
        <f>IF(VLOOKUP(H355,metric_dict!A:C,3,0)=0,"",VLOOKUP(H355,metric_dict!A:C,3,0))</f>
        <v/>
      </c>
      <c r="M355" t="str">
        <f>VLOOKUP(H355,metric_dict!A:AA,4,0)</f>
        <v>Проведение A/B тестов</v>
      </c>
      <c r="N355" t="str">
        <f>VLOOKUP(H355,metric_dict!A:AA,5,0)</f>
        <v>Запустить A/B-тестирование</v>
      </c>
      <c r="O355">
        <f>VLOOKUP(H355,metric_dict!A:AA,6,0)</f>
        <v>5</v>
      </c>
      <c r="P355" t="s">
        <v>97</v>
      </c>
      <c r="Q355">
        <f>VLOOKUP(H355,metric_dict!A:AA,7,0)</f>
        <v>3</v>
      </c>
    </row>
    <row r="356" spans="1:17" x14ac:dyDescent="0.2">
      <c r="A356">
        <v>234</v>
      </c>
      <c r="B356">
        <v>235</v>
      </c>
      <c r="C356">
        <v>234</v>
      </c>
      <c r="D356">
        <v>233</v>
      </c>
      <c r="E356" t="s">
        <v>251</v>
      </c>
      <c r="F356" t="s">
        <v>48</v>
      </c>
      <c r="G356">
        <v>44</v>
      </c>
      <c r="H356" t="s">
        <v>182</v>
      </c>
      <c r="I356">
        <v>0</v>
      </c>
      <c r="J356">
        <v>1</v>
      </c>
      <c r="K356" t="str">
        <f>VLOOKUP(H356,metric_dict!A:B,2,0)</f>
        <v>Гипотезы и инициативы</v>
      </c>
      <c r="L356" t="str">
        <f>IF(VLOOKUP(H356,metric_dict!A:C,3,0)=0,"",VLOOKUP(H356,metric_dict!A:C,3,0))</f>
        <v/>
      </c>
      <c r="M356" t="str">
        <f>VLOOKUP(H356,metric_dict!A:AA,4,0)</f>
        <v>Средняя оценка проведенных исследований</v>
      </c>
      <c r="N356" t="str">
        <f>VLOOKUP(H356,metric_dict!A:AA,5,0)</f>
        <v>Повысить качество проведенных исследований</v>
      </c>
      <c r="O356">
        <f>VLOOKUP(H356,metric_dict!A:AA,6,0)</f>
        <v>5</v>
      </c>
      <c r="P356" t="s">
        <v>97</v>
      </c>
      <c r="Q356">
        <f>VLOOKUP(H356,metric_dict!A:AA,7,0)</f>
        <v>2</v>
      </c>
    </row>
    <row r="357" spans="1:17" x14ac:dyDescent="0.2">
      <c r="A357">
        <v>234</v>
      </c>
      <c r="B357">
        <v>235</v>
      </c>
      <c r="C357">
        <v>234</v>
      </c>
      <c r="D357">
        <v>233</v>
      </c>
      <c r="E357" t="s">
        <v>251</v>
      </c>
      <c r="F357" t="s">
        <v>48</v>
      </c>
      <c r="G357">
        <v>45</v>
      </c>
      <c r="H357" t="s">
        <v>185</v>
      </c>
      <c r="I357">
        <v>1</v>
      </c>
      <c r="J357">
        <v>1</v>
      </c>
      <c r="K357" t="str">
        <f>VLOOKUP(H357,metric_dict!A:B,2,0)</f>
        <v>Гипотезы и инициативы</v>
      </c>
      <c r="L357" t="str">
        <f>IF(VLOOKUP(H357,metric_dict!A:C,3,0)=0,"",VLOOKUP(H357,metric_dict!A:C,3,0))</f>
        <v/>
      </c>
      <c r="M357" t="str">
        <f>VLOOKUP(H357,metric_dict!A:AA,4,0)</f>
        <v>В реестре инициатив</v>
      </c>
      <c r="N357" t="str">
        <f>VLOOKUP(H357,metric_dict!A:AA,5,0)</f>
        <v>Сформировать перечень инициатив</v>
      </c>
      <c r="O357">
        <f>VLOOKUP(H357,metric_dict!A:AA,6,0)</f>
        <v>3</v>
      </c>
      <c r="P357" t="s">
        <v>97</v>
      </c>
      <c r="Q357">
        <f>VLOOKUP(H357,metric_dict!A:AA,7,0)</f>
        <v>4</v>
      </c>
    </row>
    <row r="358" spans="1:17" x14ac:dyDescent="0.2">
      <c r="A358">
        <v>234</v>
      </c>
      <c r="B358">
        <v>235</v>
      </c>
      <c r="C358">
        <v>234</v>
      </c>
      <c r="D358">
        <v>233</v>
      </c>
      <c r="E358" t="s">
        <v>251</v>
      </c>
      <c r="F358" t="s">
        <v>48</v>
      </c>
      <c r="G358">
        <v>47</v>
      </c>
      <c r="H358" t="s">
        <v>187</v>
      </c>
      <c r="I358">
        <v>0.2</v>
      </c>
      <c r="J358">
        <v>0.2</v>
      </c>
      <c r="K358" t="str">
        <f>VLOOKUP(H358,metric_dict!A:B,2,0)</f>
        <v>Знание ключевых метрик</v>
      </c>
      <c r="L358" t="str">
        <f>IF(VLOOKUP(H358,metric_dict!A:C,3,0)=0,"",VLOOKUP(H358,metric_dict!A:C,3,0))</f>
        <v/>
      </c>
      <c r="M358" t="str">
        <f>VLOOKUP(H358,metric_dict!A:AA,4,0)</f>
        <v>Оценка потенциального объема клиентов в Сбере</v>
      </c>
      <c r="N358" t="str">
        <f>VLOOKUP(H358,metric_dict!A:AA,5,0)</f>
        <v>Знание метрик и инструментов</v>
      </c>
      <c r="O358">
        <f>VLOOKUP(H358,metric_dict!A:AA,6,0)</f>
        <v>1</v>
      </c>
      <c r="P358" t="s">
        <v>97</v>
      </c>
      <c r="Q358">
        <f>VLOOKUP(H358,metric_dict!A:AA,7,0)</f>
        <v>2</v>
      </c>
    </row>
    <row r="359" spans="1:17" x14ac:dyDescent="0.2">
      <c r="A359">
        <v>234</v>
      </c>
      <c r="B359">
        <v>235</v>
      </c>
      <c r="C359">
        <v>234</v>
      </c>
      <c r="D359">
        <v>233</v>
      </c>
      <c r="E359" t="s">
        <v>251</v>
      </c>
      <c r="F359" t="s">
        <v>48</v>
      </c>
      <c r="G359">
        <v>48</v>
      </c>
      <c r="H359" t="s">
        <v>189</v>
      </c>
      <c r="I359">
        <v>0.2</v>
      </c>
      <c r="J359">
        <v>0.2</v>
      </c>
      <c r="K359" t="str">
        <f>VLOOKUP(H359,metric_dict!A:B,2,0)</f>
        <v>Знание ключевых метрик</v>
      </c>
      <c r="L359" t="str">
        <f>IF(VLOOKUP(H359,metric_dict!A:C,3,0)=0,"",VLOOKUP(H359,metric_dict!A:C,3,0))</f>
        <v/>
      </c>
      <c r="M359" t="str">
        <f>VLOOKUP(H359,metric_dict!A:AA,4,0)</f>
        <v>Фактическая база клиентов продукта</v>
      </c>
      <c r="N359" t="str">
        <f>VLOOKUP(H359,metric_dict!A:AA,5,0)</f>
        <v>Знание метрик и инструментов</v>
      </c>
      <c r="O359">
        <f>VLOOKUP(H359,metric_dict!A:AA,6,0)</f>
        <v>1</v>
      </c>
      <c r="P359" t="s">
        <v>97</v>
      </c>
      <c r="Q359">
        <f>VLOOKUP(H359,metric_dict!A:AA,7,0)</f>
        <v>3</v>
      </c>
    </row>
    <row r="360" spans="1:17" x14ac:dyDescent="0.2">
      <c r="A360">
        <v>234</v>
      </c>
      <c r="B360">
        <v>235</v>
      </c>
      <c r="C360">
        <v>234</v>
      </c>
      <c r="D360">
        <v>233</v>
      </c>
      <c r="E360" t="s">
        <v>251</v>
      </c>
      <c r="F360" t="s">
        <v>48</v>
      </c>
      <c r="G360">
        <v>49</v>
      </c>
      <c r="H360" t="s">
        <v>191</v>
      </c>
      <c r="I360">
        <v>0.2</v>
      </c>
      <c r="J360">
        <v>0.2</v>
      </c>
      <c r="K360" t="str">
        <f>VLOOKUP(H360,metric_dict!A:B,2,0)</f>
        <v>Знание ключевых метрик</v>
      </c>
      <c r="L360" t="str">
        <f>IF(VLOOKUP(H360,metric_dict!A:C,3,0)=0,"",VLOOKUP(H360,metric_dict!A:C,3,0))</f>
        <v/>
      </c>
      <c r="M360" t="str">
        <f>VLOOKUP(H360,metric_dict!A:AA,4,0)</f>
        <v>Активная месячная аудитория продукта</v>
      </c>
      <c r="N360" t="str">
        <f>VLOOKUP(H360,metric_dict!A:AA,5,0)</f>
        <v>Знание метрик и инструментов</v>
      </c>
      <c r="O360">
        <f>VLOOKUP(H360,metric_dict!A:AA,6,0)</f>
        <v>1</v>
      </c>
      <c r="P360" t="s">
        <v>97</v>
      </c>
      <c r="Q360">
        <f>VLOOKUP(H360,metric_dict!A:AA,7,0)</f>
        <v>4</v>
      </c>
    </row>
    <row r="361" spans="1:17" x14ac:dyDescent="0.2">
      <c r="A361">
        <v>234</v>
      </c>
      <c r="B361">
        <v>235</v>
      </c>
      <c r="C361">
        <v>234</v>
      </c>
      <c r="D361">
        <v>233</v>
      </c>
      <c r="E361" t="s">
        <v>251</v>
      </c>
      <c r="F361" t="s">
        <v>48</v>
      </c>
      <c r="G361">
        <v>50</v>
      </c>
      <c r="H361" t="s">
        <v>193</v>
      </c>
      <c r="I361">
        <v>0.1</v>
      </c>
      <c r="J361">
        <v>0.1</v>
      </c>
      <c r="K361" t="str">
        <f>VLOOKUP(H361,metric_dict!A:B,2,0)</f>
        <v>Знание ключевых метрик</v>
      </c>
      <c r="L361" t="str">
        <f>IF(VLOOKUP(H361,metric_dict!A:C,3,0)=0,"",VLOOKUP(H361,metric_dict!A:C,3,0))</f>
        <v/>
      </c>
      <c r="M361" t="str">
        <f>VLOOKUP(H361,metric_dict!A:AA,4,0)</f>
        <v>Понимание связанных продуктов и сценариев</v>
      </c>
      <c r="N361" t="str">
        <f>VLOOKUP(H361,metric_dict!A:AA,5,0)</f>
        <v>Знание метрик и инструментов</v>
      </c>
      <c r="O361">
        <f>VLOOKUP(H361,metric_dict!A:AA,6,0)</f>
        <v>1</v>
      </c>
      <c r="P361" t="s">
        <v>97</v>
      </c>
      <c r="Q361">
        <f>VLOOKUP(H361,metric_dict!A:AA,7,0)</f>
        <v>12</v>
      </c>
    </row>
    <row r="362" spans="1:17" x14ac:dyDescent="0.2">
      <c r="A362">
        <v>234</v>
      </c>
      <c r="B362">
        <v>235</v>
      </c>
      <c r="C362">
        <v>234</v>
      </c>
      <c r="D362">
        <v>233</v>
      </c>
      <c r="E362" t="s">
        <v>251</v>
      </c>
      <c r="F362" t="s">
        <v>48</v>
      </c>
      <c r="G362">
        <v>51</v>
      </c>
      <c r="H362" t="s">
        <v>193</v>
      </c>
      <c r="I362">
        <v>0.1</v>
      </c>
      <c r="J362">
        <v>0.1</v>
      </c>
      <c r="K362" t="str">
        <f>VLOOKUP(H362,metric_dict!A:B,2,0)</f>
        <v>Знание ключевых метрик</v>
      </c>
      <c r="L362" t="str">
        <f>IF(VLOOKUP(H362,metric_dict!A:C,3,0)=0,"",VLOOKUP(H362,metric_dict!A:C,3,0))</f>
        <v/>
      </c>
      <c r="M362" t="str">
        <f>VLOOKUP(H362,metric_dict!A:AA,4,0)</f>
        <v>Понимание связанных продуктов и сценариев</v>
      </c>
      <c r="N362" t="str">
        <f>VLOOKUP(H362,metric_dict!A:AA,5,0)</f>
        <v>Знание метрик и инструментов</v>
      </c>
      <c r="O362">
        <f>VLOOKUP(H362,metric_dict!A:AA,6,0)</f>
        <v>1</v>
      </c>
      <c r="P362" t="s">
        <v>97</v>
      </c>
      <c r="Q362">
        <f>VLOOKUP(H362,metric_dict!A:AA,7,0)</f>
        <v>12</v>
      </c>
    </row>
    <row r="363" spans="1:17" x14ac:dyDescent="0.2">
      <c r="A363">
        <v>234</v>
      </c>
      <c r="B363">
        <v>235</v>
      </c>
      <c r="C363">
        <v>234</v>
      </c>
      <c r="D363">
        <v>233</v>
      </c>
      <c r="E363" t="s">
        <v>251</v>
      </c>
      <c r="F363" t="s">
        <v>48</v>
      </c>
      <c r="G363">
        <v>97</v>
      </c>
      <c r="H363" t="s">
        <v>265</v>
      </c>
      <c r="I363">
        <v>0.25</v>
      </c>
      <c r="J363">
        <v>0.25</v>
      </c>
      <c r="K363" t="str">
        <f>VLOOKUP(H363,metric_dict!A:B,2,0)</f>
        <v>Механики</v>
      </c>
      <c r="L363" t="str">
        <f>IF(VLOOKUP(H363,metric_dict!A:C,3,0)=0,"",VLOOKUP(H363,metric_dict!A:C,3,0))</f>
        <v/>
      </c>
      <c r="M363" t="str">
        <f>VLOOKUP(H363,metric_dict!A:AA,4,0)</f>
        <v>Настроен по ключевым механикам работы с клиентской базой</v>
      </c>
      <c r="N363" t="str">
        <f>VLOOKUP(H363,metric_dict!A:AA,5,0)</f>
        <v>Настроить мониторинг по ключевым механикам</v>
      </c>
      <c r="O363">
        <f>VLOOKUP(H363,metric_dict!A:AA,6,0)</f>
        <v>2</v>
      </c>
      <c r="P363" t="s">
        <v>97</v>
      </c>
      <c r="Q363">
        <f>VLOOKUP(H363,metric_dict!A:AA,7,0)</f>
        <v>22</v>
      </c>
    </row>
    <row r="364" spans="1:17" x14ac:dyDescent="0.2">
      <c r="A364">
        <v>234</v>
      </c>
      <c r="B364">
        <v>235</v>
      </c>
      <c r="C364">
        <v>234</v>
      </c>
      <c r="D364">
        <v>233</v>
      </c>
      <c r="E364" t="s">
        <v>251</v>
      </c>
      <c r="F364" t="s">
        <v>48</v>
      </c>
      <c r="G364">
        <v>96</v>
      </c>
      <c r="H364" t="s">
        <v>265</v>
      </c>
      <c r="I364">
        <v>0</v>
      </c>
      <c r="J364">
        <v>0</v>
      </c>
      <c r="K364" t="str">
        <f>VLOOKUP(H364,metric_dict!A:B,2,0)</f>
        <v>Механики</v>
      </c>
      <c r="L364" t="str">
        <f>IF(VLOOKUP(H364,metric_dict!A:C,3,0)=0,"",VLOOKUP(H364,metric_dict!A:C,3,0))</f>
        <v/>
      </c>
      <c r="M364" t="str">
        <f>VLOOKUP(H364,metric_dict!A:AA,4,0)</f>
        <v>Настроен по ключевым механикам работы с клиентской базой</v>
      </c>
      <c r="N364" t="str">
        <f>VLOOKUP(H364,metric_dict!A:AA,5,0)</f>
        <v>Настроить мониторинг по ключевым механикам</v>
      </c>
      <c r="O364">
        <f>VLOOKUP(H364,metric_dict!A:AA,6,0)</f>
        <v>2</v>
      </c>
      <c r="P364" t="s">
        <v>97</v>
      </c>
      <c r="Q364">
        <f>VLOOKUP(H364,metric_dict!A:AA,7,0)</f>
        <v>22</v>
      </c>
    </row>
    <row r="365" spans="1:17" x14ac:dyDescent="0.2">
      <c r="A365">
        <v>234</v>
      </c>
      <c r="B365">
        <v>235</v>
      </c>
      <c r="C365">
        <v>234</v>
      </c>
      <c r="D365">
        <v>233</v>
      </c>
      <c r="E365" t="s">
        <v>251</v>
      </c>
      <c r="F365" t="s">
        <v>48</v>
      </c>
      <c r="G365">
        <v>99</v>
      </c>
      <c r="H365" t="s">
        <v>265</v>
      </c>
      <c r="I365">
        <v>0</v>
      </c>
      <c r="J365">
        <v>0</v>
      </c>
      <c r="K365" t="str">
        <f>VLOOKUP(H365,metric_dict!A:B,2,0)</f>
        <v>Механики</v>
      </c>
      <c r="L365" t="str">
        <f>IF(VLOOKUP(H365,metric_dict!A:C,3,0)=0,"",VLOOKUP(H365,metric_dict!A:C,3,0))</f>
        <v/>
      </c>
      <c r="M365" t="str">
        <f>VLOOKUP(H365,metric_dict!A:AA,4,0)</f>
        <v>Настроен по ключевым механикам работы с клиентской базой</v>
      </c>
      <c r="N365" t="str">
        <f>VLOOKUP(H365,metric_dict!A:AA,5,0)</f>
        <v>Настроить мониторинг по ключевым механикам</v>
      </c>
      <c r="O365">
        <f>VLOOKUP(H365,metric_dict!A:AA,6,0)</f>
        <v>2</v>
      </c>
      <c r="P365" t="s">
        <v>97</v>
      </c>
      <c r="Q365">
        <f>VLOOKUP(H365,metric_dict!A:AA,7,0)</f>
        <v>22</v>
      </c>
    </row>
    <row r="366" spans="1:17" x14ac:dyDescent="0.2">
      <c r="A366">
        <v>234</v>
      </c>
      <c r="B366">
        <v>235</v>
      </c>
      <c r="C366">
        <v>234</v>
      </c>
      <c r="D366">
        <v>233</v>
      </c>
      <c r="E366" t="s">
        <v>251</v>
      </c>
      <c r="F366" t="s">
        <v>48</v>
      </c>
      <c r="G366">
        <v>98</v>
      </c>
      <c r="H366" t="s">
        <v>204</v>
      </c>
      <c r="I366">
        <v>1</v>
      </c>
      <c r="J366">
        <v>1</v>
      </c>
      <c r="K366" t="str">
        <f>VLOOKUP(H366,metric_dict!A:B,2,0)</f>
        <v>Механики</v>
      </c>
      <c r="L366" t="str">
        <f>IF(VLOOKUP(H366,metric_dict!A:C,3,0)=0,"",VLOOKUP(H366,metric_dict!A:C,3,0))</f>
        <v/>
      </c>
      <c r="M366" t="str">
        <f>VLOOKUP(H366,metric_dict!A:AA,4,0)</f>
        <v>Возможность изменить набор опций по продукту без IT-разработки</v>
      </c>
      <c r="N366" t="str">
        <f>VLOOKUP(H366,metric_dict!A:AA,5,0)</f>
        <v>Выстроить процесс гибкого изменения условий без IT</v>
      </c>
      <c r="O366">
        <f>VLOOKUP(H366,metric_dict!A:AA,6,0)</f>
        <v>10</v>
      </c>
      <c r="P366" t="s">
        <v>97</v>
      </c>
      <c r="Q366">
        <f>VLOOKUP(H366,metric_dict!A:AA,7,0)</f>
        <v>7</v>
      </c>
    </row>
    <row r="367" spans="1:17" x14ac:dyDescent="0.2">
      <c r="A367">
        <v>420</v>
      </c>
      <c r="B367">
        <f>A367+1</f>
        <v>421</v>
      </c>
      <c r="C367">
        <f>A367</f>
        <v>420</v>
      </c>
      <c r="D367">
        <f>A367-1</f>
        <v>419</v>
      </c>
      <c r="E367" t="s">
        <v>251</v>
      </c>
      <c r="F367" t="s">
        <v>321</v>
      </c>
      <c r="G367">
        <v>1</v>
      </c>
      <c r="H367" t="s">
        <v>92</v>
      </c>
      <c r="I367">
        <v>0.2</v>
      </c>
      <c r="J367">
        <v>0.2</v>
      </c>
      <c r="K367" t="str">
        <f>VLOOKUP(H367,metric_dict!A:B,2,0)</f>
        <v>Знание ключевых метрик</v>
      </c>
      <c r="L367" t="str">
        <f>IF(VLOOKUP(H367,metric_dict!A:C,3,0)=0,"",VLOOKUP(H367,metric_dict!A:C,3,0))</f>
        <v/>
      </c>
      <c r="M367" t="str">
        <f>VLOOKUP(H367,metric_dict!A:AA,4,0)</f>
        <v>Оценка потенциального объема клиентов в России</v>
      </c>
      <c r="N367" t="str">
        <f>VLOOKUP(H367,metric_dict!A:AA,5,0)</f>
        <v>Знание метрик и инструментов</v>
      </c>
      <c r="O367">
        <f>VLOOKUP(H367,metric_dict!A:AA,6,0)</f>
        <v>1</v>
      </c>
      <c r="P367" t="s">
        <v>97</v>
      </c>
      <c r="Q367">
        <f>VLOOKUP(H367,metric_dict!A:AA,7,0)</f>
        <v>1</v>
      </c>
    </row>
    <row r="368" spans="1:17" x14ac:dyDescent="0.2">
      <c r="A368">
        <v>420</v>
      </c>
      <c r="B368">
        <f t="shared" ref="B368:B418" si="0">A368+1</f>
        <v>421</v>
      </c>
      <c r="C368">
        <f t="shared" ref="C368:C418" si="1">A368</f>
        <v>420</v>
      </c>
      <c r="D368">
        <f t="shared" ref="D368:D418" si="2">A368-1</f>
        <v>419</v>
      </c>
      <c r="E368" t="s">
        <v>251</v>
      </c>
      <c r="F368" t="s">
        <v>321</v>
      </c>
      <c r="G368">
        <v>2</v>
      </c>
      <c r="H368" t="s">
        <v>98</v>
      </c>
      <c r="I368">
        <v>0.25</v>
      </c>
      <c r="J368">
        <v>0.5</v>
      </c>
      <c r="K368" t="str">
        <f>VLOOKUP(H368,metric_dict!A:B,2,0)</f>
        <v>Знание ключевых метрик</v>
      </c>
      <c r="L368" t="str">
        <f>IF(VLOOKUP(H368,metric_dict!A:C,3,0)=0,"",VLOOKUP(H368,metric_dict!A:C,3,0))</f>
        <v/>
      </c>
      <c r="M368" t="str">
        <f>VLOOKUP(H368,metric_dict!A:AA,4,0)</f>
        <v>Понимание доступной отчетности и регулярного мониторинга</v>
      </c>
      <c r="N368" t="str">
        <f>VLOOKUP(H368,metric_dict!A:AA,5,0)</f>
        <v>Знание метрик и инструментов</v>
      </c>
      <c r="O368">
        <f>VLOOKUP(H368,metric_dict!A:AA,6,0)</f>
        <v>1</v>
      </c>
      <c r="P368" t="s">
        <v>97</v>
      </c>
      <c r="Q368">
        <f>VLOOKUP(H368,metric_dict!A:AA,7,0)</f>
        <v>13</v>
      </c>
    </row>
    <row r="369" spans="1:17" x14ac:dyDescent="0.2">
      <c r="A369">
        <v>420</v>
      </c>
      <c r="B369">
        <f t="shared" si="0"/>
        <v>421</v>
      </c>
      <c r="C369">
        <f t="shared" si="1"/>
        <v>420</v>
      </c>
      <c r="D369">
        <f t="shared" si="2"/>
        <v>419</v>
      </c>
      <c r="E369" t="s">
        <v>251</v>
      </c>
      <c r="F369" t="s">
        <v>321</v>
      </c>
      <c r="G369">
        <v>3</v>
      </c>
      <c r="H369" t="s">
        <v>100</v>
      </c>
      <c r="I369">
        <v>1</v>
      </c>
      <c r="J369">
        <v>1</v>
      </c>
      <c r="K369" t="str">
        <f>VLOOKUP(H369,metric_dict!A:B,2,0)</f>
        <v>Цели</v>
      </c>
      <c r="L369" t="str">
        <f>IF(VLOOKUP(H369,metric_dict!A:C,3,0)=0,"",VLOOKUP(H369,metric_dict!A:C,3,0))</f>
        <v/>
      </c>
      <c r="M369" t="str">
        <f>VLOOKUP(H369,metric_dict!A:AA,4,0)</f>
        <v>Регулярное обновление в Навигаторе</v>
      </c>
      <c r="N369" t="str">
        <f>VLOOKUP(H369,metric_dict!A:AA,5,0)</f>
        <v>Обогащение целей/драйверов/прогнозов в Навигаторе</v>
      </c>
      <c r="O369">
        <f>VLOOKUP(H369,metric_dict!A:AA,6,0)</f>
        <v>2</v>
      </c>
      <c r="P369" t="s">
        <v>97</v>
      </c>
      <c r="Q369">
        <f>VLOOKUP(H369,metric_dict!A:AA,7,0)</f>
        <v>1</v>
      </c>
    </row>
    <row r="370" spans="1:17" x14ac:dyDescent="0.2">
      <c r="A370">
        <v>420</v>
      </c>
      <c r="B370">
        <f t="shared" si="0"/>
        <v>421</v>
      </c>
      <c r="C370">
        <f t="shared" si="1"/>
        <v>420</v>
      </c>
      <c r="D370">
        <f t="shared" si="2"/>
        <v>419</v>
      </c>
      <c r="E370" t="s">
        <v>251</v>
      </c>
      <c r="F370" t="s">
        <v>321</v>
      </c>
      <c r="G370">
        <v>4</v>
      </c>
      <c r="H370" t="s">
        <v>104</v>
      </c>
      <c r="I370">
        <v>0.5</v>
      </c>
      <c r="J370">
        <v>1</v>
      </c>
      <c r="K370" t="str">
        <f>VLOOKUP(H370,metric_dict!A:B,2,0)</f>
        <v>Цели</v>
      </c>
      <c r="L370" t="str">
        <f>IF(VLOOKUP(H370,metric_dict!A:C,3,0)=0,"",VLOOKUP(H370,metric_dict!A:C,3,0))</f>
        <v/>
      </c>
      <c r="M370" t="str">
        <f>VLOOKUP(H370,metric_dict!A:AA,4,0)</f>
        <v>Согласно модели бизнес-процесса</v>
      </c>
      <c r="N370" t="str">
        <f>VLOOKUP(H370,metric_dict!A:AA,5,0)</f>
        <v>Декомпозировать значения целей на драйверы</v>
      </c>
      <c r="O370">
        <f>VLOOKUP(H370,metric_dict!A:AA,6,0)</f>
        <v>7</v>
      </c>
      <c r="P370" t="s">
        <v>97</v>
      </c>
      <c r="Q370">
        <f>VLOOKUP(H370,metric_dict!A:AA,7,0)</f>
        <v>2</v>
      </c>
    </row>
    <row r="371" spans="1:17" x14ac:dyDescent="0.2">
      <c r="A371">
        <v>420</v>
      </c>
      <c r="B371">
        <f t="shared" si="0"/>
        <v>421</v>
      </c>
      <c r="C371">
        <f t="shared" si="1"/>
        <v>420</v>
      </c>
      <c r="D371">
        <f t="shared" si="2"/>
        <v>419</v>
      </c>
      <c r="E371" t="s">
        <v>251</v>
      </c>
      <c r="F371" t="s">
        <v>321</v>
      </c>
      <c r="G371">
        <v>5</v>
      </c>
      <c r="H371" t="s">
        <v>108</v>
      </c>
      <c r="I371">
        <v>0</v>
      </c>
      <c r="J371">
        <v>1</v>
      </c>
      <c r="K371" t="str">
        <f>VLOOKUP(H371,metric_dict!A:B,2,0)</f>
        <v>Цели</v>
      </c>
      <c r="L371" t="str">
        <f>IF(VLOOKUP(H371,metric_dict!A:C,3,0)=0,"",VLOOKUP(H371,metric_dict!A:C,3,0))</f>
        <v/>
      </c>
      <c r="M371" t="str">
        <f>VLOOKUP(H371,metric_dict!A:AA,4,0)</f>
        <v>Прогноз выведен в Навигатор</v>
      </c>
      <c r="N371" t="str">
        <f>VLOOKUP(H371,metric_dict!A:AA,5,0)</f>
        <v>Сформировать прогнозные значения по целям</v>
      </c>
      <c r="O371">
        <f>VLOOKUP(H371,metric_dict!A:AA,6,0)</f>
        <v>8</v>
      </c>
      <c r="P371" t="s">
        <v>97</v>
      </c>
      <c r="Q371">
        <f>VLOOKUP(H371,metric_dict!A:AA,7,0)</f>
        <v>3</v>
      </c>
    </row>
    <row r="372" spans="1:17" x14ac:dyDescent="0.2">
      <c r="A372">
        <v>420</v>
      </c>
      <c r="B372">
        <f t="shared" si="0"/>
        <v>421</v>
      </c>
      <c r="C372">
        <f t="shared" si="1"/>
        <v>420</v>
      </c>
      <c r="D372">
        <f t="shared" si="2"/>
        <v>419</v>
      </c>
      <c r="E372" t="s">
        <v>251</v>
      </c>
      <c r="F372" t="s">
        <v>321</v>
      </c>
      <c r="G372">
        <v>9</v>
      </c>
      <c r="H372" t="s">
        <v>111</v>
      </c>
      <c r="I372">
        <v>0.25</v>
      </c>
      <c r="J372">
        <v>0.5</v>
      </c>
      <c r="K372" t="str">
        <f>VLOOKUP(H372,metric_dict!A:B,2,0)</f>
        <v>Воронка привлечения</v>
      </c>
      <c r="L372" t="str">
        <f>IF(VLOOKUP(H372,metric_dict!A:C,3,0)=0,"",VLOOKUP(H372,metric_dict!A:C,3,0))</f>
        <v>Отчетность</v>
      </c>
      <c r="M372" t="str">
        <f>VLOOKUP(H372,metric_dict!A:AA,4,0)</f>
        <v>Настроена по воронке</v>
      </c>
      <c r="N372" t="str">
        <f>VLOOKUP(H372,metric_dict!A:AA,5,0)</f>
        <v>Настроить мониторинг по воронке привлечения</v>
      </c>
      <c r="O372">
        <f>VLOOKUP(H372,metric_dict!A:AA,6,0)</f>
        <v>2</v>
      </c>
      <c r="P372" t="s">
        <v>97</v>
      </c>
      <c r="Q372">
        <f>VLOOKUP(H372,metric_dict!A:AA,7,0)</f>
        <v>1</v>
      </c>
    </row>
    <row r="373" spans="1:17" x14ac:dyDescent="0.2">
      <c r="A373">
        <v>420</v>
      </c>
      <c r="B373">
        <f t="shared" si="0"/>
        <v>421</v>
      </c>
      <c r="C373">
        <f t="shared" si="1"/>
        <v>420</v>
      </c>
      <c r="D373">
        <f t="shared" si="2"/>
        <v>419</v>
      </c>
      <c r="E373" t="s">
        <v>251</v>
      </c>
      <c r="F373" t="s">
        <v>321</v>
      </c>
      <c r="G373">
        <v>10</v>
      </c>
      <c r="H373" t="s">
        <v>115</v>
      </c>
      <c r="I373">
        <v>0.25</v>
      </c>
      <c r="J373">
        <v>0.5</v>
      </c>
      <c r="K373" t="str">
        <f>VLOOKUP(H373,metric_dict!A:B,2,0)</f>
        <v>Воронка привлечения</v>
      </c>
      <c r="L373" t="str">
        <f>IF(VLOOKUP(H373,metric_dict!A:C,3,0)=0,"",VLOOKUP(H373,metric_dict!A:C,3,0))</f>
        <v>Отчетность</v>
      </c>
      <c r="M373" t="str">
        <f>VLOOKUP(H373,metric_dict!A:AA,4,0)</f>
        <v>Источники, CR, объёмы, сегменты</v>
      </c>
      <c r="N373" t="str">
        <f>VLOOKUP(H373,metric_dict!A:AA,5,0)</f>
        <v>Донасытить метриками мониторинг по воронке привлечения</v>
      </c>
      <c r="O373">
        <f>VLOOKUP(H373,metric_dict!A:AA,6,0)</f>
        <v>3</v>
      </c>
      <c r="P373" t="s">
        <v>97</v>
      </c>
      <c r="Q373">
        <f>VLOOKUP(H373,metric_dict!A:AA,7,0)</f>
        <v>2</v>
      </c>
    </row>
    <row r="374" spans="1:17" x14ac:dyDescent="0.2">
      <c r="A374">
        <v>420</v>
      </c>
      <c r="B374">
        <f t="shared" si="0"/>
        <v>421</v>
      </c>
      <c r="C374">
        <f t="shared" si="1"/>
        <v>420</v>
      </c>
      <c r="D374">
        <f t="shared" si="2"/>
        <v>419</v>
      </c>
      <c r="E374" t="s">
        <v>251</v>
      </c>
      <c r="F374" t="s">
        <v>321</v>
      </c>
      <c r="G374">
        <v>11</v>
      </c>
      <c r="H374" t="s">
        <v>118</v>
      </c>
      <c r="I374">
        <v>0.5</v>
      </c>
      <c r="J374">
        <v>1</v>
      </c>
      <c r="K374" t="str">
        <f>VLOOKUP(H374,metric_dict!A:B,2,0)</f>
        <v>Воронка привлечения</v>
      </c>
      <c r="L374" t="str">
        <f>IF(VLOOKUP(H374,metric_dict!A:C,3,0)=0,"",VLOOKUP(H374,metric_dict!A:C,3,0))</f>
        <v>Отчетность</v>
      </c>
      <c r="M374" t="str">
        <f>VLOOKUP(H374,metric_dict!A:AA,4,0)</f>
        <v>Daily / weekly</v>
      </c>
      <c r="N374" t="str">
        <f>VLOOKUP(H374,metric_dict!A:AA,5,0)</f>
        <v>Автоматизировать расчет воронки привлечения</v>
      </c>
      <c r="O374">
        <f>VLOOKUP(H374,metric_dict!A:AA,6,0)</f>
        <v>4</v>
      </c>
      <c r="P374" t="s">
        <v>97</v>
      </c>
      <c r="Q374">
        <f>VLOOKUP(H374,metric_dict!A:AA,7,0)</f>
        <v>3</v>
      </c>
    </row>
    <row r="375" spans="1:17" x14ac:dyDescent="0.2">
      <c r="A375">
        <v>420</v>
      </c>
      <c r="B375">
        <f t="shared" si="0"/>
        <v>421</v>
      </c>
      <c r="C375">
        <f t="shared" si="1"/>
        <v>420</v>
      </c>
      <c r="D375">
        <f t="shared" si="2"/>
        <v>419</v>
      </c>
      <c r="E375" t="s">
        <v>251</v>
      </c>
      <c r="F375" t="s">
        <v>321</v>
      </c>
      <c r="G375">
        <v>12</v>
      </c>
      <c r="H375" t="s">
        <v>121</v>
      </c>
      <c r="I375">
        <v>0</v>
      </c>
      <c r="J375" t="s">
        <v>196</v>
      </c>
      <c r="K375" t="str">
        <f>VLOOKUP(H375,metric_dict!A:B,2,0)</f>
        <v>Воронка оттока</v>
      </c>
      <c r="L375" t="str">
        <f>IF(VLOOKUP(H375,metric_dict!A:C,3,0)=0,"",VLOOKUP(H375,metric_dict!A:C,3,0))</f>
        <v>Отчетность</v>
      </c>
      <c r="M375" t="str">
        <f>VLOOKUP(H375,metric_dict!A:AA,4,0)</f>
        <v>Настроена по воронке</v>
      </c>
      <c r="N375" t="str">
        <f>VLOOKUP(H375,metric_dict!A:AA,5,0)</f>
        <v>Настроить мониторинг по воронке оттока</v>
      </c>
      <c r="O375">
        <f>VLOOKUP(H375,metric_dict!A:AA,6,0)</f>
        <v>2</v>
      </c>
      <c r="P375" t="s">
        <v>97</v>
      </c>
      <c r="Q375">
        <f>VLOOKUP(H375,metric_dict!A:AA,7,0)</f>
        <v>1</v>
      </c>
    </row>
    <row r="376" spans="1:17" x14ac:dyDescent="0.2">
      <c r="A376">
        <v>420</v>
      </c>
      <c r="B376">
        <f t="shared" si="0"/>
        <v>421</v>
      </c>
      <c r="C376">
        <f t="shared" si="1"/>
        <v>420</v>
      </c>
      <c r="D376">
        <f t="shared" si="2"/>
        <v>419</v>
      </c>
      <c r="E376" t="s">
        <v>251</v>
      </c>
      <c r="F376" t="s">
        <v>321</v>
      </c>
      <c r="G376">
        <v>13</v>
      </c>
      <c r="H376" t="s">
        <v>124</v>
      </c>
      <c r="I376">
        <v>0</v>
      </c>
      <c r="J376" t="s">
        <v>196</v>
      </c>
      <c r="K376" t="str">
        <f>VLOOKUP(H376,metric_dict!A:B,2,0)</f>
        <v>Воронка оттока</v>
      </c>
      <c r="L376" t="str">
        <f>IF(VLOOKUP(H376,metric_dict!A:C,3,0)=0,"",VLOOKUP(H376,metric_dict!A:C,3,0))</f>
        <v>Отчетность</v>
      </c>
      <c r="M376" t="str">
        <f>VLOOKUP(H376,metric_dict!A:AA,4,0)</f>
        <v>Retention, CR, удержание</v>
      </c>
      <c r="N376" t="str">
        <f>VLOOKUP(H376,metric_dict!A:AA,5,0)</f>
        <v>Донасытить метриками мониторинг по воронке оттока</v>
      </c>
      <c r="O376">
        <f>VLOOKUP(H376,metric_dict!A:AA,6,0)</f>
        <v>3</v>
      </c>
      <c r="P376" t="s">
        <v>97</v>
      </c>
      <c r="Q376">
        <f>VLOOKUP(H376,metric_dict!A:AA,7,0)</f>
        <v>2</v>
      </c>
    </row>
    <row r="377" spans="1:17" x14ac:dyDescent="0.2">
      <c r="A377">
        <v>420</v>
      </c>
      <c r="B377">
        <f t="shared" si="0"/>
        <v>421</v>
      </c>
      <c r="C377">
        <f t="shared" si="1"/>
        <v>420</v>
      </c>
      <c r="D377">
        <f t="shared" si="2"/>
        <v>419</v>
      </c>
      <c r="E377" t="s">
        <v>251</v>
      </c>
      <c r="F377" t="s">
        <v>321</v>
      </c>
      <c r="G377">
        <v>14</v>
      </c>
      <c r="H377" t="s">
        <v>127</v>
      </c>
      <c r="I377">
        <v>0.5</v>
      </c>
      <c r="J377">
        <v>1</v>
      </c>
      <c r="K377" t="str">
        <f>VLOOKUP(H377,metric_dict!A:B,2,0)</f>
        <v>Воронка оттока</v>
      </c>
      <c r="L377" t="str">
        <f>IF(VLOOKUP(H377,metric_dict!A:C,3,0)=0,"",VLOOKUP(H377,metric_dict!A:C,3,0))</f>
        <v>Отчетность</v>
      </c>
      <c r="M377" t="str">
        <f>VLOOKUP(H377,metric_dict!A:AA,4,0)</f>
        <v>Daily / weekly</v>
      </c>
      <c r="N377" t="str">
        <f>VLOOKUP(H377,metric_dict!A:AA,5,0)</f>
        <v>Автоматизировать расчет воронки оттока</v>
      </c>
      <c r="O377">
        <f>VLOOKUP(H377,metric_dict!A:AA,6,0)</f>
        <v>4</v>
      </c>
      <c r="P377" t="s">
        <v>97</v>
      </c>
      <c r="Q377">
        <f>VLOOKUP(H377,metric_dict!A:AA,7,0)</f>
        <v>3</v>
      </c>
    </row>
    <row r="378" spans="1:17" x14ac:dyDescent="0.2">
      <c r="A378">
        <v>420</v>
      </c>
      <c r="B378">
        <f t="shared" si="0"/>
        <v>421</v>
      </c>
      <c r="C378">
        <f t="shared" si="1"/>
        <v>420</v>
      </c>
      <c r="D378">
        <f t="shared" si="2"/>
        <v>419</v>
      </c>
      <c r="E378" t="s">
        <v>251</v>
      </c>
      <c r="F378" t="s">
        <v>321</v>
      </c>
      <c r="G378">
        <v>15</v>
      </c>
      <c r="H378" t="s">
        <v>129</v>
      </c>
      <c r="I378">
        <v>0</v>
      </c>
      <c r="J378">
        <v>1</v>
      </c>
      <c r="K378" t="str">
        <f>VLOOKUP(H378,metric_dict!A:B,2,0)</f>
        <v>BENCHMARKS</v>
      </c>
      <c r="L378" t="str">
        <f>IF(VLOOKUP(H378,metric_dict!A:C,3,0)=0,"",VLOOKUP(H378,metric_dict!A:C,3,0))</f>
        <v/>
      </c>
      <c r="M378" t="str">
        <f>VLOOKUP(H378,metric_dict!A:AA,4,0)</f>
        <v>Цели / динамика / рынок</v>
      </c>
      <c r="N378" t="str">
        <f>VLOOKUP(H378,metric_dict!A:AA,5,0)</f>
        <v>Сформировать бенчмарки по продуктовым метрикам</v>
      </c>
      <c r="O378">
        <f>VLOOKUP(H378,metric_dict!A:AA,6,0)</f>
        <v>5</v>
      </c>
      <c r="P378" t="s">
        <v>97</v>
      </c>
      <c r="Q378">
        <f>VLOOKUP(H378,metric_dict!A:AA,7,0)</f>
        <v>6</v>
      </c>
    </row>
    <row r="379" spans="1:17" x14ac:dyDescent="0.2">
      <c r="A379">
        <v>420</v>
      </c>
      <c r="B379">
        <f t="shared" si="0"/>
        <v>421</v>
      </c>
      <c r="C379">
        <f t="shared" si="1"/>
        <v>420</v>
      </c>
      <c r="D379">
        <f t="shared" si="2"/>
        <v>419</v>
      </c>
      <c r="E379" t="s">
        <v>251</v>
      </c>
      <c r="F379" t="s">
        <v>321</v>
      </c>
      <c r="G379">
        <v>16</v>
      </c>
      <c r="H379" t="s">
        <v>133</v>
      </c>
      <c r="I379">
        <v>0</v>
      </c>
      <c r="J379">
        <v>0</v>
      </c>
      <c r="K379" t="e">
        <f>VLOOKUP(H379,metric_dict!A:B,2,0)</f>
        <v>#N/A</v>
      </c>
      <c r="L379" t="e">
        <f>IF(VLOOKUP(H379,metric_dict!A:C,3,0)=0,"",VLOOKUP(H379,metric_dict!A:C,3,0))</f>
        <v>#N/A</v>
      </c>
      <c r="M379" t="e">
        <f>VLOOKUP(H379,metric_dict!A:AA,4,0)</f>
        <v>#N/A</v>
      </c>
      <c r="N379" t="e">
        <f>VLOOKUP(H379,metric_dict!A:AA,5,0)</f>
        <v>#N/A</v>
      </c>
      <c r="O379" t="e">
        <f>VLOOKUP(H379,metric_dict!A:AA,6,0)</f>
        <v>#N/A</v>
      </c>
      <c r="P379" t="s">
        <v>97</v>
      </c>
      <c r="Q379" t="e">
        <f>VLOOKUP(H379,metric_dict!A:AA,7,0)</f>
        <v>#N/A</v>
      </c>
    </row>
    <row r="380" spans="1:17" x14ac:dyDescent="0.2">
      <c r="A380">
        <v>420</v>
      </c>
      <c r="B380">
        <f t="shared" si="0"/>
        <v>421</v>
      </c>
      <c r="C380">
        <f t="shared" si="1"/>
        <v>420</v>
      </c>
      <c r="D380">
        <f t="shared" si="2"/>
        <v>419</v>
      </c>
      <c r="E380" t="s">
        <v>251</v>
      </c>
      <c r="F380" t="s">
        <v>321</v>
      </c>
      <c r="G380">
        <v>17</v>
      </c>
      <c r="H380" t="s">
        <v>134</v>
      </c>
      <c r="I380">
        <v>0.5</v>
      </c>
      <c r="J380">
        <v>1</v>
      </c>
      <c r="K380" t="str">
        <f>VLOOKUP(H380,metric_dict!A:B,2,0)</f>
        <v>Воронка привлечения</v>
      </c>
      <c r="L380" t="str">
        <f>IF(VLOOKUP(H380,metric_dict!A:C,3,0)=0,"",VLOOKUP(H380,metric_dict!A:C,3,0))</f>
        <v/>
      </c>
      <c r="M380" t="str">
        <f>VLOOKUP(H380,metric_dict!A:AA,4,0)</f>
        <v>Оценка эффективности, поиск точек роста</v>
      </c>
      <c r="N380" t="str">
        <f>VLOOKUP(H380,metric_dict!A:AA,5,0)</f>
        <v>Провести анализ привлечения, выявить точки роста</v>
      </c>
      <c r="O380">
        <f>VLOOKUP(H380,metric_dict!A:AA,6,0)</f>
        <v>5</v>
      </c>
      <c r="P380" t="s">
        <v>97</v>
      </c>
      <c r="Q380">
        <f>VLOOKUP(H380,metric_dict!A:AA,7,0)</f>
        <v>4</v>
      </c>
    </row>
    <row r="381" spans="1:17" x14ac:dyDescent="0.2">
      <c r="A381">
        <v>420</v>
      </c>
      <c r="B381">
        <f t="shared" si="0"/>
        <v>421</v>
      </c>
      <c r="C381">
        <f t="shared" si="1"/>
        <v>420</v>
      </c>
      <c r="D381">
        <f t="shared" si="2"/>
        <v>419</v>
      </c>
      <c r="E381" t="s">
        <v>251</v>
      </c>
      <c r="F381" t="s">
        <v>321</v>
      </c>
      <c r="G381">
        <v>18</v>
      </c>
      <c r="H381" t="s">
        <v>137</v>
      </c>
      <c r="I381">
        <v>1</v>
      </c>
      <c r="J381">
        <v>1</v>
      </c>
      <c r="K381" t="str">
        <f>VLOOKUP(H381,metric_dict!A:B,2,0)</f>
        <v>Воронка привлечения</v>
      </c>
      <c r="L381" t="str">
        <f>IF(VLOOKUP(H381,metric_dict!A:C,3,0)=0,"",VLOOKUP(H381,metric_dict!A:C,3,0))</f>
        <v/>
      </c>
      <c r="M381" t="str">
        <f>VLOOKUP(H381,metric_dict!A:AA,4,0)</f>
        <v>План действий по росту</v>
      </c>
      <c r="N381" t="str">
        <f>VLOOKUP(H381,metric_dict!A:AA,5,0)</f>
        <v>Сформировать перечень инициатив</v>
      </c>
      <c r="O381">
        <f>VLOOKUP(H381,metric_dict!A:AA,6,0)</f>
        <v>5</v>
      </c>
      <c r="P381" t="s">
        <v>97</v>
      </c>
      <c r="Q381">
        <f>VLOOKUP(H381,metric_dict!A:AA,7,0)</f>
        <v>5</v>
      </c>
    </row>
    <row r="382" spans="1:17" x14ac:dyDescent="0.2">
      <c r="A382">
        <v>420</v>
      </c>
      <c r="B382">
        <f t="shared" si="0"/>
        <v>421</v>
      </c>
      <c r="C382">
        <f t="shared" si="1"/>
        <v>420</v>
      </c>
      <c r="D382">
        <f t="shared" si="2"/>
        <v>419</v>
      </c>
      <c r="E382" t="s">
        <v>251</v>
      </c>
      <c r="F382" t="s">
        <v>321</v>
      </c>
      <c r="G382">
        <v>19</v>
      </c>
      <c r="H382" t="s">
        <v>140</v>
      </c>
      <c r="I382">
        <v>0</v>
      </c>
      <c r="J382" t="s">
        <v>196</v>
      </c>
      <c r="K382" t="str">
        <f>VLOOKUP(H382,metric_dict!A:B,2,0)</f>
        <v>Воронка оттока</v>
      </c>
      <c r="L382" t="str">
        <f>IF(VLOOKUP(H382,metric_dict!A:C,3,0)=0,"",VLOOKUP(H382,metric_dict!A:C,3,0))</f>
        <v/>
      </c>
      <c r="M382" t="str">
        <f>VLOOKUP(H382,metric_dict!A:AA,4,0)</f>
        <v>Оценка причин и узких мест</v>
      </c>
      <c r="N382" t="str">
        <f>VLOOKUP(H382,metric_dict!A:AA,5,0)</f>
        <v>Провести анализ оттока, выявить точки роста</v>
      </c>
      <c r="O382">
        <f>VLOOKUP(H382,metric_dict!A:AA,6,0)</f>
        <v>5</v>
      </c>
      <c r="P382" t="s">
        <v>97</v>
      </c>
      <c r="Q382">
        <f>VLOOKUP(H382,metric_dict!A:AA,7,0)</f>
        <v>4</v>
      </c>
    </row>
    <row r="383" spans="1:17" x14ac:dyDescent="0.2">
      <c r="A383">
        <v>420</v>
      </c>
      <c r="B383">
        <f t="shared" si="0"/>
        <v>421</v>
      </c>
      <c r="C383">
        <f t="shared" si="1"/>
        <v>420</v>
      </c>
      <c r="D383">
        <f t="shared" si="2"/>
        <v>419</v>
      </c>
      <c r="E383" t="s">
        <v>251</v>
      </c>
      <c r="F383" t="s">
        <v>321</v>
      </c>
      <c r="G383">
        <v>20</v>
      </c>
      <c r="H383" t="s">
        <v>143</v>
      </c>
      <c r="I383">
        <v>0</v>
      </c>
      <c r="J383" t="s">
        <v>196</v>
      </c>
      <c r="K383" t="str">
        <f>VLOOKUP(H383,metric_dict!A:B,2,0)</f>
        <v>Воронка оттока</v>
      </c>
      <c r="L383" t="str">
        <f>IF(VLOOKUP(H383,metric_dict!A:C,3,0)=0,"",VLOOKUP(H383,metric_dict!A:C,3,0))</f>
        <v/>
      </c>
      <c r="M383" t="str">
        <f>VLOOKUP(H383,metric_dict!A:AA,4,0)</f>
        <v>План действий по отклонениям</v>
      </c>
      <c r="N383" t="str">
        <f>VLOOKUP(H383,metric_dict!A:AA,5,0)</f>
        <v>Сформировать список мероприятий по снижению оттока</v>
      </c>
      <c r="O383">
        <f>VLOOKUP(H383,metric_dict!A:AA,6,0)</f>
        <v>4</v>
      </c>
      <c r="P383" t="s">
        <v>97</v>
      </c>
      <c r="Q383">
        <f>VLOOKUP(H383,metric_dict!A:AA,7,0)</f>
        <v>5</v>
      </c>
    </row>
    <row r="384" spans="1:17" x14ac:dyDescent="0.2">
      <c r="A384">
        <v>420</v>
      </c>
      <c r="B384">
        <f t="shared" si="0"/>
        <v>421</v>
      </c>
      <c r="C384">
        <f t="shared" si="1"/>
        <v>420</v>
      </c>
      <c r="D384">
        <f t="shared" si="2"/>
        <v>419</v>
      </c>
      <c r="E384" t="s">
        <v>251</v>
      </c>
      <c r="F384" t="s">
        <v>321</v>
      </c>
      <c r="G384">
        <v>21</v>
      </c>
      <c r="H384" t="s">
        <v>146</v>
      </c>
      <c r="I384">
        <v>1</v>
      </c>
      <c r="J384">
        <v>1</v>
      </c>
      <c r="K384" t="str">
        <f>VLOOKUP(H384,metric_dict!A:B,2,0)</f>
        <v>Алерты</v>
      </c>
      <c r="L384" t="str">
        <f>IF(VLOOKUP(H384,metric_dict!A:C,3,0)=0,"",VLOOKUP(H384,metric_dict!A:C,3,0))</f>
        <v/>
      </c>
      <c r="M384" t="str">
        <f>VLOOKUP(H384,metric_dict!A:AA,4,0)</f>
        <v>Авто-алерты по IT-инфраструктуре</v>
      </c>
      <c r="N384" t="str">
        <f>VLOOKUP(H384,metric_dict!A:AA,5,0)</f>
        <v>Внедрить систему оповещений</v>
      </c>
      <c r="O384">
        <f>VLOOKUP(H384,metric_dict!A:AA,6,0)</f>
        <v>5</v>
      </c>
      <c r="P384" t="s">
        <v>97</v>
      </c>
      <c r="Q384">
        <f>VLOOKUP(H384,metric_dict!A:AA,7,0)</f>
        <v>1</v>
      </c>
    </row>
    <row r="385" spans="1:17" x14ac:dyDescent="0.2">
      <c r="A385">
        <v>420</v>
      </c>
      <c r="B385">
        <f t="shared" si="0"/>
        <v>421</v>
      </c>
      <c r="C385">
        <f t="shared" si="1"/>
        <v>420</v>
      </c>
      <c r="D385">
        <f t="shared" si="2"/>
        <v>419</v>
      </c>
      <c r="E385" t="s">
        <v>251</v>
      </c>
      <c r="F385" t="s">
        <v>321</v>
      </c>
      <c r="G385">
        <v>22</v>
      </c>
      <c r="H385" t="s">
        <v>150</v>
      </c>
      <c r="I385">
        <v>0.5</v>
      </c>
      <c r="J385">
        <v>1</v>
      </c>
      <c r="K385" t="str">
        <f>VLOOKUP(H385,metric_dict!A:B,2,0)</f>
        <v>Алерты</v>
      </c>
      <c r="L385" t="str">
        <f>IF(VLOOKUP(H385,metric_dict!A:C,3,0)=0,"",VLOOKUP(H385,metric_dict!A:C,3,0))</f>
        <v/>
      </c>
      <c r="M385" t="str">
        <f>VLOOKUP(H385,metric_dict!A:AA,4,0)</f>
        <v>Светофоры целей, драйверов, воронок</v>
      </c>
      <c r="N385" t="str">
        <f>VLOOKUP(H385,metric_dict!A:AA,5,0)</f>
        <v>Внедрить систему оповещений</v>
      </c>
      <c r="O385">
        <f>VLOOKUP(H385,metric_dict!A:AA,6,0)</f>
        <v>3</v>
      </c>
      <c r="P385" t="s">
        <v>97</v>
      </c>
      <c r="Q385">
        <f>VLOOKUP(H385,metric_dict!A:AA,7,0)</f>
        <v>2</v>
      </c>
    </row>
    <row r="386" spans="1:17" x14ac:dyDescent="0.2">
      <c r="A386">
        <v>420</v>
      </c>
      <c r="B386">
        <f t="shared" si="0"/>
        <v>421</v>
      </c>
      <c r="C386">
        <f t="shared" si="1"/>
        <v>420</v>
      </c>
      <c r="D386">
        <f t="shared" si="2"/>
        <v>419</v>
      </c>
      <c r="E386" t="s">
        <v>251</v>
      </c>
      <c r="F386" t="s">
        <v>321</v>
      </c>
      <c r="G386">
        <v>23</v>
      </c>
      <c r="H386" t="s">
        <v>363</v>
      </c>
      <c r="I386">
        <v>1</v>
      </c>
      <c r="J386">
        <v>1</v>
      </c>
      <c r="K386" t="str">
        <f>VLOOKUP(H386,metric_dict!A:B,2,0)</f>
        <v>Механики</v>
      </c>
      <c r="L386" t="str">
        <f>IF(VLOOKUP(H386,metric_dict!A:C,3,0)=0,"",VLOOKUP(H386,metric_dict!A:C,3,0))</f>
        <v/>
      </c>
      <c r="M386" t="str">
        <f>VLOOKUP(H386,metric_dict!A:AA,4,0)</f>
        <v>Переход клиента на более ценный продукт или расширенный пакет услуг</v>
      </c>
      <c r="N386" t="str">
        <f>VLOOKUP(H386,metric_dict!A:AA,5,0)</f>
        <v>Настроить мониторинг по ключевым механикам</v>
      </c>
      <c r="O386">
        <f>VLOOKUP(H386,metric_dict!A:AA,6,0)</f>
        <v>5</v>
      </c>
      <c r="P386" t="s">
        <v>97</v>
      </c>
      <c r="Q386">
        <f>VLOOKUP(H386,metric_dict!A:AA,7,0)</f>
        <v>10</v>
      </c>
    </row>
    <row r="387" spans="1:17" x14ac:dyDescent="0.2">
      <c r="A387">
        <v>420</v>
      </c>
      <c r="B387">
        <f t="shared" si="0"/>
        <v>421</v>
      </c>
      <c r="C387">
        <f t="shared" si="1"/>
        <v>420</v>
      </c>
      <c r="D387">
        <f t="shared" si="2"/>
        <v>419</v>
      </c>
      <c r="E387" t="s">
        <v>251</v>
      </c>
      <c r="F387" t="s">
        <v>321</v>
      </c>
      <c r="G387">
        <v>24</v>
      </c>
      <c r="H387" t="s">
        <v>156</v>
      </c>
      <c r="I387">
        <v>0</v>
      </c>
      <c r="J387" t="s">
        <v>196</v>
      </c>
      <c r="K387" t="str">
        <f>VLOOKUP(H387,metric_dict!A:B,2,0)</f>
        <v>Механики</v>
      </c>
      <c r="L387" t="str">
        <f>IF(VLOOKUP(H387,metric_dict!A:C,3,0)=0,"",VLOOKUP(H387,metric_dict!A:C,3,0))</f>
        <v/>
      </c>
      <c r="M387" t="str">
        <f>VLOOKUP(H387,metric_dict!A:AA,4,0)</f>
        <v>Коммуникация + ценность</v>
      </c>
      <c r="N387" t="str">
        <f>VLOOKUP(H387,metric_dict!A:AA,5,0)</f>
        <v>Проработать механики удержания клиентов</v>
      </c>
      <c r="O387">
        <f>VLOOKUP(H387,metric_dict!A:AA,6,0)</f>
        <v>5</v>
      </c>
      <c r="P387" t="s">
        <v>97</v>
      </c>
      <c r="Q387">
        <f>VLOOKUP(H387,metric_dict!A:AA,7,0)</f>
        <v>6</v>
      </c>
    </row>
    <row r="388" spans="1:17" x14ac:dyDescent="0.2">
      <c r="A388">
        <v>420</v>
      </c>
      <c r="B388">
        <f t="shared" si="0"/>
        <v>421</v>
      </c>
      <c r="C388">
        <f t="shared" si="1"/>
        <v>420</v>
      </c>
      <c r="D388">
        <f t="shared" si="2"/>
        <v>419</v>
      </c>
      <c r="E388" t="s">
        <v>251</v>
      </c>
      <c r="F388" t="s">
        <v>321</v>
      </c>
      <c r="G388">
        <v>25</v>
      </c>
      <c r="H388" t="s">
        <v>156</v>
      </c>
      <c r="I388">
        <v>0</v>
      </c>
      <c r="J388" t="s">
        <v>196</v>
      </c>
      <c r="K388" t="str">
        <f>VLOOKUP(H388,metric_dict!A:B,2,0)</f>
        <v>Механики</v>
      </c>
      <c r="L388" t="str">
        <f>IF(VLOOKUP(H388,metric_dict!A:C,3,0)=0,"",VLOOKUP(H388,metric_dict!A:C,3,0))</f>
        <v/>
      </c>
      <c r="M388" t="str">
        <f>VLOOKUP(H388,metric_dict!A:AA,4,0)</f>
        <v>Коммуникация + ценность</v>
      </c>
      <c r="N388" t="str">
        <f>VLOOKUP(H388,metric_dict!A:AA,5,0)</f>
        <v>Проработать механики удержания клиентов</v>
      </c>
      <c r="O388">
        <f>VLOOKUP(H388,metric_dict!A:AA,6,0)</f>
        <v>5</v>
      </c>
      <c r="P388" t="s">
        <v>97</v>
      </c>
      <c r="Q388">
        <f>VLOOKUP(H388,metric_dict!A:AA,7,0)</f>
        <v>6</v>
      </c>
    </row>
    <row r="389" spans="1:17" x14ac:dyDescent="0.2">
      <c r="A389">
        <v>420</v>
      </c>
      <c r="B389">
        <f t="shared" si="0"/>
        <v>421</v>
      </c>
      <c r="C389">
        <f t="shared" si="1"/>
        <v>420</v>
      </c>
      <c r="D389">
        <f t="shared" si="2"/>
        <v>419</v>
      </c>
      <c r="E389" t="s">
        <v>251</v>
      </c>
      <c r="F389" t="s">
        <v>321</v>
      </c>
      <c r="G389">
        <v>225</v>
      </c>
      <c r="H389" t="s">
        <v>265</v>
      </c>
      <c r="I389">
        <v>0.25</v>
      </c>
      <c r="J389" s="10">
        <v>0.25</v>
      </c>
      <c r="K389" t="str">
        <f>VLOOKUP(H389,metric_dict!A:B,2,0)</f>
        <v>Механики</v>
      </c>
      <c r="L389" t="str">
        <f>IF(VLOOKUP(H389,metric_dict!A:C,3,0)=0,"",VLOOKUP(H389,metric_dict!A:C,3,0))</f>
        <v/>
      </c>
      <c r="M389" t="str">
        <f>VLOOKUP(H389,metric_dict!A:AA,4,0)</f>
        <v>Настроен по ключевым механикам работы с клиентской базой</v>
      </c>
      <c r="N389" t="str">
        <f>VLOOKUP(H389,metric_dict!A:AA,5,0)</f>
        <v>Настроить мониторинг по ключевым механикам</v>
      </c>
      <c r="O389">
        <f>VLOOKUP(H389,metric_dict!A:AA,6,0)</f>
        <v>2</v>
      </c>
      <c r="P389" t="s">
        <v>97</v>
      </c>
      <c r="Q389">
        <f>VLOOKUP(H389,metric_dict!A:AA,7,0)</f>
        <v>22</v>
      </c>
    </row>
    <row r="390" spans="1:17" x14ac:dyDescent="0.2">
      <c r="A390">
        <v>420</v>
      </c>
      <c r="B390">
        <f t="shared" si="0"/>
        <v>421</v>
      </c>
      <c r="C390">
        <f t="shared" si="1"/>
        <v>420</v>
      </c>
      <c r="D390">
        <f t="shared" si="2"/>
        <v>419</v>
      </c>
      <c r="E390" t="s">
        <v>251</v>
      </c>
      <c r="F390" t="s">
        <v>321</v>
      </c>
      <c r="G390">
        <v>27</v>
      </c>
      <c r="H390" t="s">
        <v>159</v>
      </c>
      <c r="I390">
        <v>0</v>
      </c>
      <c r="J390" t="s">
        <v>196</v>
      </c>
      <c r="K390" t="str">
        <f>VLOOKUP(H390,metric_dict!A:B,2,0)</f>
        <v>Механики</v>
      </c>
      <c r="L390" t="str">
        <f>IF(VLOOKUP(H390,metric_dict!A:C,3,0)=0,"",VLOOKUP(H390,metric_dict!A:C,3,0))</f>
        <v/>
      </c>
      <c r="M390" t="str">
        <f>VLOOKUP(H390,metric_dict!A:AA,4,0)</f>
        <v>Реактивация оттекающих клиентов</v>
      </c>
      <c r="N390" t="str">
        <f>VLOOKUP(H390,metric_dict!A:AA,5,0)</f>
        <v>Проработать механики реактивации клиентов</v>
      </c>
      <c r="O390">
        <f>VLOOKUP(H390,metric_dict!A:AA,6,0)</f>
        <v>5</v>
      </c>
      <c r="P390" t="s">
        <v>97</v>
      </c>
      <c r="Q390">
        <f>VLOOKUP(H390,metric_dict!A:AA,7,0)</f>
        <v>4</v>
      </c>
    </row>
    <row r="391" spans="1:17" x14ac:dyDescent="0.2">
      <c r="A391">
        <v>420</v>
      </c>
      <c r="B391">
        <f t="shared" si="0"/>
        <v>421</v>
      </c>
      <c r="C391">
        <f t="shared" si="1"/>
        <v>420</v>
      </c>
      <c r="D391">
        <f t="shared" si="2"/>
        <v>419</v>
      </c>
      <c r="E391" t="s">
        <v>251</v>
      </c>
      <c r="F391" t="s">
        <v>321</v>
      </c>
      <c r="G391">
        <v>28</v>
      </c>
      <c r="H391" t="s">
        <v>159</v>
      </c>
      <c r="I391">
        <v>0</v>
      </c>
      <c r="J391" t="s">
        <v>196</v>
      </c>
      <c r="K391" t="str">
        <f>VLOOKUP(H391,metric_dict!A:B,2,0)</f>
        <v>Механики</v>
      </c>
      <c r="L391" t="str">
        <f>IF(VLOOKUP(H391,metric_dict!A:C,3,0)=0,"",VLOOKUP(H391,metric_dict!A:C,3,0))</f>
        <v/>
      </c>
      <c r="M391" t="str">
        <f>VLOOKUP(H391,metric_dict!A:AA,4,0)</f>
        <v>Реактивация оттекающих клиентов</v>
      </c>
      <c r="N391" t="str">
        <f>VLOOKUP(H391,metric_dict!A:AA,5,0)</f>
        <v>Проработать механики реактивации клиентов</v>
      </c>
      <c r="O391">
        <f>VLOOKUP(H391,metric_dict!A:AA,6,0)</f>
        <v>5</v>
      </c>
      <c r="P391" t="s">
        <v>97</v>
      </c>
      <c r="Q391">
        <f>VLOOKUP(H391,metric_dict!A:AA,7,0)</f>
        <v>4</v>
      </c>
    </row>
    <row r="392" spans="1:17" x14ac:dyDescent="0.2">
      <c r="A392">
        <v>420</v>
      </c>
      <c r="B392">
        <f t="shared" si="0"/>
        <v>421</v>
      </c>
      <c r="C392">
        <f t="shared" si="1"/>
        <v>420</v>
      </c>
      <c r="D392">
        <f t="shared" si="2"/>
        <v>419</v>
      </c>
      <c r="E392" t="s">
        <v>251</v>
      </c>
      <c r="F392" t="s">
        <v>321</v>
      </c>
      <c r="G392">
        <v>29</v>
      </c>
      <c r="H392" t="s">
        <v>265</v>
      </c>
      <c r="I392">
        <v>0</v>
      </c>
      <c r="J392" s="10">
        <v>0</v>
      </c>
      <c r="K392" t="str">
        <f>VLOOKUP(H392,metric_dict!A:B,2,0)</f>
        <v>Механики</v>
      </c>
      <c r="L392" t="str">
        <f>IF(VLOOKUP(H392,metric_dict!A:C,3,0)=0,"",VLOOKUP(H392,metric_dict!A:C,3,0))</f>
        <v/>
      </c>
      <c r="M392" t="str">
        <f>VLOOKUP(H392,metric_dict!A:AA,4,0)</f>
        <v>Настроен по ключевым механикам работы с клиентской базой</v>
      </c>
      <c r="N392" t="str">
        <f>VLOOKUP(H392,metric_dict!A:AA,5,0)</f>
        <v>Настроить мониторинг по ключевым механикам</v>
      </c>
      <c r="O392">
        <f>VLOOKUP(H392,metric_dict!A:AA,6,0)</f>
        <v>2</v>
      </c>
      <c r="P392" t="s">
        <v>97</v>
      </c>
      <c r="Q392">
        <f>VLOOKUP(H392,metric_dict!A:AA,7,0)</f>
        <v>22</v>
      </c>
    </row>
    <row r="393" spans="1:17" x14ac:dyDescent="0.2">
      <c r="A393">
        <v>420</v>
      </c>
      <c r="B393">
        <f t="shared" si="0"/>
        <v>421</v>
      </c>
      <c r="C393">
        <f t="shared" si="1"/>
        <v>420</v>
      </c>
      <c r="D393">
        <f t="shared" si="2"/>
        <v>419</v>
      </c>
      <c r="E393" t="s">
        <v>251</v>
      </c>
      <c r="F393" t="s">
        <v>321</v>
      </c>
      <c r="G393">
        <v>30</v>
      </c>
      <c r="H393" t="s">
        <v>162</v>
      </c>
      <c r="I393">
        <v>1</v>
      </c>
      <c r="J393">
        <v>1</v>
      </c>
      <c r="K393" t="str">
        <f>VLOOKUP(H393,metric_dict!A:B,2,0)</f>
        <v>Механики</v>
      </c>
      <c r="L393" t="str">
        <f>IF(VLOOKUP(H393,metric_dict!A:C,3,0)=0,"",VLOOKUP(H393,metric_dict!A:C,3,0))</f>
        <v/>
      </c>
      <c r="M393" t="str">
        <f>VLOOKUP(H393,metric_dict!A:AA,4,0)</f>
        <v>В оформлении и после покупки</v>
      </c>
      <c r="N393" t="str">
        <f>VLOOKUP(H393,metric_dict!A:AA,5,0)</f>
        <v>Проработать механики кросс-продаж</v>
      </c>
      <c r="O393">
        <f>VLOOKUP(H393,metric_dict!A:AA,6,0)</f>
        <v>5</v>
      </c>
      <c r="P393" t="s">
        <v>97</v>
      </c>
      <c r="Q393">
        <f>VLOOKUP(H393,metric_dict!A:AA,7,0)</f>
        <v>8</v>
      </c>
    </row>
    <row r="394" spans="1:17" x14ac:dyDescent="0.2">
      <c r="A394">
        <v>420</v>
      </c>
      <c r="B394">
        <f t="shared" si="0"/>
        <v>421</v>
      </c>
      <c r="C394">
        <f t="shared" si="1"/>
        <v>420</v>
      </c>
      <c r="D394">
        <f t="shared" si="2"/>
        <v>419</v>
      </c>
      <c r="E394" t="s">
        <v>251</v>
      </c>
      <c r="F394" t="s">
        <v>321</v>
      </c>
      <c r="G394">
        <v>33</v>
      </c>
      <c r="H394" t="s">
        <v>363</v>
      </c>
      <c r="J394">
        <v>0</v>
      </c>
      <c r="K394" t="str">
        <f>VLOOKUP(H394,metric_dict!A:B,2,0)</f>
        <v>Механики</v>
      </c>
      <c r="L394" t="str">
        <f>IF(VLOOKUP(H394,metric_dict!A:C,3,0)=0,"",VLOOKUP(H394,metric_dict!A:C,3,0))</f>
        <v/>
      </c>
      <c r="M394" t="str">
        <f>VLOOKUP(H394,metric_dict!A:AA,4,0)</f>
        <v>Переход клиента на более ценный продукт или расширенный пакет услуг</v>
      </c>
      <c r="N394" t="str">
        <f>VLOOKUP(H394,metric_dict!A:AA,5,0)</f>
        <v>Настроить мониторинг по ключевым механикам</v>
      </c>
      <c r="O394">
        <f>VLOOKUP(H394,metric_dict!A:AA,6,0)</f>
        <v>5</v>
      </c>
      <c r="P394" t="s">
        <v>97</v>
      </c>
      <c r="Q394">
        <f>VLOOKUP(H394,metric_dict!A:AA,7,0)</f>
        <v>10</v>
      </c>
    </row>
    <row r="395" spans="1:17" x14ac:dyDescent="0.2">
      <c r="A395">
        <v>420</v>
      </c>
      <c r="B395">
        <f t="shared" si="0"/>
        <v>421</v>
      </c>
      <c r="C395">
        <f t="shared" si="1"/>
        <v>420</v>
      </c>
      <c r="D395">
        <f t="shared" si="2"/>
        <v>419</v>
      </c>
      <c r="E395" t="s">
        <v>251</v>
      </c>
      <c r="F395" t="s">
        <v>321</v>
      </c>
      <c r="G395">
        <v>34</v>
      </c>
      <c r="H395" t="s">
        <v>265</v>
      </c>
      <c r="J395">
        <v>0</v>
      </c>
      <c r="K395" t="str">
        <f>VLOOKUP(H395,metric_dict!A:B,2,0)</f>
        <v>Механики</v>
      </c>
      <c r="L395" t="str">
        <f>IF(VLOOKUP(H395,metric_dict!A:C,3,0)=0,"",VLOOKUP(H395,metric_dict!A:C,3,0))</f>
        <v/>
      </c>
      <c r="M395" t="str">
        <f>VLOOKUP(H395,metric_dict!A:AA,4,0)</f>
        <v>Настроен по ключевым механикам работы с клиентской базой</v>
      </c>
      <c r="N395" t="str">
        <f>VLOOKUP(H395,metric_dict!A:AA,5,0)</f>
        <v>Настроить мониторинг по ключевым механикам</v>
      </c>
      <c r="O395">
        <f>VLOOKUP(H395,metric_dict!A:AA,6,0)</f>
        <v>2</v>
      </c>
      <c r="P395" t="s">
        <v>97</v>
      </c>
      <c r="Q395">
        <f>VLOOKUP(H395,metric_dict!A:AA,7,0)</f>
        <v>22</v>
      </c>
    </row>
    <row r="396" spans="1:17" x14ac:dyDescent="0.2">
      <c r="A396">
        <v>420</v>
      </c>
      <c r="B396">
        <f t="shared" si="0"/>
        <v>421</v>
      </c>
      <c r="C396">
        <f t="shared" si="1"/>
        <v>420</v>
      </c>
      <c r="D396">
        <f t="shared" si="2"/>
        <v>419</v>
      </c>
      <c r="E396" t="s">
        <v>251</v>
      </c>
      <c r="F396" t="s">
        <v>321</v>
      </c>
      <c r="G396">
        <v>35</v>
      </c>
      <c r="H396" t="s">
        <v>165</v>
      </c>
      <c r="I396">
        <v>1</v>
      </c>
      <c r="J396">
        <v>1</v>
      </c>
      <c r="K396" t="str">
        <f>VLOOKUP(H396,metric_dict!A:B,2,0)</f>
        <v>Гипотезы и инициативы</v>
      </c>
      <c r="L396" t="str">
        <f>IF(VLOOKUP(H396,metric_dict!A:C,3,0)=0,"",VLOOKUP(H396,metric_dict!A:C,3,0))</f>
        <v/>
      </c>
      <c r="M396" t="str">
        <f>VLOOKUP(H396,metric_dict!A:AA,4,0)</f>
        <v>Доля исследовательских задач DA</v>
      </c>
      <c r="N396" t="str">
        <f>VLOOKUP(H396,metric_dict!A:AA,5,0)</f>
        <v>Сфокусировать бэклог аналитиков на research-задачи</v>
      </c>
      <c r="O396">
        <f>VLOOKUP(H396,metric_dict!A:AA,6,0)</f>
        <v>5</v>
      </c>
      <c r="P396" t="s">
        <v>97</v>
      </c>
      <c r="Q396">
        <f>VLOOKUP(H396,metric_dict!A:AA,7,0)</f>
        <v>1</v>
      </c>
    </row>
    <row r="397" spans="1:17" x14ac:dyDescent="0.2">
      <c r="A397">
        <v>420</v>
      </c>
      <c r="B397">
        <f t="shared" si="0"/>
        <v>421</v>
      </c>
      <c r="C397">
        <f t="shared" si="1"/>
        <v>420</v>
      </c>
      <c r="D397">
        <f t="shared" si="2"/>
        <v>419</v>
      </c>
      <c r="E397" t="s">
        <v>251</v>
      </c>
      <c r="F397" t="s">
        <v>321</v>
      </c>
      <c r="G397">
        <v>36</v>
      </c>
      <c r="H397" t="s">
        <v>169</v>
      </c>
      <c r="J397">
        <v>0</v>
      </c>
      <c r="K397" t="e">
        <f>VLOOKUP(H397,metric_dict!A:B,2,0)</f>
        <v>#N/A</v>
      </c>
      <c r="L397" t="e">
        <f>IF(VLOOKUP(H397,metric_dict!A:C,3,0)=0,"",VLOOKUP(H397,metric_dict!A:C,3,0))</f>
        <v>#N/A</v>
      </c>
      <c r="M397" t="e">
        <f>VLOOKUP(H397,metric_dict!A:AA,4,0)</f>
        <v>#N/A</v>
      </c>
      <c r="N397" t="e">
        <f>VLOOKUP(H397,metric_dict!A:AA,5,0)</f>
        <v>#N/A</v>
      </c>
      <c r="O397" t="e">
        <f>VLOOKUP(H397,metric_dict!A:AA,6,0)</f>
        <v>#N/A</v>
      </c>
      <c r="P397" t="s">
        <v>97</v>
      </c>
      <c r="Q397" t="e">
        <f>VLOOKUP(H397,metric_dict!A:AA,7,0)</f>
        <v>#N/A</v>
      </c>
    </row>
    <row r="398" spans="1:17" x14ac:dyDescent="0.2">
      <c r="A398">
        <v>420</v>
      </c>
      <c r="B398">
        <f t="shared" si="0"/>
        <v>421</v>
      </c>
      <c r="C398">
        <f t="shared" si="1"/>
        <v>420</v>
      </c>
      <c r="D398">
        <f t="shared" si="2"/>
        <v>419</v>
      </c>
      <c r="E398" t="s">
        <v>251</v>
      </c>
      <c r="F398" t="s">
        <v>321</v>
      </c>
      <c r="G398">
        <v>38</v>
      </c>
      <c r="H398" t="s">
        <v>170</v>
      </c>
      <c r="I398">
        <v>0.5</v>
      </c>
      <c r="J398">
        <v>0.5</v>
      </c>
      <c r="K398" t="str">
        <f>VLOOKUP(H398,metric_dict!A:B,2,0)</f>
        <v>Воронка привлечения</v>
      </c>
      <c r="L398" t="str">
        <f>IF(VLOOKUP(H398,metric_dict!A:C,3,0)=0,"",VLOOKUP(H398,metric_dict!A:C,3,0))</f>
        <v/>
      </c>
      <c r="M398" t="str">
        <f>VLOOKUP(H398,metric_dict!A:AA,4,0)</f>
        <v>Self-service / кампейнинг, успешность</v>
      </c>
      <c r="N398" t="str">
        <f>VLOOKUP(H398,metric_dict!A:AA,5,0)</f>
        <v>Развитие кампейнинга</v>
      </c>
      <c r="O398">
        <f>VLOOKUP(H398,metric_dict!A:AA,6,0)</f>
        <v>2</v>
      </c>
      <c r="P398" t="s">
        <v>97</v>
      </c>
      <c r="Q398">
        <f>VLOOKUP(H398,metric_dict!A:AA,7,0)</f>
        <v>6</v>
      </c>
    </row>
    <row r="399" spans="1:17" x14ac:dyDescent="0.2">
      <c r="A399">
        <v>420</v>
      </c>
      <c r="B399">
        <f t="shared" si="0"/>
        <v>421</v>
      </c>
      <c r="C399">
        <f t="shared" si="1"/>
        <v>420</v>
      </c>
      <c r="D399">
        <f t="shared" si="2"/>
        <v>419</v>
      </c>
      <c r="E399" t="s">
        <v>251</v>
      </c>
      <c r="F399" t="s">
        <v>321</v>
      </c>
      <c r="G399">
        <v>39</v>
      </c>
      <c r="H399" t="s">
        <v>170</v>
      </c>
      <c r="I399">
        <v>0</v>
      </c>
      <c r="J399">
        <v>0.5</v>
      </c>
      <c r="K399" t="str">
        <f>VLOOKUP(H399,metric_dict!A:B,2,0)</f>
        <v>Воронка привлечения</v>
      </c>
      <c r="L399" t="str">
        <f>IF(VLOOKUP(H399,metric_dict!A:C,3,0)=0,"",VLOOKUP(H399,metric_dict!A:C,3,0))</f>
        <v/>
      </c>
      <c r="M399" t="str">
        <f>VLOOKUP(H399,metric_dict!A:AA,4,0)</f>
        <v>Self-service / кампейнинг, успешность</v>
      </c>
      <c r="N399" t="str">
        <f>VLOOKUP(H399,metric_dict!A:AA,5,0)</f>
        <v>Развитие кампейнинга</v>
      </c>
      <c r="O399">
        <f>VLOOKUP(H399,metric_dict!A:AA,6,0)</f>
        <v>2</v>
      </c>
      <c r="P399" t="s">
        <v>97</v>
      </c>
      <c r="Q399">
        <f>VLOOKUP(H399,metric_dict!A:AA,7,0)</f>
        <v>6</v>
      </c>
    </row>
    <row r="400" spans="1:17" x14ac:dyDescent="0.2">
      <c r="A400">
        <v>420</v>
      </c>
      <c r="B400">
        <f t="shared" si="0"/>
        <v>421</v>
      </c>
      <c r="C400">
        <f t="shared" si="1"/>
        <v>420</v>
      </c>
      <c r="D400">
        <f t="shared" si="2"/>
        <v>419</v>
      </c>
      <c r="E400" t="s">
        <v>251</v>
      </c>
      <c r="F400" t="s">
        <v>321</v>
      </c>
      <c r="G400">
        <v>40</v>
      </c>
      <c r="H400" t="s">
        <v>170</v>
      </c>
      <c r="I400">
        <v>0.5</v>
      </c>
      <c r="J400">
        <v>0.5</v>
      </c>
      <c r="K400" t="str">
        <f>VLOOKUP(H400,metric_dict!A:B,2,0)</f>
        <v>Воронка привлечения</v>
      </c>
      <c r="L400" t="str">
        <f>IF(VLOOKUP(H400,metric_dict!A:C,3,0)=0,"",VLOOKUP(H400,metric_dict!A:C,3,0))</f>
        <v/>
      </c>
      <c r="M400" t="str">
        <f>VLOOKUP(H400,metric_dict!A:AA,4,0)</f>
        <v>Self-service / кампейнинг, успешность</v>
      </c>
      <c r="N400" t="str">
        <f>VLOOKUP(H400,metric_dict!A:AA,5,0)</f>
        <v>Развитие кампейнинга</v>
      </c>
      <c r="O400">
        <f>VLOOKUP(H400,metric_dict!A:AA,6,0)</f>
        <v>2</v>
      </c>
      <c r="P400" t="s">
        <v>97</v>
      </c>
      <c r="Q400">
        <f>VLOOKUP(H400,metric_dict!A:AA,7,0)</f>
        <v>6</v>
      </c>
    </row>
    <row r="401" spans="1:17" x14ac:dyDescent="0.2">
      <c r="A401">
        <v>420</v>
      </c>
      <c r="B401">
        <f t="shared" si="0"/>
        <v>421</v>
      </c>
      <c r="C401">
        <f t="shared" si="1"/>
        <v>420</v>
      </c>
      <c r="D401">
        <f t="shared" si="2"/>
        <v>419</v>
      </c>
      <c r="E401" t="s">
        <v>251</v>
      </c>
      <c r="F401" t="s">
        <v>321</v>
      </c>
      <c r="G401">
        <v>41</v>
      </c>
      <c r="H401" t="s">
        <v>173</v>
      </c>
      <c r="I401" t="s">
        <v>196</v>
      </c>
      <c r="J401" t="s">
        <v>196</v>
      </c>
      <c r="K401" t="str">
        <f>VLOOKUP(H401,metric_dict!A:B,2,0)</f>
        <v>Воронка привлечения</v>
      </c>
      <c r="L401" t="str">
        <f>IF(VLOOKUP(H401,metric_dict!A:C,3,0)=0,"",VLOOKUP(H401,metric_dict!A:C,3,0))</f>
        <v/>
      </c>
      <c r="M401" t="str">
        <f>VLOOKUP(H401,metric_dict!A:AA,4,0)</f>
        <v>Покрытие черновиков коммуникациями</v>
      </c>
      <c r="N401" t="str">
        <f>VLOOKUP(H401,metric_dict!A:AA,5,0)</f>
        <v>Увеличить покрытие черновиков</v>
      </c>
      <c r="O401">
        <f>VLOOKUP(H401,metric_dict!A:AA,6,0)</f>
        <v>5</v>
      </c>
      <c r="P401" t="s">
        <v>97</v>
      </c>
      <c r="Q401">
        <f>VLOOKUP(H401,metric_dict!A:AA,7,0)</f>
        <v>7</v>
      </c>
    </row>
    <row r="402" spans="1:17" x14ac:dyDescent="0.2">
      <c r="A402">
        <v>420</v>
      </c>
      <c r="B402">
        <f t="shared" si="0"/>
        <v>421</v>
      </c>
      <c r="C402">
        <f t="shared" si="1"/>
        <v>420</v>
      </c>
      <c r="D402">
        <f t="shared" si="2"/>
        <v>419</v>
      </c>
      <c r="E402" t="s">
        <v>251</v>
      </c>
      <c r="F402" t="s">
        <v>321</v>
      </c>
      <c r="G402">
        <v>42</v>
      </c>
      <c r="H402" t="s">
        <v>176</v>
      </c>
      <c r="I402" t="s">
        <v>198</v>
      </c>
      <c r="J402" t="s">
        <v>198</v>
      </c>
      <c r="K402" t="str">
        <f>VLOOKUP(H402,metric_dict!A:B,2,0)</f>
        <v>Клиентский опыт</v>
      </c>
      <c r="L402" t="str">
        <f>IF(VLOOKUP(H402,metric_dict!A:C,3,0)=0,"",VLOOKUP(H402,metric_dict!A:C,3,0))</f>
        <v/>
      </c>
      <c r="M402" t="str">
        <f>VLOOKUP(H402,metric_dict!A:AA,4,0)</f>
        <v>Зелёная зона клиентского пути</v>
      </c>
      <c r="N402" t="str">
        <f>VLOOKUP(H402,metric_dict!A:AA,5,0)</f>
        <v>Достигнуть целевого CX Score</v>
      </c>
      <c r="O402">
        <f>VLOOKUP(H402,metric_dict!A:AA,6,0)</f>
        <v>5</v>
      </c>
      <c r="P402" t="s">
        <v>97</v>
      </c>
      <c r="Q402">
        <f>VLOOKUP(H402,metric_dict!A:AA,7,0)</f>
        <v>1</v>
      </c>
    </row>
    <row r="403" spans="1:17" x14ac:dyDescent="0.2">
      <c r="A403">
        <v>420</v>
      </c>
      <c r="B403">
        <f t="shared" si="0"/>
        <v>421</v>
      </c>
      <c r="C403">
        <f t="shared" si="1"/>
        <v>420</v>
      </c>
      <c r="D403">
        <f t="shared" si="2"/>
        <v>419</v>
      </c>
      <c r="E403" t="s">
        <v>251</v>
      </c>
      <c r="F403" t="s">
        <v>321</v>
      </c>
      <c r="G403">
        <v>43</v>
      </c>
      <c r="H403" t="s">
        <v>179</v>
      </c>
      <c r="J403">
        <v>0</v>
      </c>
      <c r="K403" t="str">
        <f>VLOOKUP(H403,metric_dict!A:B,2,0)</f>
        <v>Гипотезы и инициативы</v>
      </c>
      <c r="L403" t="str">
        <f>IF(VLOOKUP(H403,metric_dict!A:C,3,0)=0,"",VLOOKUP(H403,metric_dict!A:C,3,0))</f>
        <v/>
      </c>
      <c r="M403" t="str">
        <f>VLOOKUP(H403,metric_dict!A:AA,4,0)</f>
        <v>Проведение A/B тестов</v>
      </c>
      <c r="N403" t="str">
        <f>VLOOKUP(H403,metric_dict!A:AA,5,0)</f>
        <v>Запустить A/B-тестирование</v>
      </c>
      <c r="O403">
        <f>VLOOKUP(H403,metric_dict!A:AA,6,0)</f>
        <v>5</v>
      </c>
      <c r="P403" t="s">
        <v>97</v>
      </c>
      <c r="Q403">
        <f>VLOOKUP(H403,metric_dict!A:AA,7,0)</f>
        <v>3</v>
      </c>
    </row>
    <row r="404" spans="1:17" x14ac:dyDescent="0.2">
      <c r="A404">
        <v>420</v>
      </c>
      <c r="B404">
        <f t="shared" si="0"/>
        <v>421</v>
      </c>
      <c r="C404">
        <f t="shared" si="1"/>
        <v>420</v>
      </c>
      <c r="D404">
        <f t="shared" si="2"/>
        <v>419</v>
      </c>
      <c r="E404" t="s">
        <v>251</v>
      </c>
      <c r="F404" t="s">
        <v>321</v>
      </c>
      <c r="G404">
        <v>44</v>
      </c>
      <c r="H404" t="s">
        <v>182</v>
      </c>
      <c r="I404">
        <v>1</v>
      </c>
      <c r="J404">
        <v>1</v>
      </c>
      <c r="K404" t="str">
        <f>VLOOKUP(H404,metric_dict!A:B,2,0)</f>
        <v>Гипотезы и инициативы</v>
      </c>
      <c r="L404" t="str">
        <f>IF(VLOOKUP(H404,metric_dict!A:C,3,0)=0,"",VLOOKUP(H404,metric_dict!A:C,3,0))</f>
        <v/>
      </c>
      <c r="M404" t="str">
        <f>VLOOKUP(H404,metric_dict!A:AA,4,0)</f>
        <v>Средняя оценка проведенных исследований</v>
      </c>
      <c r="N404" t="str">
        <f>VLOOKUP(H404,metric_dict!A:AA,5,0)</f>
        <v>Повысить качество проведенных исследований</v>
      </c>
      <c r="O404">
        <f>VLOOKUP(H404,metric_dict!A:AA,6,0)</f>
        <v>5</v>
      </c>
      <c r="P404" t="s">
        <v>97</v>
      </c>
      <c r="Q404">
        <f>VLOOKUP(H404,metric_dict!A:AA,7,0)</f>
        <v>2</v>
      </c>
    </row>
    <row r="405" spans="1:17" x14ac:dyDescent="0.2">
      <c r="A405">
        <v>420</v>
      </c>
      <c r="B405">
        <f t="shared" si="0"/>
        <v>421</v>
      </c>
      <c r="C405">
        <f t="shared" si="1"/>
        <v>420</v>
      </c>
      <c r="D405">
        <f t="shared" si="2"/>
        <v>419</v>
      </c>
      <c r="E405" t="s">
        <v>251</v>
      </c>
      <c r="F405" t="s">
        <v>321</v>
      </c>
      <c r="G405">
        <v>45</v>
      </c>
      <c r="H405" t="s">
        <v>185</v>
      </c>
      <c r="I405">
        <v>1</v>
      </c>
      <c r="J405">
        <v>1</v>
      </c>
      <c r="K405" t="str">
        <f>VLOOKUP(H405,metric_dict!A:B,2,0)</f>
        <v>Гипотезы и инициативы</v>
      </c>
      <c r="L405" t="str">
        <f>IF(VLOOKUP(H405,metric_dict!A:C,3,0)=0,"",VLOOKUP(H405,metric_dict!A:C,3,0))</f>
        <v/>
      </c>
      <c r="M405" t="str">
        <f>VLOOKUP(H405,metric_dict!A:AA,4,0)</f>
        <v>В реестре инициатив</v>
      </c>
      <c r="N405" t="str">
        <f>VLOOKUP(H405,metric_dict!A:AA,5,0)</f>
        <v>Сформировать перечень инициатив</v>
      </c>
      <c r="O405">
        <f>VLOOKUP(H405,metric_dict!A:AA,6,0)</f>
        <v>3</v>
      </c>
      <c r="P405" t="s">
        <v>97</v>
      </c>
      <c r="Q405">
        <f>VLOOKUP(H405,metric_dict!A:AA,7,0)</f>
        <v>4</v>
      </c>
    </row>
    <row r="406" spans="1:17" x14ac:dyDescent="0.2">
      <c r="A406">
        <v>420</v>
      </c>
      <c r="B406">
        <f t="shared" si="0"/>
        <v>421</v>
      </c>
      <c r="C406">
        <f t="shared" si="1"/>
        <v>420</v>
      </c>
      <c r="D406">
        <f t="shared" si="2"/>
        <v>419</v>
      </c>
      <c r="E406" t="s">
        <v>251</v>
      </c>
      <c r="F406" t="s">
        <v>321</v>
      </c>
      <c r="G406">
        <v>47</v>
      </c>
      <c r="H406" t="s">
        <v>187</v>
      </c>
      <c r="I406">
        <v>0.2</v>
      </c>
      <c r="J406">
        <v>0.2</v>
      </c>
      <c r="K406" t="str">
        <f>VLOOKUP(H406,metric_dict!A:B,2,0)</f>
        <v>Знание ключевых метрик</v>
      </c>
      <c r="L406" t="str">
        <f>IF(VLOOKUP(H406,metric_dict!A:C,3,0)=0,"",VLOOKUP(H406,metric_dict!A:C,3,0))</f>
        <v/>
      </c>
      <c r="M406" t="str">
        <f>VLOOKUP(H406,metric_dict!A:AA,4,0)</f>
        <v>Оценка потенциального объема клиентов в Сбере</v>
      </c>
      <c r="N406" t="str">
        <f>VLOOKUP(H406,metric_dict!A:AA,5,0)</f>
        <v>Знание метрик и инструментов</v>
      </c>
      <c r="O406">
        <f>VLOOKUP(H406,metric_dict!A:AA,6,0)</f>
        <v>1</v>
      </c>
      <c r="P406" t="s">
        <v>97</v>
      </c>
      <c r="Q406">
        <f>VLOOKUP(H406,metric_dict!A:AA,7,0)</f>
        <v>2</v>
      </c>
    </row>
    <row r="407" spans="1:17" x14ac:dyDescent="0.2">
      <c r="A407">
        <v>420</v>
      </c>
      <c r="B407">
        <f t="shared" si="0"/>
        <v>421</v>
      </c>
      <c r="C407">
        <f t="shared" si="1"/>
        <v>420</v>
      </c>
      <c r="D407">
        <f t="shared" si="2"/>
        <v>419</v>
      </c>
      <c r="E407" t="s">
        <v>251</v>
      </c>
      <c r="F407" t="s">
        <v>321</v>
      </c>
      <c r="G407">
        <v>48</v>
      </c>
      <c r="H407" t="s">
        <v>189</v>
      </c>
      <c r="I407">
        <v>0.2</v>
      </c>
      <c r="J407">
        <v>0.2</v>
      </c>
      <c r="K407" t="str">
        <f>VLOOKUP(H407,metric_dict!A:B,2,0)</f>
        <v>Знание ключевых метрик</v>
      </c>
      <c r="L407" t="str">
        <f>IF(VLOOKUP(H407,metric_dict!A:C,3,0)=0,"",VLOOKUP(H407,metric_dict!A:C,3,0))</f>
        <v/>
      </c>
      <c r="M407" t="str">
        <f>VLOOKUP(H407,metric_dict!A:AA,4,0)</f>
        <v>Фактическая база клиентов продукта</v>
      </c>
      <c r="N407" t="str">
        <f>VLOOKUP(H407,metric_dict!A:AA,5,0)</f>
        <v>Знание метрик и инструментов</v>
      </c>
      <c r="O407">
        <f>VLOOKUP(H407,metric_dict!A:AA,6,0)</f>
        <v>1</v>
      </c>
      <c r="P407" t="s">
        <v>97</v>
      </c>
      <c r="Q407">
        <f>VLOOKUP(H407,metric_dict!A:AA,7,0)</f>
        <v>3</v>
      </c>
    </row>
    <row r="408" spans="1:17" x14ac:dyDescent="0.2">
      <c r="A408">
        <v>420</v>
      </c>
      <c r="B408">
        <f t="shared" si="0"/>
        <v>421</v>
      </c>
      <c r="C408">
        <f t="shared" si="1"/>
        <v>420</v>
      </c>
      <c r="D408">
        <f t="shared" si="2"/>
        <v>419</v>
      </c>
      <c r="E408" t="s">
        <v>251</v>
      </c>
      <c r="F408" t="s">
        <v>321</v>
      </c>
      <c r="G408">
        <v>49</v>
      </c>
      <c r="H408" t="s">
        <v>191</v>
      </c>
      <c r="I408">
        <v>0.2</v>
      </c>
      <c r="J408">
        <v>0.2</v>
      </c>
      <c r="K408" t="str">
        <f>VLOOKUP(H408,metric_dict!A:B,2,0)</f>
        <v>Знание ключевых метрик</v>
      </c>
      <c r="L408" t="str">
        <f>IF(VLOOKUP(H408,metric_dict!A:C,3,0)=0,"",VLOOKUP(H408,metric_dict!A:C,3,0))</f>
        <v/>
      </c>
      <c r="M408" t="str">
        <f>VLOOKUP(H408,metric_dict!A:AA,4,0)</f>
        <v>Активная месячная аудитория продукта</v>
      </c>
      <c r="N408" t="str">
        <f>VLOOKUP(H408,metric_dict!A:AA,5,0)</f>
        <v>Знание метрик и инструментов</v>
      </c>
      <c r="O408">
        <f>VLOOKUP(H408,metric_dict!A:AA,6,0)</f>
        <v>1</v>
      </c>
      <c r="P408" t="s">
        <v>97</v>
      </c>
      <c r="Q408">
        <f>VLOOKUP(H408,metric_dict!A:AA,7,0)</f>
        <v>4</v>
      </c>
    </row>
    <row r="409" spans="1:17" x14ac:dyDescent="0.2">
      <c r="A409">
        <v>420</v>
      </c>
      <c r="B409">
        <f t="shared" si="0"/>
        <v>421</v>
      </c>
      <c r="C409">
        <f t="shared" si="1"/>
        <v>420</v>
      </c>
      <c r="D409">
        <f t="shared" si="2"/>
        <v>419</v>
      </c>
      <c r="E409" t="s">
        <v>251</v>
      </c>
      <c r="F409" t="s">
        <v>321</v>
      </c>
      <c r="G409">
        <v>50</v>
      </c>
      <c r="H409" t="s">
        <v>193</v>
      </c>
      <c r="I409">
        <v>0.1</v>
      </c>
      <c r="J409">
        <v>0.1</v>
      </c>
      <c r="K409" t="str">
        <f>VLOOKUP(H409,metric_dict!A:B,2,0)</f>
        <v>Знание ключевых метрик</v>
      </c>
      <c r="L409" t="str">
        <f>IF(VLOOKUP(H409,metric_dict!A:C,3,0)=0,"",VLOOKUP(H409,metric_dict!A:C,3,0))</f>
        <v/>
      </c>
      <c r="M409" t="str">
        <f>VLOOKUP(H409,metric_dict!A:AA,4,0)</f>
        <v>Понимание связанных продуктов и сценариев</v>
      </c>
      <c r="N409" t="str">
        <f>VLOOKUP(H409,metric_dict!A:AA,5,0)</f>
        <v>Знание метрик и инструментов</v>
      </c>
      <c r="O409">
        <f>VLOOKUP(H409,metric_dict!A:AA,6,0)</f>
        <v>1</v>
      </c>
      <c r="P409" t="s">
        <v>97</v>
      </c>
      <c r="Q409">
        <f>VLOOKUP(H409,metric_dict!A:AA,7,0)</f>
        <v>12</v>
      </c>
    </row>
    <row r="410" spans="1:17" x14ac:dyDescent="0.2">
      <c r="A410">
        <v>420</v>
      </c>
      <c r="B410">
        <f t="shared" si="0"/>
        <v>421</v>
      </c>
      <c r="C410">
        <f t="shared" si="1"/>
        <v>420</v>
      </c>
      <c r="D410">
        <f t="shared" si="2"/>
        <v>419</v>
      </c>
      <c r="E410" t="s">
        <v>251</v>
      </c>
      <c r="F410" t="s">
        <v>321</v>
      </c>
      <c r="G410">
        <v>51</v>
      </c>
      <c r="H410" t="s">
        <v>193</v>
      </c>
      <c r="I410">
        <v>0.1</v>
      </c>
      <c r="J410">
        <v>0.1</v>
      </c>
      <c r="K410" t="str">
        <f>VLOOKUP(H410,metric_dict!A:B,2,0)</f>
        <v>Знание ключевых метрик</v>
      </c>
      <c r="L410" t="str">
        <f>IF(VLOOKUP(H410,metric_dict!A:C,3,0)=0,"",VLOOKUP(H410,metric_dict!A:C,3,0))</f>
        <v/>
      </c>
      <c r="M410" t="str">
        <f>VLOOKUP(H410,metric_dict!A:AA,4,0)</f>
        <v>Понимание связанных продуктов и сценариев</v>
      </c>
      <c r="N410" t="str">
        <f>VLOOKUP(H410,metric_dict!A:AA,5,0)</f>
        <v>Знание метрик и инструментов</v>
      </c>
      <c r="O410">
        <f>VLOOKUP(H410,metric_dict!A:AA,6,0)</f>
        <v>1</v>
      </c>
      <c r="P410" t="s">
        <v>97</v>
      </c>
      <c r="Q410">
        <f>VLOOKUP(H410,metric_dict!A:AA,7,0)</f>
        <v>12</v>
      </c>
    </row>
    <row r="411" spans="1:17" x14ac:dyDescent="0.2">
      <c r="A411">
        <v>420</v>
      </c>
      <c r="B411">
        <f t="shared" si="0"/>
        <v>421</v>
      </c>
      <c r="C411">
        <f t="shared" si="1"/>
        <v>420</v>
      </c>
      <c r="D411">
        <f t="shared" si="2"/>
        <v>419</v>
      </c>
      <c r="E411" t="s">
        <v>251</v>
      </c>
      <c r="F411" t="s">
        <v>321</v>
      </c>
      <c r="G411">
        <v>96</v>
      </c>
      <c r="H411" t="s">
        <v>265</v>
      </c>
      <c r="J411">
        <v>0</v>
      </c>
      <c r="K411" t="str">
        <f>VLOOKUP(H411,metric_dict!A:B,2,0)</f>
        <v>Механики</v>
      </c>
      <c r="L411" t="str">
        <f>IF(VLOOKUP(H411,metric_dict!A:C,3,0)=0,"",VLOOKUP(H411,metric_dict!A:C,3,0))</f>
        <v/>
      </c>
      <c r="M411" t="str">
        <f>VLOOKUP(H411,metric_dict!A:AA,4,0)</f>
        <v>Настроен по ключевым механикам работы с клиентской базой</v>
      </c>
      <c r="N411" t="str">
        <f>VLOOKUP(H411,metric_dict!A:AA,5,0)</f>
        <v>Настроить мониторинг по ключевым механикам</v>
      </c>
      <c r="O411">
        <f>VLOOKUP(H411,metric_dict!A:AA,6,0)</f>
        <v>2</v>
      </c>
      <c r="P411" t="s">
        <v>97</v>
      </c>
      <c r="Q411">
        <f>VLOOKUP(H411,metric_dict!A:AA,7,0)</f>
        <v>22</v>
      </c>
    </row>
    <row r="412" spans="1:17" x14ac:dyDescent="0.2">
      <c r="A412">
        <v>420</v>
      </c>
      <c r="B412">
        <f t="shared" si="0"/>
        <v>421</v>
      </c>
      <c r="C412">
        <f t="shared" si="1"/>
        <v>420</v>
      </c>
      <c r="D412">
        <f t="shared" si="2"/>
        <v>419</v>
      </c>
      <c r="E412" t="s">
        <v>251</v>
      </c>
      <c r="F412" t="s">
        <v>321</v>
      </c>
      <c r="G412">
        <v>99</v>
      </c>
      <c r="H412" t="s">
        <v>265</v>
      </c>
      <c r="J412">
        <v>0</v>
      </c>
      <c r="K412" t="str">
        <f>VLOOKUP(H412,metric_dict!A:B,2,0)</f>
        <v>Механики</v>
      </c>
      <c r="L412" t="str">
        <f>IF(VLOOKUP(H412,metric_dict!A:C,3,0)=0,"",VLOOKUP(H412,metric_dict!A:C,3,0))</f>
        <v/>
      </c>
      <c r="M412" t="str">
        <f>VLOOKUP(H412,metric_dict!A:AA,4,0)</f>
        <v>Настроен по ключевым механикам работы с клиентской базой</v>
      </c>
      <c r="N412" t="str">
        <f>VLOOKUP(H412,metric_dict!A:AA,5,0)</f>
        <v>Настроить мониторинг по ключевым механикам</v>
      </c>
      <c r="O412">
        <f>VLOOKUP(H412,metric_dict!A:AA,6,0)</f>
        <v>2</v>
      </c>
      <c r="P412" t="s">
        <v>97</v>
      </c>
      <c r="Q412">
        <f>VLOOKUP(H412,metric_dict!A:AA,7,0)</f>
        <v>22</v>
      </c>
    </row>
    <row r="413" spans="1:17" x14ac:dyDescent="0.2">
      <c r="A413">
        <v>420</v>
      </c>
      <c r="B413">
        <f t="shared" si="0"/>
        <v>421</v>
      </c>
      <c r="C413">
        <f t="shared" si="1"/>
        <v>420</v>
      </c>
      <c r="D413">
        <f t="shared" si="2"/>
        <v>419</v>
      </c>
      <c r="E413" t="s">
        <v>251</v>
      </c>
      <c r="F413" t="s">
        <v>321</v>
      </c>
      <c r="G413">
        <v>98</v>
      </c>
      <c r="H413" t="s">
        <v>204</v>
      </c>
      <c r="I413">
        <v>0</v>
      </c>
      <c r="J413">
        <v>1</v>
      </c>
      <c r="K413" t="str">
        <f>VLOOKUP(H413,metric_dict!A:B,2,0)</f>
        <v>Механики</v>
      </c>
      <c r="L413" t="str">
        <f>IF(VLOOKUP(H413,metric_dict!A:C,3,0)=0,"",VLOOKUP(H413,metric_dict!A:C,3,0))</f>
        <v/>
      </c>
      <c r="M413" t="str">
        <f>VLOOKUP(H413,metric_dict!A:AA,4,0)</f>
        <v>Возможность изменить набор опций по продукту без IT-разработки</v>
      </c>
      <c r="N413" t="str">
        <f>VLOOKUP(H413,metric_dict!A:AA,5,0)</f>
        <v>Выстроить процесс гибкого изменения условий без IT</v>
      </c>
      <c r="O413">
        <f>VLOOKUP(H413,metric_dict!A:AA,6,0)</f>
        <v>10</v>
      </c>
      <c r="P413" t="s">
        <v>97</v>
      </c>
      <c r="Q413">
        <f>VLOOKUP(H413,metric_dict!A:AA,7,0)</f>
        <v>7</v>
      </c>
    </row>
    <row r="414" spans="1:17" x14ac:dyDescent="0.2">
      <c r="A414">
        <v>420</v>
      </c>
      <c r="B414">
        <f t="shared" si="0"/>
        <v>421</v>
      </c>
      <c r="C414">
        <f t="shared" si="1"/>
        <v>420</v>
      </c>
      <c r="D414">
        <f t="shared" si="2"/>
        <v>419</v>
      </c>
      <c r="E414" t="s">
        <v>251</v>
      </c>
      <c r="F414" t="s">
        <v>321</v>
      </c>
      <c r="G414">
        <v>53</v>
      </c>
      <c r="H414" t="s">
        <v>201</v>
      </c>
      <c r="J414" t="s">
        <v>287</v>
      </c>
      <c r="K414" t="e">
        <f>VLOOKUP(H414,metric_dict!A:B,2,0)</f>
        <v>#N/A</v>
      </c>
      <c r="L414" t="e">
        <f>IF(VLOOKUP(H414,metric_dict!A:C,3,0)=0,"",VLOOKUP(H414,metric_dict!A:C,3,0))</f>
        <v>#N/A</v>
      </c>
      <c r="M414" t="e">
        <f>VLOOKUP(H414,metric_dict!A:AA,4,0)</f>
        <v>#N/A</v>
      </c>
      <c r="N414" t="e">
        <f>VLOOKUP(H414,metric_dict!A:AA,5,0)</f>
        <v>#N/A</v>
      </c>
      <c r="O414" t="e">
        <f>VLOOKUP(H414,metric_dict!A:AA,6,0)</f>
        <v>#N/A</v>
      </c>
      <c r="P414" t="s">
        <v>97</v>
      </c>
      <c r="Q414" t="e">
        <f>VLOOKUP(H414,metric_dict!A:AA,7,0)</f>
        <v>#N/A</v>
      </c>
    </row>
    <row r="415" spans="1:17" x14ac:dyDescent="0.2">
      <c r="A415">
        <v>420</v>
      </c>
      <c r="B415">
        <f t="shared" si="0"/>
        <v>421</v>
      </c>
      <c r="C415">
        <f t="shared" si="1"/>
        <v>420</v>
      </c>
      <c r="D415">
        <f t="shared" si="2"/>
        <v>419</v>
      </c>
      <c r="E415" t="s">
        <v>251</v>
      </c>
      <c r="F415" t="s">
        <v>321</v>
      </c>
      <c r="G415">
        <v>52</v>
      </c>
      <c r="H415" t="s">
        <v>200</v>
      </c>
      <c r="J415" t="s">
        <v>287</v>
      </c>
      <c r="K415" t="e">
        <f>VLOOKUP(H415,metric_dict!A:B,2,0)</f>
        <v>#N/A</v>
      </c>
      <c r="L415" t="e">
        <f>IF(VLOOKUP(H415,metric_dict!A:C,3,0)=0,"",VLOOKUP(H415,metric_dict!A:C,3,0))</f>
        <v>#N/A</v>
      </c>
      <c r="M415" t="e">
        <f>VLOOKUP(H415,metric_dict!A:AA,4,0)</f>
        <v>#N/A</v>
      </c>
      <c r="N415" t="e">
        <f>VLOOKUP(H415,metric_dict!A:AA,5,0)</f>
        <v>#N/A</v>
      </c>
      <c r="O415" t="e">
        <f>VLOOKUP(H415,metric_dict!A:AA,6,0)</f>
        <v>#N/A</v>
      </c>
      <c r="P415" t="s">
        <v>97</v>
      </c>
      <c r="Q415" t="e">
        <f>VLOOKUP(H415,metric_dict!A:AA,7,0)</f>
        <v>#N/A</v>
      </c>
    </row>
    <row r="416" spans="1:17" x14ac:dyDescent="0.2">
      <c r="A416">
        <v>420</v>
      </c>
      <c r="B416">
        <f t="shared" si="0"/>
        <v>421</v>
      </c>
      <c r="C416">
        <f t="shared" si="1"/>
        <v>420</v>
      </c>
      <c r="D416">
        <f t="shared" si="2"/>
        <v>419</v>
      </c>
      <c r="E416" t="s">
        <v>251</v>
      </c>
      <c r="F416" t="s">
        <v>321</v>
      </c>
      <c r="G416">
        <v>101</v>
      </c>
      <c r="H416" t="s">
        <v>208</v>
      </c>
      <c r="I416">
        <v>1</v>
      </c>
      <c r="J416">
        <v>1</v>
      </c>
      <c r="K416" t="e">
        <f>VLOOKUP(H416,metric_dict!A:B,2,0)</f>
        <v>#N/A</v>
      </c>
      <c r="L416" t="e">
        <f>IF(VLOOKUP(H416,metric_dict!A:C,3,0)=0,"",VLOOKUP(H416,metric_dict!A:C,3,0))</f>
        <v>#N/A</v>
      </c>
      <c r="M416" t="e">
        <f>VLOOKUP(H416,metric_dict!A:AA,4,0)</f>
        <v>#N/A</v>
      </c>
      <c r="N416" t="e">
        <f>VLOOKUP(H416,metric_dict!A:AA,5,0)</f>
        <v>#N/A</v>
      </c>
      <c r="O416" t="e">
        <f>VLOOKUP(H416,metric_dict!A:AA,6,0)</f>
        <v>#N/A</v>
      </c>
      <c r="P416" t="s">
        <v>97</v>
      </c>
      <c r="Q416" t="e">
        <f>VLOOKUP(H416,metric_dict!A:AA,7,0)</f>
        <v>#N/A</v>
      </c>
    </row>
    <row r="417" spans="1:17" x14ac:dyDescent="0.2">
      <c r="A417">
        <v>420</v>
      </c>
      <c r="B417">
        <f t="shared" si="0"/>
        <v>421</v>
      </c>
      <c r="C417">
        <f t="shared" si="1"/>
        <v>420</v>
      </c>
      <c r="D417">
        <f t="shared" si="2"/>
        <v>419</v>
      </c>
      <c r="E417" t="s">
        <v>251</v>
      </c>
      <c r="F417" t="s">
        <v>321</v>
      </c>
      <c r="G417">
        <v>102</v>
      </c>
      <c r="H417" t="s">
        <v>209</v>
      </c>
      <c r="I417">
        <v>0</v>
      </c>
      <c r="J417">
        <v>1</v>
      </c>
      <c r="K417" t="e">
        <f>VLOOKUP(H417,metric_dict!A:B,2,0)</f>
        <v>#N/A</v>
      </c>
      <c r="L417" t="e">
        <f>IF(VLOOKUP(H417,metric_dict!A:C,3,0)=0,"",VLOOKUP(H417,metric_dict!A:C,3,0))</f>
        <v>#N/A</v>
      </c>
      <c r="M417" t="e">
        <f>VLOOKUP(H417,metric_dict!A:AA,4,0)</f>
        <v>#N/A</v>
      </c>
      <c r="N417" t="e">
        <f>VLOOKUP(H417,metric_dict!A:AA,5,0)</f>
        <v>#N/A</v>
      </c>
      <c r="O417" t="e">
        <f>VLOOKUP(H417,metric_dict!A:AA,6,0)</f>
        <v>#N/A</v>
      </c>
      <c r="P417" t="s">
        <v>97</v>
      </c>
      <c r="Q417" t="e">
        <f>VLOOKUP(H417,metric_dict!A:AA,7,0)</f>
        <v>#N/A</v>
      </c>
    </row>
    <row r="418" spans="1:17" x14ac:dyDescent="0.2">
      <c r="A418">
        <v>420</v>
      </c>
      <c r="B418">
        <f t="shared" si="0"/>
        <v>421</v>
      </c>
      <c r="C418">
        <f t="shared" si="1"/>
        <v>420</v>
      </c>
      <c r="D418">
        <f t="shared" si="2"/>
        <v>419</v>
      </c>
      <c r="E418" t="s">
        <v>251</v>
      </c>
      <c r="F418" t="s">
        <v>321</v>
      </c>
      <c r="G418">
        <v>103</v>
      </c>
      <c r="H418" t="s">
        <v>210</v>
      </c>
      <c r="I418">
        <v>0</v>
      </c>
      <c r="J418">
        <v>1</v>
      </c>
      <c r="K418" t="e">
        <f>VLOOKUP(H418,metric_dict!A:B,2,0)</f>
        <v>#N/A</v>
      </c>
      <c r="L418" t="e">
        <f>IF(VLOOKUP(H418,metric_dict!A:C,3,0)=0,"",VLOOKUP(H418,metric_dict!A:C,3,0))</f>
        <v>#N/A</v>
      </c>
      <c r="M418" t="e">
        <f>VLOOKUP(H418,metric_dict!A:AA,4,0)</f>
        <v>#N/A</v>
      </c>
      <c r="N418" t="e">
        <f>VLOOKUP(H418,metric_dict!A:AA,5,0)</f>
        <v>#N/A</v>
      </c>
      <c r="O418" t="e">
        <f>VLOOKUP(H418,metric_dict!A:AA,6,0)</f>
        <v>#N/A</v>
      </c>
      <c r="P418" t="s">
        <v>97</v>
      </c>
      <c r="Q418" t="e">
        <f>VLOOKUP(H418,metric_dict!A:AA,7,0)</f>
        <v>#N/A</v>
      </c>
    </row>
    <row r="419" spans="1:17" x14ac:dyDescent="0.2">
      <c r="A419">
        <v>18</v>
      </c>
      <c r="B419">
        <v>19</v>
      </c>
      <c r="C419">
        <v>18</v>
      </c>
      <c r="D419">
        <v>17</v>
      </c>
      <c r="E419" t="s">
        <v>251</v>
      </c>
      <c r="F419" t="s">
        <v>252</v>
      </c>
      <c r="G419">
        <v>54</v>
      </c>
      <c r="H419" t="s">
        <v>203</v>
      </c>
      <c r="I419" s="11"/>
      <c r="J419" s="11" t="s">
        <v>323</v>
      </c>
      <c r="K419" t="e">
        <f>VLOOKUP(H419,metric_dict!A:B,2,0)</f>
        <v>#N/A</v>
      </c>
      <c r="L419" t="e">
        <f>IF(VLOOKUP(H419,metric_dict!A:C,3,0)=0,"",VLOOKUP(H419,metric_dict!A:C,3,0))</f>
        <v>#N/A</v>
      </c>
      <c r="M419" t="e">
        <f>VLOOKUP(H419,metric_dict!A:AA,4,0)</f>
        <v>#N/A</v>
      </c>
      <c r="N419" t="e">
        <f>VLOOKUP(H419,metric_dict!A:AA,5,0)</f>
        <v>#N/A</v>
      </c>
      <c r="O419" t="e">
        <f>VLOOKUP(H419,metric_dict!A:AA,6,0)</f>
        <v>#N/A</v>
      </c>
      <c r="P419" t="s">
        <v>256</v>
      </c>
      <c r="Q419" t="e">
        <f>VLOOKUP(H419,metric_dict!A:AA,7,0)</f>
        <v>#N/A</v>
      </c>
    </row>
    <row r="420" spans="1:17" x14ac:dyDescent="0.2">
      <c r="A420">
        <v>33</v>
      </c>
      <c r="B420">
        <v>34</v>
      </c>
      <c r="C420">
        <v>33</v>
      </c>
      <c r="D420">
        <v>32</v>
      </c>
      <c r="E420" t="s">
        <v>251</v>
      </c>
      <c r="F420" t="s">
        <v>54</v>
      </c>
      <c r="G420">
        <v>44</v>
      </c>
      <c r="H420" t="s">
        <v>200</v>
      </c>
      <c r="J420" s="12" t="s">
        <v>324</v>
      </c>
      <c r="K420" t="e">
        <f>VLOOKUP(H420,metric_dict!A:B,2,0)</f>
        <v>#N/A</v>
      </c>
      <c r="L420" t="e">
        <f>IF(VLOOKUP(H420,metric_dict!A:C,3,0)=0,"",VLOOKUP(H420,metric_dict!A:C,3,0))</f>
        <v>#N/A</v>
      </c>
      <c r="M420" t="e">
        <f>VLOOKUP(H420,metric_dict!A:AA,4,0)</f>
        <v>#N/A</v>
      </c>
      <c r="N420" t="e">
        <f>VLOOKUP(H420,metric_dict!A:AA,5,0)</f>
        <v>#N/A</v>
      </c>
      <c r="O420" t="e">
        <f>VLOOKUP(H420,metric_dict!A:AA,6,0)</f>
        <v>#N/A</v>
      </c>
      <c r="P420" t="s">
        <v>256</v>
      </c>
      <c r="Q420" t="e">
        <f>VLOOKUP(H420,metric_dict!A:AA,7,0)</f>
        <v>#N/A</v>
      </c>
    </row>
    <row r="421" spans="1:17" x14ac:dyDescent="0.2">
      <c r="A421">
        <v>43</v>
      </c>
      <c r="B421">
        <v>44</v>
      </c>
      <c r="C421">
        <v>43</v>
      </c>
      <c r="D421">
        <v>42</v>
      </c>
      <c r="E421" t="s">
        <v>251</v>
      </c>
      <c r="F421" t="s">
        <v>56</v>
      </c>
      <c r="G421">
        <v>44</v>
      </c>
      <c r="H421" t="s">
        <v>200</v>
      </c>
      <c r="J421" s="12" t="s">
        <v>325</v>
      </c>
      <c r="K421" t="e">
        <f>VLOOKUP(H421,metric_dict!A:B,2,0)</f>
        <v>#N/A</v>
      </c>
      <c r="L421" t="e">
        <f>IF(VLOOKUP(H421,metric_dict!A:C,3,0)=0,"",VLOOKUP(H421,metric_dict!A:C,3,0))</f>
        <v>#N/A</v>
      </c>
      <c r="M421" t="e">
        <f>VLOOKUP(H421,metric_dict!A:AA,4,0)</f>
        <v>#N/A</v>
      </c>
      <c r="N421" t="e">
        <f>VLOOKUP(H421,metric_dict!A:AA,5,0)</f>
        <v>#N/A</v>
      </c>
      <c r="O421" t="e">
        <f>VLOOKUP(H421,metric_dict!A:AA,6,0)</f>
        <v>#N/A</v>
      </c>
      <c r="P421" t="s">
        <v>256</v>
      </c>
      <c r="Q421" t="e">
        <f>VLOOKUP(H421,metric_dict!A:AA,7,0)</f>
        <v>#N/A</v>
      </c>
    </row>
    <row r="422" spans="1:17" x14ac:dyDescent="0.2">
      <c r="A422">
        <v>38</v>
      </c>
      <c r="B422">
        <v>39</v>
      </c>
      <c r="C422">
        <v>38</v>
      </c>
      <c r="D422">
        <v>37</v>
      </c>
      <c r="E422" t="s">
        <v>251</v>
      </c>
      <c r="F422" t="s">
        <v>55</v>
      </c>
      <c r="G422">
        <v>53</v>
      </c>
      <c r="H422" t="s">
        <v>201</v>
      </c>
      <c r="J422" s="11" t="s">
        <v>326</v>
      </c>
      <c r="K422" t="e">
        <f>VLOOKUP(H422,metric_dict!A:B,2,0)</f>
        <v>#N/A</v>
      </c>
      <c r="L422" t="e">
        <f>IF(VLOOKUP(H422,metric_dict!A:C,3,0)=0,"",VLOOKUP(H422,metric_dict!A:C,3,0))</f>
        <v>#N/A</v>
      </c>
      <c r="M422" t="e">
        <f>VLOOKUP(H422,metric_dict!A:AA,4,0)</f>
        <v>#N/A</v>
      </c>
      <c r="N422" t="e">
        <f>VLOOKUP(H422,metric_dict!A:AA,5,0)</f>
        <v>#N/A</v>
      </c>
      <c r="O422" t="e">
        <f>VLOOKUP(H422,metric_dict!A:AA,6,0)</f>
        <v>#N/A</v>
      </c>
      <c r="P422" t="s">
        <v>256</v>
      </c>
      <c r="Q422" t="e">
        <f>VLOOKUP(H422,metric_dict!A:AA,7,0)</f>
        <v>#N/A</v>
      </c>
    </row>
    <row r="423" spans="1:17" x14ac:dyDescent="0.2">
      <c r="A423">
        <v>23</v>
      </c>
      <c r="B423">
        <v>24</v>
      </c>
      <c r="C423">
        <v>23</v>
      </c>
      <c r="D423">
        <v>22</v>
      </c>
      <c r="E423" t="s">
        <v>251</v>
      </c>
      <c r="F423" t="s">
        <v>52</v>
      </c>
      <c r="G423">
        <v>54</v>
      </c>
      <c r="H423" t="s">
        <v>203</v>
      </c>
      <c r="J423" s="12" t="s">
        <v>327</v>
      </c>
      <c r="K423" t="e">
        <f>VLOOKUP(H423,metric_dict!A:B,2,0)</f>
        <v>#N/A</v>
      </c>
      <c r="L423" t="e">
        <f>IF(VLOOKUP(H423,metric_dict!A:C,3,0)=0,"",VLOOKUP(H423,metric_dict!A:C,3,0))</f>
        <v>#N/A</v>
      </c>
      <c r="M423" t="e">
        <f>VLOOKUP(H423,metric_dict!A:AA,4,0)</f>
        <v>#N/A</v>
      </c>
      <c r="N423" t="e">
        <f>VLOOKUP(H423,metric_dict!A:AA,5,0)</f>
        <v>#N/A</v>
      </c>
      <c r="O423" t="e">
        <f>VLOOKUP(H423,metric_dict!A:AA,6,0)</f>
        <v>#N/A</v>
      </c>
      <c r="P423" t="s">
        <v>256</v>
      </c>
      <c r="Q423" t="e">
        <f>VLOOKUP(H423,metric_dict!A:AA,7,0)</f>
        <v>#N/A</v>
      </c>
    </row>
    <row r="424" spans="1:17" x14ac:dyDescent="0.2">
      <c r="A424">
        <v>33</v>
      </c>
      <c r="B424">
        <v>34</v>
      </c>
      <c r="C424">
        <v>33</v>
      </c>
      <c r="D424">
        <v>32</v>
      </c>
      <c r="E424" t="s">
        <v>251</v>
      </c>
      <c r="F424" t="s">
        <v>54</v>
      </c>
      <c r="G424">
        <v>54</v>
      </c>
      <c r="H424" t="s">
        <v>203</v>
      </c>
      <c r="J424" s="12" t="s">
        <v>328</v>
      </c>
      <c r="K424" t="e">
        <f>VLOOKUP(H424,metric_dict!A:B,2,0)</f>
        <v>#N/A</v>
      </c>
      <c r="L424" t="e">
        <f>IF(VLOOKUP(H424,metric_dict!A:C,3,0)=0,"",VLOOKUP(H424,metric_dict!A:C,3,0))</f>
        <v>#N/A</v>
      </c>
      <c r="M424" t="e">
        <f>VLOOKUP(H424,metric_dict!A:AA,4,0)</f>
        <v>#N/A</v>
      </c>
      <c r="N424" t="e">
        <f>VLOOKUP(H424,metric_dict!A:AA,5,0)</f>
        <v>#N/A</v>
      </c>
      <c r="O424" t="e">
        <f>VLOOKUP(H424,metric_dict!A:AA,6,0)</f>
        <v>#N/A</v>
      </c>
      <c r="P424" t="s">
        <v>256</v>
      </c>
      <c r="Q424" t="e">
        <f>VLOOKUP(H424,metric_dict!A:AA,7,0)</f>
        <v>#N/A</v>
      </c>
    </row>
    <row r="425" spans="1:17" x14ac:dyDescent="0.2">
      <c r="A425">
        <v>229</v>
      </c>
      <c r="B425">
        <v>230</v>
      </c>
      <c r="C425">
        <v>229</v>
      </c>
      <c r="D425">
        <v>228</v>
      </c>
      <c r="E425" t="s">
        <v>251</v>
      </c>
      <c r="F425" t="s">
        <v>47</v>
      </c>
      <c r="G425">
        <v>44</v>
      </c>
      <c r="H425" t="s">
        <v>200</v>
      </c>
      <c r="J425" s="13" t="s">
        <v>287</v>
      </c>
      <c r="K425" t="e">
        <f>VLOOKUP(H425,metric_dict!A:B,2,0)</f>
        <v>#N/A</v>
      </c>
      <c r="L425" t="e">
        <f>IF(VLOOKUP(H425,metric_dict!A:C,3,0)=0,"",VLOOKUP(H425,metric_dict!A:C,3,0))</f>
        <v>#N/A</v>
      </c>
      <c r="M425" t="e">
        <f>VLOOKUP(H425,metric_dict!A:AA,4,0)</f>
        <v>#N/A</v>
      </c>
      <c r="N425" t="e">
        <f>VLOOKUP(H425,metric_dict!A:AA,5,0)</f>
        <v>#N/A</v>
      </c>
      <c r="O425" t="e">
        <f>VLOOKUP(H425,metric_dict!A:AA,6,0)</f>
        <v>#N/A</v>
      </c>
      <c r="P425" t="s">
        <v>97</v>
      </c>
      <c r="Q425" t="e">
        <f>VLOOKUP(H425,metric_dict!A:AA,7,0)</f>
        <v>#N/A</v>
      </c>
    </row>
    <row r="426" spans="1:17" x14ac:dyDescent="0.2">
      <c r="A426">
        <v>229</v>
      </c>
      <c r="B426">
        <v>230</v>
      </c>
      <c r="C426">
        <v>229</v>
      </c>
      <c r="D426">
        <v>228</v>
      </c>
      <c r="E426" t="s">
        <v>251</v>
      </c>
      <c r="F426" t="s">
        <v>47</v>
      </c>
      <c r="G426">
        <v>53</v>
      </c>
      <c r="H426" t="s">
        <v>201</v>
      </c>
      <c r="J426" s="13" t="s">
        <v>287</v>
      </c>
      <c r="K426" t="e">
        <f>VLOOKUP(H426,metric_dict!A:B,2,0)</f>
        <v>#N/A</v>
      </c>
      <c r="L426" t="e">
        <f>IF(VLOOKUP(H426,metric_dict!A:C,3,0)=0,"",VLOOKUP(H426,metric_dict!A:C,3,0))</f>
        <v>#N/A</v>
      </c>
      <c r="M426" t="e">
        <f>VLOOKUP(H426,metric_dict!A:AA,4,0)</f>
        <v>#N/A</v>
      </c>
      <c r="N426" t="e">
        <f>VLOOKUP(H426,metric_dict!A:AA,5,0)</f>
        <v>#N/A</v>
      </c>
      <c r="O426" t="e">
        <f>VLOOKUP(H426,metric_dict!A:AA,6,0)</f>
        <v>#N/A</v>
      </c>
      <c r="P426" t="s">
        <v>97</v>
      </c>
      <c r="Q426" t="e">
        <f>VLOOKUP(H426,metric_dict!A:AA,7,0)</f>
        <v>#N/A</v>
      </c>
    </row>
    <row r="427" spans="1:17" x14ac:dyDescent="0.2">
      <c r="A427">
        <v>234</v>
      </c>
      <c r="B427">
        <v>235</v>
      </c>
      <c r="C427">
        <v>234</v>
      </c>
      <c r="D427">
        <v>233</v>
      </c>
      <c r="E427" t="s">
        <v>251</v>
      </c>
      <c r="F427" t="s">
        <v>48</v>
      </c>
      <c r="G427">
        <v>44</v>
      </c>
      <c r="H427" t="s">
        <v>200</v>
      </c>
      <c r="J427" s="13" t="s">
        <v>308</v>
      </c>
      <c r="K427" t="e">
        <f>VLOOKUP(H427,metric_dict!A:B,2,0)</f>
        <v>#N/A</v>
      </c>
      <c r="L427" t="e">
        <f>IF(VLOOKUP(H427,metric_dict!A:C,3,0)=0,"",VLOOKUP(H427,metric_dict!A:C,3,0))</f>
        <v>#N/A</v>
      </c>
      <c r="M427" t="e">
        <f>VLOOKUP(H427,metric_dict!A:AA,4,0)</f>
        <v>#N/A</v>
      </c>
      <c r="N427" t="e">
        <f>VLOOKUP(H427,metric_dict!A:AA,5,0)</f>
        <v>#N/A</v>
      </c>
      <c r="O427" t="e">
        <f>VLOOKUP(H427,metric_dict!A:AA,6,0)</f>
        <v>#N/A</v>
      </c>
      <c r="P427" t="s">
        <v>97</v>
      </c>
      <c r="Q427" t="e">
        <f>VLOOKUP(H427,metric_dict!A:AA,7,0)</f>
        <v>#N/A</v>
      </c>
    </row>
    <row r="428" spans="1:17" x14ac:dyDescent="0.2">
      <c r="A428">
        <v>239</v>
      </c>
      <c r="B428">
        <v>240</v>
      </c>
      <c r="C428">
        <v>239</v>
      </c>
      <c r="D428">
        <v>238</v>
      </c>
      <c r="E428" t="s">
        <v>251</v>
      </c>
      <c r="F428" t="s">
        <v>49</v>
      </c>
      <c r="G428">
        <v>54</v>
      </c>
      <c r="H428" t="s">
        <v>203</v>
      </c>
      <c r="J428" s="13" t="s">
        <v>294</v>
      </c>
      <c r="K428" t="e">
        <f>VLOOKUP(H428,metric_dict!A:B,2,0)</f>
        <v>#N/A</v>
      </c>
      <c r="L428" t="e">
        <f>IF(VLOOKUP(H428,metric_dict!A:C,3,0)=0,"",VLOOKUP(H428,metric_dict!A:C,3,0))</f>
        <v>#N/A</v>
      </c>
      <c r="M428" t="e">
        <f>VLOOKUP(H428,metric_dict!A:AA,4,0)</f>
        <v>#N/A</v>
      </c>
      <c r="N428" t="e">
        <f>VLOOKUP(H428,metric_dict!A:AA,5,0)</f>
        <v>#N/A</v>
      </c>
      <c r="O428" t="e">
        <f>VLOOKUP(H428,metric_dict!A:AA,6,0)</f>
        <v>#N/A</v>
      </c>
      <c r="P428" t="s">
        <v>97</v>
      </c>
      <c r="Q428" t="e">
        <f>VLOOKUP(H428,metric_dict!A:AA,7,0)</f>
        <v>#N/A</v>
      </c>
    </row>
  </sheetData>
  <autoFilter ref="A1:Q428" xr:uid="{E11C0EBB-6CC1-7646-B53D-2F1B038F02EB}"/>
  <hyperlinks>
    <hyperlink ref="J419" r:id="rId1" xr:uid="{094511E1-7AA2-CF41-A799-73FA7BCB1782}"/>
    <hyperlink ref="J420" r:id="rId2" xr:uid="{EBA53894-486B-2847-8B0F-59EE1F4EF8CB}"/>
    <hyperlink ref="J421" r:id="rId3" xr:uid="{48B7D603-A359-8C46-B56D-5DFFF9821739}"/>
    <hyperlink ref="J422" r:id="rId4" xr:uid="{CA310A65-6DC1-5341-8041-F0721EAA7627}"/>
    <hyperlink ref="J423" r:id="rId5" xr:uid="{7D3C1287-F3C3-8042-9F1F-71B59A34F30A}"/>
    <hyperlink ref="J424" r:id="rId6" xr:uid="{EBE11D16-EA36-B349-825D-AB413C3CA93E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910B-1CCB-4DFD-965D-23B7964E3566}">
  <dimension ref="A1:G49"/>
  <sheetViews>
    <sheetView tabSelected="1" topLeftCell="A13" zoomScale="165" workbookViewId="0">
      <selection activeCell="D37" sqref="D37"/>
    </sheetView>
  </sheetViews>
  <sheetFormatPr baseColWidth="10" defaultColWidth="8.83203125" defaultRowHeight="16" x14ac:dyDescent="0.2"/>
  <cols>
    <col min="1" max="1" width="44.1640625" bestFit="1" customWidth="1"/>
    <col min="2" max="3" width="27.6640625" customWidth="1"/>
    <col min="4" max="4" width="60.6640625" bestFit="1" customWidth="1"/>
    <col min="5" max="5" width="55.33203125" bestFit="1" customWidth="1"/>
    <col min="6" max="6" width="9"/>
  </cols>
  <sheetData>
    <row r="1" spans="1:7" x14ac:dyDescent="0.2">
      <c r="A1" t="s">
        <v>84</v>
      </c>
      <c r="B1" t="s">
        <v>87</v>
      </c>
      <c r="C1" s="15" t="s">
        <v>360</v>
      </c>
      <c r="D1" t="s">
        <v>88</v>
      </c>
      <c r="E1" t="s">
        <v>89</v>
      </c>
      <c r="F1" t="s">
        <v>90</v>
      </c>
      <c r="G1" t="s">
        <v>362</v>
      </c>
    </row>
    <row r="2" spans="1:7" x14ac:dyDescent="0.2">
      <c r="A2" t="s">
        <v>127</v>
      </c>
      <c r="B2" t="s">
        <v>122</v>
      </c>
      <c r="C2" t="s">
        <v>361</v>
      </c>
      <c r="D2" t="s">
        <v>119</v>
      </c>
      <c r="E2" t="s">
        <v>128</v>
      </c>
      <c r="F2">
        <v>4</v>
      </c>
      <c r="G2">
        <v>3</v>
      </c>
    </row>
    <row r="3" spans="1:7" x14ac:dyDescent="0.2">
      <c r="A3" t="s">
        <v>118</v>
      </c>
      <c r="B3" t="s">
        <v>112</v>
      </c>
      <c r="C3" t="s">
        <v>361</v>
      </c>
      <c r="D3" t="s">
        <v>119</v>
      </c>
      <c r="E3" t="s">
        <v>120</v>
      </c>
      <c r="F3">
        <v>4</v>
      </c>
      <c r="G3">
        <v>3</v>
      </c>
    </row>
    <row r="4" spans="1:7" x14ac:dyDescent="0.2">
      <c r="A4" t="s">
        <v>150</v>
      </c>
      <c r="B4" t="s">
        <v>147</v>
      </c>
      <c r="D4" t="s">
        <v>151</v>
      </c>
      <c r="E4" t="s">
        <v>149</v>
      </c>
      <c r="F4">
        <v>3</v>
      </c>
      <c r="G4">
        <v>2</v>
      </c>
    </row>
    <row r="5" spans="1:7" x14ac:dyDescent="0.2">
      <c r="A5" t="s">
        <v>146</v>
      </c>
      <c r="B5" t="s">
        <v>147</v>
      </c>
      <c r="D5" t="s">
        <v>148</v>
      </c>
      <c r="E5" t="s">
        <v>149</v>
      </c>
      <c r="F5">
        <v>5</v>
      </c>
      <c r="G5">
        <v>1</v>
      </c>
    </row>
    <row r="6" spans="1:7" x14ac:dyDescent="0.2">
      <c r="A6" t="s">
        <v>204</v>
      </c>
      <c r="B6" t="s">
        <v>345</v>
      </c>
      <c r="D6" t="s">
        <v>205</v>
      </c>
      <c r="E6" t="s">
        <v>206</v>
      </c>
      <c r="F6">
        <v>10</v>
      </c>
      <c r="G6">
        <v>7</v>
      </c>
    </row>
    <row r="7" spans="1:7" x14ac:dyDescent="0.2">
      <c r="A7" t="s">
        <v>104</v>
      </c>
      <c r="B7" t="s">
        <v>101</v>
      </c>
      <c r="D7" t="s">
        <v>105</v>
      </c>
      <c r="E7" t="s">
        <v>106</v>
      </c>
      <c r="F7">
        <v>7</v>
      </c>
      <c r="G7">
        <v>2</v>
      </c>
    </row>
    <row r="8" spans="1:7" x14ac:dyDescent="0.2">
      <c r="A8" t="s">
        <v>124</v>
      </c>
      <c r="B8" t="s">
        <v>122</v>
      </c>
      <c r="C8" t="s">
        <v>361</v>
      </c>
      <c r="D8" t="s">
        <v>125</v>
      </c>
      <c r="E8" t="s">
        <v>126</v>
      </c>
      <c r="F8">
        <v>3</v>
      </c>
      <c r="G8">
        <v>2</v>
      </c>
    </row>
    <row r="9" spans="1:7" x14ac:dyDescent="0.2">
      <c r="A9" t="s">
        <v>115</v>
      </c>
      <c r="B9" t="s">
        <v>112</v>
      </c>
      <c r="C9" t="s">
        <v>361</v>
      </c>
      <c r="D9" t="s">
        <v>116</v>
      </c>
      <c r="E9" t="s">
        <v>117</v>
      </c>
      <c r="F9">
        <v>3</v>
      </c>
      <c r="G9">
        <v>2</v>
      </c>
    </row>
    <row r="10" spans="1:7" x14ac:dyDescent="0.2">
      <c r="A10" t="s">
        <v>176</v>
      </c>
      <c r="B10" t="s">
        <v>153</v>
      </c>
      <c r="D10" t="s">
        <v>177</v>
      </c>
      <c r="E10" t="s">
        <v>178</v>
      </c>
      <c r="F10">
        <v>5</v>
      </c>
      <c r="G10">
        <v>1</v>
      </c>
    </row>
    <row r="11" spans="1:7" x14ac:dyDescent="0.2">
      <c r="A11" t="s">
        <v>179</v>
      </c>
      <c r="B11" t="s">
        <v>166</v>
      </c>
      <c r="D11" t="s">
        <v>180</v>
      </c>
      <c r="E11" t="s">
        <v>181</v>
      </c>
      <c r="F11">
        <v>5</v>
      </c>
      <c r="G11">
        <v>3</v>
      </c>
    </row>
    <row r="12" spans="1:7" x14ac:dyDescent="0.2">
      <c r="A12" t="s">
        <v>121</v>
      </c>
      <c r="B12" t="s">
        <v>122</v>
      </c>
      <c r="C12" t="s">
        <v>361</v>
      </c>
      <c r="D12" t="s">
        <v>113</v>
      </c>
      <c r="E12" t="s">
        <v>123</v>
      </c>
      <c r="F12">
        <v>2</v>
      </c>
      <c r="G12">
        <v>1</v>
      </c>
    </row>
    <row r="13" spans="1:7" x14ac:dyDescent="0.2">
      <c r="A13" t="s">
        <v>111</v>
      </c>
      <c r="B13" t="s">
        <v>112</v>
      </c>
      <c r="C13" t="s">
        <v>361</v>
      </c>
      <c r="D13" t="s">
        <v>113</v>
      </c>
      <c r="E13" t="s">
        <v>114</v>
      </c>
      <c r="F13">
        <v>2</v>
      </c>
      <c r="G13">
        <v>1</v>
      </c>
    </row>
    <row r="14" spans="1:7" x14ac:dyDescent="0.2">
      <c r="A14" t="s">
        <v>265</v>
      </c>
      <c r="B14" t="s">
        <v>345</v>
      </c>
      <c r="D14" t="s">
        <v>266</v>
      </c>
      <c r="E14" t="s">
        <v>267</v>
      </c>
      <c r="F14">
        <v>2</v>
      </c>
      <c r="G14">
        <v>22</v>
      </c>
    </row>
    <row r="15" spans="1:7" x14ac:dyDescent="0.2">
      <c r="A15" t="s">
        <v>100</v>
      </c>
      <c r="B15" t="s">
        <v>101</v>
      </c>
      <c r="D15" t="s">
        <v>102</v>
      </c>
      <c r="E15" t="s">
        <v>349</v>
      </c>
      <c r="F15">
        <v>2</v>
      </c>
      <c r="G15">
        <v>1</v>
      </c>
    </row>
    <row r="16" spans="1:7" x14ac:dyDescent="0.2">
      <c r="A16" t="s">
        <v>191</v>
      </c>
      <c r="B16" t="s">
        <v>329</v>
      </c>
      <c r="D16" t="s">
        <v>192</v>
      </c>
      <c r="E16" t="s">
        <v>348</v>
      </c>
      <c r="F16">
        <v>1</v>
      </c>
      <c r="G16">
        <v>4</v>
      </c>
    </row>
    <row r="17" spans="1:7" x14ac:dyDescent="0.2">
      <c r="A17" t="s">
        <v>330</v>
      </c>
      <c r="B17" t="s">
        <v>329</v>
      </c>
      <c r="D17" t="s">
        <v>336</v>
      </c>
      <c r="E17" t="s">
        <v>348</v>
      </c>
      <c r="F17">
        <v>1</v>
      </c>
      <c r="G17">
        <v>5</v>
      </c>
    </row>
    <row r="18" spans="1:7" x14ac:dyDescent="0.2">
      <c r="A18" t="s">
        <v>334</v>
      </c>
      <c r="B18" t="s">
        <v>329</v>
      </c>
      <c r="D18" t="s">
        <v>344</v>
      </c>
      <c r="E18" t="s">
        <v>348</v>
      </c>
      <c r="F18">
        <v>1</v>
      </c>
      <c r="G18">
        <v>9</v>
      </c>
    </row>
    <row r="19" spans="1:7" x14ac:dyDescent="0.2">
      <c r="A19" t="s">
        <v>98</v>
      </c>
      <c r="B19" t="s">
        <v>329</v>
      </c>
      <c r="D19" t="s">
        <v>99</v>
      </c>
      <c r="E19" t="s">
        <v>348</v>
      </c>
      <c r="F19">
        <v>1</v>
      </c>
      <c r="G19">
        <v>13</v>
      </c>
    </row>
    <row r="20" spans="1:7" x14ac:dyDescent="0.2">
      <c r="A20" t="s">
        <v>193</v>
      </c>
      <c r="B20" t="s">
        <v>329</v>
      </c>
      <c r="D20" t="s">
        <v>194</v>
      </c>
      <c r="E20" t="s">
        <v>348</v>
      </c>
      <c r="F20">
        <v>1</v>
      </c>
      <c r="G20">
        <v>12</v>
      </c>
    </row>
    <row r="21" spans="1:7" x14ac:dyDescent="0.2">
      <c r="A21" t="s">
        <v>189</v>
      </c>
      <c r="B21" t="s">
        <v>329</v>
      </c>
      <c r="D21" t="s">
        <v>190</v>
      </c>
      <c r="E21" t="s">
        <v>348</v>
      </c>
      <c r="F21">
        <v>1</v>
      </c>
      <c r="G21">
        <v>3</v>
      </c>
    </row>
    <row r="22" spans="1:7" x14ac:dyDescent="0.2">
      <c r="A22" t="s">
        <v>331</v>
      </c>
      <c r="B22" t="s">
        <v>329</v>
      </c>
      <c r="D22" t="s">
        <v>343</v>
      </c>
      <c r="E22" t="s">
        <v>348</v>
      </c>
      <c r="F22">
        <v>1</v>
      </c>
      <c r="G22">
        <v>6</v>
      </c>
    </row>
    <row r="23" spans="1:7" x14ac:dyDescent="0.2">
      <c r="A23" t="s">
        <v>332</v>
      </c>
      <c r="B23" t="s">
        <v>329</v>
      </c>
      <c r="D23" t="s">
        <v>342</v>
      </c>
      <c r="E23" t="s">
        <v>348</v>
      </c>
      <c r="F23">
        <v>1</v>
      </c>
      <c r="G23">
        <v>7</v>
      </c>
    </row>
    <row r="24" spans="1:7" x14ac:dyDescent="0.2">
      <c r="A24" t="s">
        <v>333</v>
      </c>
      <c r="B24" t="s">
        <v>329</v>
      </c>
      <c r="D24" t="s">
        <v>341</v>
      </c>
      <c r="E24" t="s">
        <v>348</v>
      </c>
      <c r="F24">
        <v>1</v>
      </c>
      <c r="G24">
        <v>8</v>
      </c>
    </row>
    <row r="25" spans="1:7" x14ac:dyDescent="0.2">
      <c r="A25" t="s">
        <v>335</v>
      </c>
      <c r="B25" t="s">
        <v>329</v>
      </c>
      <c r="D25" t="s">
        <v>340</v>
      </c>
      <c r="E25" t="s">
        <v>348</v>
      </c>
      <c r="F25">
        <v>1</v>
      </c>
      <c r="G25">
        <v>10</v>
      </c>
    </row>
    <row r="26" spans="1:7" x14ac:dyDescent="0.2">
      <c r="A26" t="s">
        <v>92</v>
      </c>
      <c r="B26" t="s">
        <v>329</v>
      </c>
      <c r="D26" t="s">
        <v>94</v>
      </c>
      <c r="E26" t="s">
        <v>348</v>
      </c>
      <c r="F26">
        <v>1</v>
      </c>
      <c r="G26">
        <v>1</v>
      </c>
    </row>
    <row r="27" spans="1:7" x14ac:dyDescent="0.2">
      <c r="A27" t="s">
        <v>187</v>
      </c>
      <c r="B27" t="s">
        <v>329</v>
      </c>
      <c r="D27" t="s">
        <v>188</v>
      </c>
      <c r="E27" t="s">
        <v>348</v>
      </c>
      <c r="F27">
        <v>1</v>
      </c>
      <c r="G27">
        <v>2</v>
      </c>
    </row>
    <row r="28" spans="1:7" x14ac:dyDescent="0.2">
      <c r="A28" t="s">
        <v>338</v>
      </c>
      <c r="B28" t="s">
        <v>329</v>
      </c>
      <c r="D28" t="s">
        <v>339</v>
      </c>
      <c r="E28" t="s">
        <v>348</v>
      </c>
      <c r="F28">
        <v>1</v>
      </c>
      <c r="G28">
        <v>11</v>
      </c>
    </row>
    <row r="29" spans="1:7" x14ac:dyDescent="0.2">
      <c r="A29" t="s">
        <v>182</v>
      </c>
      <c r="B29" t="s">
        <v>166</v>
      </c>
      <c r="D29" t="s">
        <v>183</v>
      </c>
      <c r="E29" t="s">
        <v>184</v>
      </c>
      <c r="F29">
        <v>5</v>
      </c>
      <c r="G29">
        <v>2</v>
      </c>
    </row>
    <row r="30" spans="1:7" x14ac:dyDescent="0.2">
      <c r="A30" t="s">
        <v>140</v>
      </c>
      <c r="B30" t="s">
        <v>122</v>
      </c>
      <c r="D30" t="s">
        <v>141</v>
      </c>
      <c r="E30" t="s">
        <v>142</v>
      </c>
      <c r="F30">
        <v>5</v>
      </c>
      <c r="G30">
        <v>4</v>
      </c>
    </row>
    <row r="31" spans="1:7" x14ac:dyDescent="0.2">
      <c r="A31" t="s">
        <v>134</v>
      </c>
      <c r="B31" t="s">
        <v>112</v>
      </c>
      <c r="D31" t="s">
        <v>135</v>
      </c>
      <c r="E31" t="s">
        <v>136</v>
      </c>
      <c r="F31">
        <v>5</v>
      </c>
      <c r="G31">
        <v>4</v>
      </c>
    </row>
    <row r="32" spans="1:7" x14ac:dyDescent="0.2">
      <c r="A32" t="s">
        <v>162</v>
      </c>
      <c r="B32" t="s">
        <v>345</v>
      </c>
      <c r="D32" t="s">
        <v>163</v>
      </c>
      <c r="E32" t="s">
        <v>164</v>
      </c>
      <c r="F32">
        <v>5</v>
      </c>
      <c r="G32">
        <v>8</v>
      </c>
    </row>
    <row r="33" spans="1:7" x14ac:dyDescent="0.2">
      <c r="A33" t="s">
        <v>262</v>
      </c>
      <c r="B33" t="s">
        <v>345</v>
      </c>
      <c r="D33" t="s">
        <v>263</v>
      </c>
      <c r="E33" t="s">
        <v>264</v>
      </c>
      <c r="F33">
        <v>5</v>
      </c>
      <c r="G33">
        <v>7</v>
      </c>
    </row>
    <row r="34" spans="1:7" x14ac:dyDescent="0.2">
      <c r="A34" t="s">
        <v>159</v>
      </c>
      <c r="B34" t="s">
        <v>345</v>
      </c>
      <c r="D34" t="s">
        <v>160</v>
      </c>
      <c r="E34" t="s">
        <v>161</v>
      </c>
      <c r="F34">
        <v>5</v>
      </c>
      <c r="G34">
        <v>4</v>
      </c>
    </row>
    <row r="35" spans="1:7" x14ac:dyDescent="0.2">
      <c r="A35" t="s">
        <v>156</v>
      </c>
      <c r="B35" t="s">
        <v>345</v>
      </c>
      <c r="D35" t="s">
        <v>157</v>
      </c>
      <c r="E35" t="s">
        <v>158</v>
      </c>
      <c r="F35">
        <v>5</v>
      </c>
      <c r="G35">
        <v>6</v>
      </c>
    </row>
    <row r="36" spans="1:7" x14ac:dyDescent="0.2">
      <c r="A36" t="s">
        <v>170</v>
      </c>
      <c r="B36" t="s">
        <v>112</v>
      </c>
      <c r="D36" t="s">
        <v>365</v>
      </c>
      <c r="E36" t="s">
        <v>346</v>
      </c>
      <c r="F36">
        <v>2</v>
      </c>
      <c r="G36">
        <v>6</v>
      </c>
    </row>
    <row r="37" spans="1:7" x14ac:dyDescent="0.2">
      <c r="A37" t="s">
        <v>165</v>
      </c>
      <c r="B37" t="s">
        <v>166</v>
      </c>
      <c r="D37" t="s">
        <v>167</v>
      </c>
      <c r="E37" t="s">
        <v>168</v>
      </c>
      <c r="F37">
        <v>5</v>
      </c>
      <c r="G37">
        <v>1</v>
      </c>
    </row>
    <row r="38" spans="1:7" x14ac:dyDescent="0.2">
      <c r="A38" t="s">
        <v>129</v>
      </c>
      <c r="B38" t="s">
        <v>130</v>
      </c>
      <c r="D38" t="s">
        <v>131</v>
      </c>
      <c r="E38" t="s">
        <v>132</v>
      </c>
      <c r="F38">
        <v>5</v>
      </c>
      <c r="G38">
        <v>6</v>
      </c>
    </row>
    <row r="39" spans="1:7" x14ac:dyDescent="0.2">
      <c r="A39" t="s">
        <v>129</v>
      </c>
      <c r="B39" t="s">
        <v>122</v>
      </c>
      <c r="D39" t="s">
        <v>131</v>
      </c>
      <c r="E39" t="s">
        <v>322</v>
      </c>
      <c r="F39">
        <v>5</v>
      </c>
      <c r="G39">
        <v>6</v>
      </c>
    </row>
    <row r="40" spans="1:7" x14ac:dyDescent="0.2">
      <c r="A40" t="s">
        <v>137</v>
      </c>
      <c r="B40" t="s">
        <v>112</v>
      </c>
      <c r="D40" t="s">
        <v>138</v>
      </c>
      <c r="E40" t="s">
        <v>139</v>
      </c>
      <c r="F40">
        <v>5</v>
      </c>
      <c r="G40">
        <v>5</v>
      </c>
    </row>
    <row r="41" spans="1:7" x14ac:dyDescent="0.2">
      <c r="A41" t="s">
        <v>185</v>
      </c>
      <c r="B41" t="s">
        <v>166</v>
      </c>
      <c r="D41" t="s">
        <v>186</v>
      </c>
      <c r="E41" t="s">
        <v>139</v>
      </c>
      <c r="F41">
        <v>3</v>
      </c>
      <c r="G41">
        <v>4</v>
      </c>
    </row>
    <row r="42" spans="1:7" x14ac:dyDescent="0.2">
      <c r="A42" t="s">
        <v>108</v>
      </c>
      <c r="B42" t="s">
        <v>101</v>
      </c>
      <c r="D42" t="s">
        <v>109</v>
      </c>
      <c r="E42" t="s">
        <v>110</v>
      </c>
      <c r="F42">
        <v>8</v>
      </c>
      <c r="G42">
        <v>3</v>
      </c>
    </row>
    <row r="43" spans="1:7" x14ac:dyDescent="0.2">
      <c r="A43" t="s">
        <v>143</v>
      </c>
      <c r="B43" t="s">
        <v>122</v>
      </c>
      <c r="D43" t="s">
        <v>144</v>
      </c>
      <c r="E43" t="s">
        <v>145</v>
      </c>
      <c r="F43">
        <v>4</v>
      </c>
      <c r="G43">
        <v>5</v>
      </c>
    </row>
    <row r="44" spans="1:7" x14ac:dyDescent="0.2">
      <c r="A44" t="s">
        <v>152</v>
      </c>
      <c r="B44" t="s">
        <v>345</v>
      </c>
      <c r="D44" t="s">
        <v>154</v>
      </c>
      <c r="E44" t="s">
        <v>350</v>
      </c>
      <c r="F44">
        <v>5</v>
      </c>
      <c r="G44">
        <v>21</v>
      </c>
    </row>
    <row r="45" spans="1:7" x14ac:dyDescent="0.2">
      <c r="A45" t="s">
        <v>173</v>
      </c>
      <c r="B45" t="s">
        <v>112</v>
      </c>
      <c r="D45" t="s">
        <v>337</v>
      </c>
      <c r="E45" t="s">
        <v>175</v>
      </c>
      <c r="F45">
        <v>5</v>
      </c>
      <c r="G45">
        <v>7</v>
      </c>
    </row>
    <row r="46" spans="1:7" x14ac:dyDescent="0.2">
      <c r="A46" t="s">
        <v>351</v>
      </c>
      <c r="B46" t="s">
        <v>345</v>
      </c>
      <c r="D46" t="s">
        <v>357</v>
      </c>
      <c r="E46" t="s">
        <v>356</v>
      </c>
      <c r="F46">
        <v>5</v>
      </c>
      <c r="G46">
        <v>1</v>
      </c>
    </row>
    <row r="47" spans="1:7" x14ac:dyDescent="0.2">
      <c r="A47" t="s">
        <v>352</v>
      </c>
      <c r="B47" t="s">
        <v>345</v>
      </c>
      <c r="D47" t="s">
        <v>358</v>
      </c>
      <c r="E47" t="s">
        <v>355</v>
      </c>
      <c r="F47">
        <v>5</v>
      </c>
      <c r="G47">
        <v>2</v>
      </c>
    </row>
    <row r="48" spans="1:7" x14ac:dyDescent="0.2">
      <c r="A48" t="s">
        <v>353</v>
      </c>
      <c r="B48" t="s">
        <v>345</v>
      </c>
      <c r="D48" t="s">
        <v>359</v>
      </c>
      <c r="E48" t="s">
        <v>354</v>
      </c>
      <c r="F48">
        <v>5</v>
      </c>
      <c r="G48">
        <v>5</v>
      </c>
    </row>
    <row r="49" spans="1:7" x14ac:dyDescent="0.2">
      <c r="A49" t="s">
        <v>363</v>
      </c>
      <c r="B49" t="s">
        <v>345</v>
      </c>
      <c r="D49" s="14" t="s">
        <v>364</v>
      </c>
      <c r="E49" t="s">
        <v>267</v>
      </c>
      <c r="F49">
        <v>5</v>
      </c>
      <c r="G49">
        <v>10</v>
      </c>
    </row>
  </sheetData>
  <autoFilter ref="A1:G48" xr:uid="{B362910B-1CCB-4DFD-965D-23B7964E3566}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0F42-9CFE-284C-BA38-E88FE26F59BD}">
  <dimension ref="A1:O3682"/>
  <sheetViews>
    <sheetView topLeftCell="C1" zoomScale="161" workbookViewId="0">
      <selection activeCell="F13" sqref="F13"/>
    </sheetView>
  </sheetViews>
  <sheetFormatPr baseColWidth="10" defaultColWidth="11" defaultRowHeight="16" x14ac:dyDescent="0.2"/>
  <sheetData>
    <row r="1" spans="1:15" x14ac:dyDescent="0.2">
      <c r="A1" t="s">
        <v>79</v>
      </c>
      <c r="B1" t="s">
        <v>80</v>
      </c>
      <c r="C1" t="s">
        <v>81</v>
      </c>
      <c r="D1" t="s">
        <v>82</v>
      </c>
      <c r="E1" t="s">
        <v>0</v>
      </c>
      <c r="F1" t="s">
        <v>1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</row>
    <row r="2" spans="1:15" x14ac:dyDescent="0.2">
      <c r="A2">
        <v>75</v>
      </c>
      <c r="B2">
        <v>76</v>
      </c>
      <c r="C2">
        <v>75</v>
      </c>
      <c r="D2">
        <v>74</v>
      </c>
      <c r="E2" t="s">
        <v>5</v>
      </c>
      <c r="F2" t="s">
        <v>6</v>
      </c>
      <c r="G2">
        <v>1</v>
      </c>
      <c r="H2" t="s">
        <v>92</v>
      </c>
      <c r="I2">
        <v>0</v>
      </c>
      <c r="J2">
        <v>0.2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</row>
    <row r="3" spans="1:15" x14ac:dyDescent="0.2">
      <c r="A3">
        <v>75</v>
      </c>
      <c r="B3">
        <v>76</v>
      </c>
      <c r="C3">
        <v>75</v>
      </c>
      <c r="D3">
        <v>74</v>
      </c>
      <c r="E3" t="s">
        <v>5</v>
      </c>
      <c r="F3" t="s">
        <v>6</v>
      </c>
      <c r="G3">
        <v>2</v>
      </c>
      <c r="H3" t="s">
        <v>98</v>
      </c>
      <c r="I3">
        <v>0.25</v>
      </c>
      <c r="J3">
        <v>0.5</v>
      </c>
      <c r="K3" t="s">
        <v>93</v>
      </c>
      <c r="L3" t="s">
        <v>99</v>
      </c>
      <c r="M3" t="s">
        <v>95</v>
      </c>
      <c r="N3" t="s">
        <v>96</v>
      </c>
      <c r="O3" t="s">
        <v>97</v>
      </c>
    </row>
    <row r="4" spans="1:15" x14ac:dyDescent="0.2">
      <c r="A4">
        <v>75</v>
      </c>
      <c r="B4">
        <v>76</v>
      </c>
      <c r="C4">
        <v>75</v>
      </c>
      <c r="D4">
        <v>74</v>
      </c>
      <c r="E4" t="s">
        <v>5</v>
      </c>
      <c r="F4" t="s">
        <v>6</v>
      </c>
      <c r="G4">
        <v>3</v>
      </c>
      <c r="H4" t="s">
        <v>100</v>
      </c>
      <c r="I4">
        <v>0.5</v>
      </c>
      <c r="J4">
        <v>1</v>
      </c>
      <c r="K4" t="s">
        <v>101</v>
      </c>
      <c r="L4" t="s">
        <v>102</v>
      </c>
      <c r="M4" t="s">
        <v>103</v>
      </c>
      <c r="N4" t="s">
        <v>96</v>
      </c>
      <c r="O4" t="s">
        <v>97</v>
      </c>
    </row>
    <row r="5" spans="1:15" x14ac:dyDescent="0.2">
      <c r="A5">
        <v>75</v>
      </c>
      <c r="B5">
        <v>76</v>
      </c>
      <c r="C5">
        <v>75</v>
      </c>
      <c r="D5">
        <v>74</v>
      </c>
      <c r="E5" t="s">
        <v>5</v>
      </c>
      <c r="F5" t="s">
        <v>6</v>
      </c>
      <c r="G5">
        <v>4</v>
      </c>
      <c r="H5" t="s">
        <v>104</v>
      </c>
      <c r="I5">
        <v>0.5</v>
      </c>
      <c r="J5">
        <v>1</v>
      </c>
      <c r="K5" t="s">
        <v>101</v>
      </c>
      <c r="L5" t="s">
        <v>105</v>
      </c>
      <c r="M5" t="s">
        <v>106</v>
      </c>
      <c r="N5" t="s">
        <v>107</v>
      </c>
      <c r="O5" t="s">
        <v>97</v>
      </c>
    </row>
    <row r="6" spans="1:15" x14ac:dyDescent="0.2">
      <c r="A6">
        <v>75</v>
      </c>
      <c r="B6">
        <v>76</v>
      </c>
      <c r="C6">
        <v>75</v>
      </c>
      <c r="D6">
        <v>74</v>
      </c>
      <c r="E6" t="s">
        <v>5</v>
      </c>
      <c r="F6" t="s">
        <v>6</v>
      </c>
      <c r="G6">
        <v>5</v>
      </c>
      <c r="H6" t="s">
        <v>108</v>
      </c>
      <c r="I6">
        <v>0.5</v>
      </c>
      <c r="J6">
        <v>1</v>
      </c>
      <c r="K6" t="s">
        <v>101</v>
      </c>
      <c r="L6" t="s">
        <v>109</v>
      </c>
      <c r="M6" t="s">
        <v>110</v>
      </c>
      <c r="N6" t="s">
        <v>107</v>
      </c>
      <c r="O6" t="s">
        <v>97</v>
      </c>
    </row>
    <row r="7" spans="1:15" x14ac:dyDescent="0.2">
      <c r="A7">
        <v>75</v>
      </c>
      <c r="B7">
        <v>76</v>
      </c>
      <c r="C7">
        <v>75</v>
      </c>
      <c r="D7">
        <v>74</v>
      </c>
      <c r="E7" t="s">
        <v>5</v>
      </c>
      <c r="F7" t="s">
        <v>6</v>
      </c>
      <c r="G7">
        <v>9</v>
      </c>
      <c r="H7" t="s">
        <v>111</v>
      </c>
      <c r="I7">
        <v>0.5</v>
      </c>
      <c r="J7">
        <v>0.5</v>
      </c>
      <c r="K7" t="s">
        <v>112</v>
      </c>
      <c r="L7" t="s">
        <v>113</v>
      </c>
      <c r="M7" t="s">
        <v>114</v>
      </c>
      <c r="N7" t="s">
        <v>96</v>
      </c>
      <c r="O7" t="s">
        <v>97</v>
      </c>
    </row>
    <row r="8" spans="1:15" x14ac:dyDescent="0.2">
      <c r="A8">
        <v>75</v>
      </c>
      <c r="B8">
        <v>76</v>
      </c>
      <c r="C8">
        <v>75</v>
      </c>
      <c r="D8">
        <v>74</v>
      </c>
      <c r="E8" t="s">
        <v>5</v>
      </c>
      <c r="F8" t="s">
        <v>6</v>
      </c>
      <c r="G8">
        <v>10</v>
      </c>
      <c r="H8" t="s">
        <v>115</v>
      </c>
      <c r="I8">
        <v>0.5</v>
      </c>
      <c r="J8">
        <v>0.5</v>
      </c>
      <c r="K8" t="s">
        <v>112</v>
      </c>
      <c r="L8" t="s">
        <v>116</v>
      </c>
      <c r="M8" t="s">
        <v>117</v>
      </c>
      <c r="N8" t="s">
        <v>96</v>
      </c>
      <c r="O8" t="s">
        <v>97</v>
      </c>
    </row>
    <row r="9" spans="1:15" x14ac:dyDescent="0.2">
      <c r="A9">
        <v>75</v>
      </c>
      <c r="B9">
        <v>76</v>
      </c>
      <c r="C9">
        <v>75</v>
      </c>
      <c r="D9">
        <v>74</v>
      </c>
      <c r="E9" t="s">
        <v>5</v>
      </c>
      <c r="F9" t="s">
        <v>6</v>
      </c>
      <c r="G9">
        <v>11</v>
      </c>
      <c r="H9" t="s">
        <v>118</v>
      </c>
      <c r="I9">
        <v>1</v>
      </c>
      <c r="J9">
        <v>1</v>
      </c>
      <c r="K9" t="s">
        <v>112</v>
      </c>
      <c r="L9" t="s">
        <v>119</v>
      </c>
      <c r="M9" t="s">
        <v>120</v>
      </c>
      <c r="N9" t="s">
        <v>107</v>
      </c>
      <c r="O9" t="s">
        <v>97</v>
      </c>
    </row>
    <row r="10" spans="1:15" x14ac:dyDescent="0.2">
      <c r="A10">
        <v>75</v>
      </c>
      <c r="B10">
        <v>76</v>
      </c>
      <c r="C10">
        <v>75</v>
      </c>
      <c r="D10">
        <v>74</v>
      </c>
      <c r="E10" t="s">
        <v>5</v>
      </c>
      <c r="F10" t="s">
        <v>6</v>
      </c>
      <c r="G10">
        <v>12</v>
      </c>
      <c r="H10" t="s">
        <v>121</v>
      </c>
      <c r="I10">
        <v>0.5</v>
      </c>
      <c r="J10">
        <v>0.5</v>
      </c>
      <c r="K10" t="s">
        <v>122</v>
      </c>
      <c r="L10" t="s">
        <v>113</v>
      </c>
      <c r="M10" t="s">
        <v>123</v>
      </c>
      <c r="N10" t="s">
        <v>96</v>
      </c>
      <c r="O10" t="s">
        <v>97</v>
      </c>
    </row>
    <row r="11" spans="1:15" x14ac:dyDescent="0.2">
      <c r="A11">
        <v>75</v>
      </c>
      <c r="B11">
        <v>76</v>
      </c>
      <c r="C11">
        <v>75</v>
      </c>
      <c r="D11">
        <v>74</v>
      </c>
      <c r="E11" t="s">
        <v>5</v>
      </c>
      <c r="F11" t="s">
        <v>6</v>
      </c>
      <c r="G11">
        <v>13</v>
      </c>
      <c r="H11" t="s">
        <v>124</v>
      </c>
      <c r="I11">
        <v>0</v>
      </c>
      <c r="J11">
        <v>0.5</v>
      </c>
      <c r="K11" t="s">
        <v>122</v>
      </c>
      <c r="L11" t="s">
        <v>125</v>
      </c>
      <c r="M11" t="s">
        <v>126</v>
      </c>
      <c r="N11" t="s">
        <v>96</v>
      </c>
      <c r="O11" t="s">
        <v>97</v>
      </c>
    </row>
    <row r="12" spans="1:15" x14ac:dyDescent="0.2">
      <c r="A12">
        <v>75</v>
      </c>
      <c r="B12">
        <v>76</v>
      </c>
      <c r="C12">
        <v>75</v>
      </c>
      <c r="D12">
        <v>74</v>
      </c>
      <c r="E12" t="s">
        <v>5</v>
      </c>
      <c r="F12" t="s">
        <v>6</v>
      </c>
      <c r="G12">
        <v>14</v>
      </c>
      <c r="H12" t="s">
        <v>127</v>
      </c>
      <c r="I12">
        <v>1</v>
      </c>
      <c r="J12">
        <v>1</v>
      </c>
      <c r="K12" t="s">
        <v>122</v>
      </c>
      <c r="L12" t="s">
        <v>119</v>
      </c>
      <c r="M12" t="s">
        <v>128</v>
      </c>
      <c r="N12" t="s">
        <v>107</v>
      </c>
      <c r="O12" t="s">
        <v>97</v>
      </c>
    </row>
    <row r="13" spans="1:15" x14ac:dyDescent="0.2">
      <c r="A13">
        <v>75</v>
      </c>
      <c r="B13">
        <v>76</v>
      </c>
      <c r="C13">
        <v>75</v>
      </c>
      <c r="D13">
        <v>74</v>
      </c>
      <c r="E13" t="s">
        <v>5</v>
      </c>
      <c r="F13" t="s">
        <v>6</v>
      </c>
      <c r="G13">
        <v>15</v>
      </c>
      <c r="H13" t="s">
        <v>129</v>
      </c>
      <c r="I13">
        <v>1</v>
      </c>
      <c r="J13">
        <v>1</v>
      </c>
      <c r="K13" t="s">
        <v>130</v>
      </c>
      <c r="L13" t="s">
        <v>131</v>
      </c>
      <c r="M13" t="s">
        <v>132</v>
      </c>
      <c r="N13" t="s">
        <v>107</v>
      </c>
      <c r="O13" t="s">
        <v>97</v>
      </c>
    </row>
    <row r="14" spans="1:15" x14ac:dyDescent="0.2">
      <c r="A14">
        <v>75</v>
      </c>
      <c r="B14">
        <v>76</v>
      </c>
      <c r="C14">
        <v>75</v>
      </c>
      <c r="D14">
        <v>74</v>
      </c>
      <c r="E14" t="s">
        <v>5</v>
      </c>
      <c r="F14" t="s">
        <v>6</v>
      </c>
      <c r="G14">
        <v>16</v>
      </c>
      <c r="H14" t="s">
        <v>133</v>
      </c>
      <c r="I14">
        <v>0</v>
      </c>
      <c r="J14">
        <v>0</v>
      </c>
      <c r="K14" t="e">
        <v>#N/A</v>
      </c>
      <c r="L14" t="e">
        <v>#N/A</v>
      </c>
      <c r="M14" t="e">
        <v>#N/A</v>
      </c>
      <c r="N14" t="e">
        <v>#N/A</v>
      </c>
      <c r="O14" t="s">
        <v>97</v>
      </c>
    </row>
    <row r="15" spans="1:15" x14ac:dyDescent="0.2">
      <c r="A15">
        <v>75</v>
      </c>
      <c r="B15">
        <v>76</v>
      </c>
      <c r="C15">
        <v>75</v>
      </c>
      <c r="D15">
        <v>74</v>
      </c>
      <c r="E15" t="s">
        <v>5</v>
      </c>
      <c r="F15" t="s">
        <v>6</v>
      </c>
      <c r="G15">
        <v>17</v>
      </c>
      <c r="H15" t="s">
        <v>134</v>
      </c>
      <c r="I15">
        <v>1</v>
      </c>
      <c r="J15">
        <v>1</v>
      </c>
      <c r="K15" t="s">
        <v>112</v>
      </c>
      <c r="L15" t="s">
        <v>135</v>
      </c>
      <c r="M15" t="s">
        <v>136</v>
      </c>
      <c r="N15" t="s">
        <v>107</v>
      </c>
      <c r="O15" t="s">
        <v>97</v>
      </c>
    </row>
    <row r="16" spans="1:15" x14ac:dyDescent="0.2">
      <c r="A16">
        <v>75</v>
      </c>
      <c r="B16">
        <v>76</v>
      </c>
      <c r="C16">
        <v>75</v>
      </c>
      <c r="D16">
        <v>74</v>
      </c>
      <c r="E16" t="s">
        <v>5</v>
      </c>
      <c r="F16" t="s">
        <v>6</v>
      </c>
      <c r="G16">
        <v>18</v>
      </c>
      <c r="H16" t="s">
        <v>137</v>
      </c>
      <c r="I16">
        <v>1</v>
      </c>
      <c r="J16">
        <v>1</v>
      </c>
      <c r="K16" t="s">
        <v>112</v>
      </c>
      <c r="L16" t="s">
        <v>138</v>
      </c>
      <c r="M16" t="s">
        <v>139</v>
      </c>
      <c r="N16" t="s">
        <v>107</v>
      </c>
      <c r="O16" t="s">
        <v>97</v>
      </c>
    </row>
    <row r="17" spans="1:15" x14ac:dyDescent="0.2">
      <c r="A17">
        <v>75</v>
      </c>
      <c r="B17">
        <v>76</v>
      </c>
      <c r="C17">
        <v>75</v>
      </c>
      <c r="D17">
        <v>74</v>
      </c>
      <c r="E17" t="s">
        <v>5</v>
      </c>
      <c r="F17" t="s">
        <v>6</v>
      </c>
      <c r="G17">
        <v>19</v>
      </c>
      <c r="H17" t="s">
        <v>140</v>
      </c>
      <c r="I17">
        <v>1</v>
      </c>
      <c r="J17">
        <v>1</v>
      </c>
      <c r="K17" t="s">
        <v>122</v>
      </c>
      <c r="L17" t="s">
        <v>141</v>
      </c>
      <c r="M17" t="s">
        <v>142</v>
      </c>
      <c r="N17" t="s">
        <v>107</v>
      </c>
      <c r="O17" t="s">
        <v>97</v>
      </c>
    </row>
    <row r="18" spans="1:15" x14ac:dyDescent="0.2">
      <c r="A18">
        <v>75</v>
      </c>
      <c r="B18">
        <v>76</v>
      </c>
      <c r="C18">
        <v>75</v>
      </c>
      <c r="D18">
        <v>74</v>
      </c>
      <c r="E18" t="s">
        <v>5</v>
      </c>
      <c r="F18" t="s">
        <v>6</v>
      </c>
      <c r="G18">
        <v>20</v>
      </c>
      <c r="H18" t="s">
        <v>143</v>
      </c>
      <c r="I18">
        <v>1</v>
      </c>
      <c r="J18">
        <v>1</v>
      </c>
      <c r="K18" t="s">
        <v>122</v>
      </c>
      <c r="L18" t="s">
        <v>144</v>
      </c>
      <c r="M18" t="s">
        <v>145</v>
      </c>
      <c r="N18" t="s">
        <v>107</v>
      </c>
      <c r="O18" t="s">
        <v>97</v>
      </c>
    </row>
    <row r="19" spans="1:15" x14ac:dyDescent="0.2">
      <c r="A19">
        <v>75</v>
      </c>
      <c r="B19">
        <v>76</v>
      </c>
      <c r="C19">
        <v>75</v>
      </c>
      <c r="D19">
        <v>74</v>
      </c>
      <c r="E19" t="s">
        <v>5</v>
      </c>
      <c r="F19" t="s">
        <v>6</v>
      </c>
      <c r="G19">
        <v>21</v>
      </c>
      <c r="H19" t="s">
        <v>146</v>
      </c>
      <c r="I19">
        <v>1</v>
      </c>
      <c r="J19">
        <v>1</v>
      </c>
      <c r="K19" t="s">
        <v>147</v>
      </c>
      <c r="L19" t="s">
        <v>148</v>
      </c>
      <c r="M19" t="s">
        <v>149</v>
      </c>
      <c r="N19" t="s">
        <v>96</v>
      </c>
      <c r="O19" t="s">
        <v>97</v>
      </c>
    </row>
    <row r="20" spans="1:15" x14ac:dyDescent="0.2">
      <c r="A20">
        <v>75</v>
      </c>
      <c r="B20">
        <v>76</v>
      </c>
      <c r="C20">
        <v>75</v>
      </c>
      <c r="D20">
        <v>74</v>
      </c>
      <c r="E20" t="s">
        <v>5</v>
      </c>
      <c r="F20" t="s">
        <v>6</v>
      </c>
      <c r="G20">
        <v>22</v>
      </c>
      <c r="H20" t="s">
        <v>150</v>
      </c>
      <c r="I20">
        <v>1</v>
      </c>
      <c r="J20">
        <v>1</v>
      </c>
      <c r="K20" t="s">
        <v>147</v>
      </c>
      <c r="L20" t="s">
        <v>151</v>
      </c>
      <c r="M20" t="s">
        <v>149</v>
      </c>
      <c r="N20" t="s">
        <v>107</v>
      </c>
      <c r="O20" t="s">
        <v>97</v>
      </c>
    </row>
    <row r="21" spans="1:15" x14ac:dyDescent="0.2">
      <c r="A21">
        <v>75</v>
      </c>
      <c r="B21">
        <v>76</v>
      </c>
      <c r="C21">
        <v>75</v>
      </c>
      <c r="D21">
        <v>74</v>
      </c>
      <c r="E21" t="s">
        <v>5</v>
      </c>
      <c r="F21" t="s">
        <v>6</v>
      </c>
      <c r="G21">
        <v>23</v>
      </c>
      <c r="H21" t="s">
        <v>152</v>
      </c>
      <c r="I21">
        <v>0</v>
      </c>
      <c r="J21">
        <v>0</v>
      </c>
      <c r="K21" t="s">
        <v>153</v>
      </c>
      <c r="L21" t="s">
        <v>154</v>
      </c>
      <c r="M21" t="s">
        <v>155</v>
      </c>
      <c r="N21" t="s">
        <v>107</v>
      </c>
      <c r="O21" t="s">
        <v>97</v>
      </c>
    </row>
    <row r="22" spans="1:15" x14ac:dyDescent="0.2">
      <c r="A22">
        <v>75</v>
      </c>
      <c r="B22">
        <v>76</v>
      </c>
      <c r="C22">
        <v>75</v>
      </c>
      <c r="D22">
        <v>74</v>
      </c>
      <c r="E22" t="s">
        <v>5</v>
      </c>
      <c r="F22" t="s">
        <v>6</v>
      </c>
      <c r="G22">
        <v>24</v>
      </c>
      <c r="H22" t="s">
        <v>156</v>
      </c>
      <c r="I22">
        <v>0.5</v>
      </c>
      <c r="J22">
        <v>0.5</v>
      </c>
      <c r="K22" t="s">
        <v>122</v>
      </c>
      <c r="L22" t="s">
        <v>157</v>
      </c>
      <c r="M22" t="s">
        <v>158</v>
      </c>
      <c r="N22" t="s">
        <v>107</v>
      </c>
      <c r="O22" t="s">
        <v>97</v>
      </c>
    </row>
    <row r="23" spans="1:15" x14ac:dyDescent="0.2">
      <c r="A23">
        <v>75</v>
      </c>
      <c r="B23">
        <v>76</v>
      </c>
      <c r="C23">
        <v>75</v>
      </c>
      <c r="D23">
        <v>74</v>
      </c>
      <c r="E23" t="s">
        <v>5</v>
      </c>
      <c r="F23" t="s">
        <v>6</v>
      </c>
      <c r="G23">
        <v>25</v>
      </c>
      <c r="H23" t="s">
        <v>156</v>
      </c>
      <c r="I23">
        <v>0.5</v>
      </c>
      <c r="J23">
        <v>0.5</v>
      </c>
      <c r="K23" t="s">
        <v>122</v>
      </c>
      <c r="L23" t="s">
        <v>157</v>
      </c>
      <c r="M23" t="s">
        <v>158</v>
      </c>
      <c r="N23" t="s">
        <v>107</v>
      </c>
      <c r="O23" t="s">
        <v>97</v>
      </c>
    </row>
    <row r="24" spans="1:15" x14ac:dyDescent="0.2">
      <c r="A24">
        <v>75</v>
      </c>
      <c r="B24">
        <v>76</v>
      </c>
      <c r="C24">
        <v>75</v>
      </c>
      <c r="D24">
        <v>74</v>
      </c>
      <c r="E24" t="s">
        <v>5</v>
      </c>
      <c r="F24" t="s">
        <v>6</v>
      </c>
      <c r="G24">
        <v>26</v>
      </c>
      <c r="H24" t="s">
        <v>152</v>
      </c>
      <c r="I24">
        <v>0</v>
      </c>
      <c r="J24">
        <v>0</v>
      </c>
      <c r="K24" t="s">
        <v>153</v>
      </c>
      <c r="L24" t="s">
        <v>154</v>
      </c>
      <c r="M24" t="s">
        <v>155</v>
      </c>
      <c r="N24" t="s">
        <v>107</v>
      </c>
      <c r="O24" t="s">
        <v>97</v>
      </c>
    </row>
    <row r="25" spans="1:15" x14ac:dyDescent="0.2">
      <c r="A25">
        <v>75</v>
      </c>
      <c r="B25">
        <v>76</v>
      </c>
      <c r="C25">
        <v>75</v>
      </c>
      <c r="D25">
        <v>74</v>
      </c>
      <c r="E25" t="s">
        <v>5</v>
      </c>
      <c r="F25" t="s">
        <v>6</v>
      </c>
      <c r="G25">
        <v>27</v>
      </c>
      <c r="H25" t="s">
        <v>159</v>
      </c>
      <c r="I25">
        <v>0.5</v>
      </c>
      <c r="J25">
        <v>0.5</v>
      </c>
      <c r="K25" t="s">
        <v>122</v>
      </c>
      <c r="L25" t="s">
        <v>160</v>
      </c>
      <c r="M25" t="s">
        <v>161</v>
      </c>
      <c r="N25" t="s">
        <v>107</v>
      </c>
      <c r="O25" t="s">
        <v>97</v>
      </c>
    </row>
    <row r="26" spans="1:15" x14ac:dyDescent="0.2">
      <c r="A26">
        <v>75</v>
      </c>
      <c r="B26">
        <v>76</v>
      </c>
      <c r="C26">
        <v>75</v>
      </c>
      <c r="D26">
        <v>74</v>
      </c>
      <c r="E26" t="s">
        <v>5</v>
      </c>
      <c r="F26" t="s">
        <v>6</v>
      </c>
      <c r="G26">
        <v>28</v>
      </c>
      <c r="H26" t="s">
        <v>159</v>
      </c>
      <c r="I26">
        <v>0.5</v>
      </c>
      <c r="J26">
        <v>0.5</v>
      </c>
      <c r="K26" t="s">
        <v>122</v>
      </c>
      <c r="L26" t="s">
        <v>160</v>
      </c>
      <c r="M26" t="s">
        <v>161</v>
      </c>
      <c r="N26" t="s">
        <v>107</v>
      </c>
      <c r="O26" t="s">
        <v>97</v>
      </c>
    </row>
    <row r="27" spans="1:15" x14ac:dyDescent="0.2">
      <c r="A27">
        <v>75</v>
      </c>
      <c r="B27">
        <v>76</v>
      </c>
      <c r="C27">
        <v>75</v>
      </c>
      <c r="D27">
        <v>74</v>
      </c>
      <c r="E27" t="s">
        <v>5</v>
      </c>
      <c r="F27" t="s">
        <v>6</v>
      </c>
      <c r="G27">
        <v>29</v>
      </c>
      <c r="H27" t="s">
        <v>152</v>
      </c>
      <c r="I27">
        <v>0</v>
      </c>
      <c r="J27">
        <v>0</v>
      </c>
      <c r="K27" t="s">
        <v>153</v>
      </c>
      <c r="L27" t="s">
        <v>154</v>
      </c>
      <c r="M27" t="s">
        <v>155</v>
      </c>
      <c r="N27" t="s">
        <v>107</v>
      </c>
      <c r="O27" t="s">
        <v>97</v>
      </c>
    </row>
    <row r="28" spans="1:15" x14ac:dyDescent="0.2">
      <c r="A28">
        <v>75</v>
      </c>
      <c r="B28">
        <v>76</v>
      </c>
      <c r="C28">
        <v>75</v>
      </c>
      <c r="D28">
        <v>74</v>
      </c>
      <c r="E28" t="s">
        <v>5</v>
      </c>
      <c r="F28" t="s">
        <v>6</v>
      </c>
      <c r="G28">
        <v>30</v>
      </c>
      <c r="H28" t="s">
        <v>162</v>
      </c>
      <c r="I28">
        <v>0.5</v>
      </c>
      <c r="J28">
        <v>1</v>
      </c>
      <c r="K28" t="s">
        <v>112</v>
      </c>
      <c r="L28" t="s">
        <v>163</v>
      </c>
      <c r="M28" t="s">
        <v>164</v>
      </c>
      <c r="N28" t="s">
        <v>107</v>
      </c>
      <c r="O28" t="s">
        <v>97</v>
      </c>
    </row>
    <row r="29" spans="1:15" x14ac:dyDescent="0.2">
      <c r="A29">
        <v>75</v>
      </c>
      <c r="B29">
        <v>76</v>
      </c>
      <c r="C29">
        <v>75</v>
      </c>
      <c r="D29">
        <v>74</v>
      </c>
      <c r="E29" t="s">
        <v>5</v>
      </c>
      <c r="F29" t="s">
        <v>6</v>
      </c>
      <c r="G29">
        <v>31</v>
      </c>
      <c r="H29" t="s">
        <v>162</v>
      </c>
      <c r="I29">
        <v>0</v>
      </c>
      <c r="J29">
        <v>0</v>
      </c>
      <c r="K29" t="s">
        <v>112</v>
      </c>
      <c r="L29" t="s">
        <v>163</v>
      </c>
      <c r="M29" t="s">
        <v>164</v>
      </c>
      <c r="N29" t="s">
        <v>107</v>
      </c>
      <c r="O29" t="s">
        <v>97</v>
      </c>
    </row>
    <row r="30" spans="1:15" x14ac:dyDescent="0.2">
      <c r="A30">
        <v>75</v>
      </c>
      <c r="B30">
        <v>76</v>
      </c>
      <c r="C30">
        <v>75</v>
      </c>
      <c r="D30">
        <v>74</v>
      </c>
      <c r="E30" t="s">
        <v>5</v>
      </c>
      <c r="F30" t="s">
        <v>6</v>
      </c>
      <c r="G30">
        <v>32</v>
      </c>
      <c r="H30" t="s">
        <v>162</v>
      </c>
      <c r="I30">
        <v>0</v>
      </c>
      <c r="J30">
        <v>0</v>
      </c>
      <c r="K30" t="s">
        <v>112</v>
      </c>
      <c r="L30" t="s">
        <v>163</v>
      </c>
      <c r="M30" t="s">
        <v>164</v>
      </c>
      <c r="N30" t="s">
        <v>107</v>
      </c>
      <c r="O30" t="s">
        <v>97</v>
      </c>
    </row>
    <row r="31" spans="1:15" x14ac:dyDescent="0.2">
      <c r="A31">
        <v>75</v>
      </c>
      <c r="B31">
        <v>76</v>
      </c>
      <c r="C31">
        <v>75</v>
      </c>
      <c r="D31">
        <v>74</v>
      </c>
      <c r="E31" t="s">
        <v>5</v>
      </c>
      <c r="F31" t="s">
        <v>6</v>
      </c>
      <c r="G31">
        <v>33</v>
      </c>
      <c r="H31" t="s">
        <v>152</v>
      </c>
      <c r="I31">
        <v>0</v>
      </c>
      <c r="J31">
        <v>1</v>
      </c>
      <c r="K31" t="s">
        <v>153</v>
      </c>
      <c r="L31" t="s">
        <v>154</v>
      </c>
      <c r="M31" t="s">
        <v>155</v>
      </c>
      <c r="N31" t="s">
        <v>107</v>
      </c>
      <c r="O31" t="s">
        <v>97</v>
      </c>
    </row>
    <row r="32" spans="1:15" x14ac:dyDescent="0.2">
      <c r="A32">
        <v>75</v>
      </c>
      <c r="B32">
        <v>76</v>
      </c>
      <c r="C32">
        <v>75</v>
      </c>
      <c r="D32">
        <v>74</v>
      </c>
      <c r="E32" t="s">
        <v>5</v>
      </c>
      <c r="F32" t="s">
        <v>6</v>
      </c>
      <c r="G32">
        <v>34</v>
      </c>
      <c r="H32" t="s">
        <v>152</v>
      </c>
      <c r="I32">
        <v>0</v>
      </c>
      <c r="J32">
        <v>0</v>
      </c>
      <c r="K32" t="s">
        <v>153</v>
      </c>
      <c r="L32" t="s">
        <v>154</v>
      </c>
      <c r="M32" t="s">
        <v>155</v>
      </c>
      <c r="N32" t="s">
        <v>107</v>
      </c>
      <c r="O32" t="s">
        <v>97</v>
      </c>
    </row>
    <row r="33" spans="1:15" x14ac:dyDescent="0.2">
      <c r="A33">
        <v>75</v>
      </c>
      <c r="B33">
        <v>76</v>
      </c>
      <c r="C33">
        <v>75</v>
      </c>
      <c r="D33">
        <v>74</v>
      </c>
      <c r="E33" t="s">
        <v>5</v>
      </c>
      <c r="F33" t="s">
        <v>6</v>
      </c>
      <c r="G33">
        <v>35</v>
      </c>
      <c r="H33" t="s">
        <v>165</v>
      </c>
      <c r="I33">
        <v>0.5</v>
      </c>
      <c r="J33">
        <v>1</v>
      </c>
      <c r="K33" t="s">
        <v>166</v>
      </c>
      <c r="L33" t="s">
        <v>167</v>
      </c>
      <c r="M33" t="s">
        <v>168</v>
      </c>
      <c r="N33" t="s">
        <v>107</v>
      </c>
      <c r="O33" t="s">
        <v>97</v>
      </c>
    </row>
    <row r="34" spans="1:15" x14ac:dyDescent="0.2">
      <c r="A34">
        <v>75</v>
      </c>
      <c r="B34">
        <v>76</v>
      </c>
      <c r="C34">
        <v>75</v>
      </c>
      <c r="D34">
        <v>74</v>
      </c>
      <c r="E34" t="s">
        <v>5</v>
      </c>
      <c r="F34" t="s">
        <v>6</v>
      </c>
      <c r="G34">
        <v>36</v>
      </c>
      <c r="H34" t="s">
        <v>169</v>
      </c>
      <c r="I34">
        <v>0</v>
      </c>
      <c r="J34">
        <v>0</v>
      </c>
      <c r="K34" t="e">
        <v>#N/A</v>
      </c>
      <c r="L34" t="e">
        <v>#N/A</v>
      </c>
      <c r="M34" t="e">
        <v>#N/A</v>
      </c>
      <c r="N34" t="e">
        <v>#N/A</v>
      </c>
      <c r="O34" t="s">
        <v>97</v>
      </c>
    </row>
    <row r="35" spans="1:15" x14ac:dyDescent="0.2">
      <c r="A35">
        <v>75</v>
      </c>
      <c r="B35">
        <v>76</v>
      </c>
      <c r="C35">
        <v>75</v>
      </c>
      <c r="D35">
        <v>74</v>
      </c>
      <c r="E35" t="s">
        <v>5</v>
      </c>
      <c r="F35" t="s">
        <v>6</v>
      </c>
      <c r="G35">
        <v>38</v>
      </c>
      <c r="H35" t="s">
        <v>170</v>
      </c>
      <c r="I35">
        <v>0.5</v>
      </c>
      <c r="J35">
        <v>0.5</v>
      </c>
      <c r="K35" t="s">
        <v>112</v>
      </c>
      <c r="L35" t="s">
        <v>171</v>
      </c>
      <c r="M35" t="s">
        <v>172</v>
      </c>
      <c r="N35" t="s">
        <v>96</v>
      </c>
      <c r="O35" t="s">
        <v>97</v>
      </c>
    </row>
    <row r="36" spans="1:15" x14ac:dyDescent="0.2">
      <c r="A36">
        <v>75</v>
      </c>
      <c r="B36">
        <v>76</v>
      </c>
      <c r="C36">
        <v>75</v>
      </c>
      <c r="D36">
        <v>74</v>
      </c>
      <c r="E36" t="s">
        <v>5</v>
      </c>
      <c r="F36" t="s">
        <v>6</v>
      </c>
      <c r="G36">
        <v>39</v>
      </c>
      <c r="H36" t="s">
        <v>170</v>
      </c>
      <c r="I36">
        <v>0</v>
      </c>
      <c r="J36">
        <v>0.5</v>
      </c>
      <c r="K36" t="s">
        <v>112</v>
      </c>
      <c r="L36" t="s">
        <v>171</v>
      </c>
      <c r="M36" t="s">
        <v>172</v>
      </c>
      <c r="N36" t="s">
        <v>96</v>
      </c>
      <c r="O36" t="s">
        <v>97</v>
      </c>
    </row>
    <row r="37" spans="1:15" x14ac:dyDescent="0.2">
      <c r="A37">
        <v>75</v>
      </c>
      <c r="B37">
        <v>76</v>
      </c>
      <c r="C37">
        <v>75</v>
      </c>
      <c r="D37">
        <v>74</v>
      </c>
      <c r="E37" t="s">
        <v>5</v>
      </c>
      <c r="F37" t="s">
        <v>6</v>
      </c>
      <c r="G37">
        <v>40</v>
      </c>
      <c r="H37" t="s">
        <v>170</v>
      </c>
      <c r="I37">
        <v>0.5</v>
      </c>
      <c r="J37">
        <v>0.5</v>
      </c>
      <c r="K37" t="s">
        <v>112</v>
      </c>
      <c r="L37" t="s">
        <v>171</v>
      </c>
      <c r="M37" t="s">
        <v>172</v>
      </c>
      <c r="N37" t="s">
        <v>96</v>
      </c>
      <c r="O37" t="s">
        <v>97</v>
      </c>
    </row>
    <row r="38" spans="1:15" x14ac:dyDescent="0.2">
      <c r="A38">
        <v>75</v>
      </c>
      <c r="B38">
        <v>76</v>
      </c>
      <c r="C38">
        <v>75</v>
      </c>
      <c r="D38">
        <v>74</v>
      </c>
      <c r="E38" t="s">
        <v>5</v>
      </c>
      <c r="F38" t="s">
        <v>6</v>
      </c>
      <c r="G38">
        <v>41</v>
      </c>
      <c r="H38" t="s">
        <v>173</v>
      </c>
      <c r="I38">
        <v>0.5</v>
      </c>
      <c r="J38">
        <v>1</v>
      </c>
      <c r="K38" t="s">
        <v>166</v>
      </c>
      <c r="L38" t="s">
        <v>174</v>
      </c>
      <c r="M38" t="s">
        <v>175</v>
      </c>
      <c r="N38" t="s">
        <v>107</v>
      </c>
      <c r="O38" t="s">
        <v>97</v>
      </c>
    </row>
    <row r="39" spans="1:15" x14ac:dyDescent="0.2">
      <c r="A39">
        <v>75</v>
      </c>
      <c r="B39">
        <v>76</v>
      </c>
      <c r="C39">
        <v>75</v>
      </c>
      <c r="D39">
        <v>74</v>
      </c>
      <c r="E39" t="s">
        <v>5</v>
      </c>
      <c r="F39" t="s">
        <v>6</v>
      </c>
      <c r="G39">
        <v>42</v>
      </c>
      <c r="H39" t="s">
        <v>176</v>
      </c>
      <c r="I39">
        <v>0.5</v>
      </c>
      <c r="J39">
        <v>1</v>
      </c>
      <c r="K39" t="s">
        <v>153</v>
      </c>
      <c r="L39" t="s">
        <v>177</v>
      </c>
      <c r="M39" t="s">
        <v>178</v>
      </c>
      <c r="N39" t="s">
        <v>107</v>
      </c>
      <c r="O39" t="s">
        <v>97</v>
      </c>
    </row>
    <row r="40" spans="1:15" x14ac:dyDescent="0.2">
      <c r="A40">
        <v>75</v>
      </c>
      <c r="B40">
        <v>76</v>
      </c>
      <c r="C40">
        <v>75</v>
      </c>
      <c r="D40">
        <v>74</v>
      </c>
      <c r="E40" t="s">
        <v>5</v>
      </c>
      <c r="F40" t="s">
        <v>6</v>
      </c>
      <c r="G40">
        <v>43</v>
      </c>
      <c r="H40" t="s">
        <v>179</v>
      </c>
      <c r="I40">
        <v>0</v>
      </c>
      <c r="J40">
        <v>0</v>
      </c>
      <c r="K40" t="s">
        <v>166</v>
      </c>
      <c r="L40" t="s">
        <v>180</v>
      </c>
      <c r="M40" t="s">
        <v>181</v>
      </c>
      <c r="N40" t="s">
        <v>107</v>
      </c>
      <c r="O40" t="s">
        <v>97</v>
      </c>
    </row>
    <row r="41" spans="1:15" x14ac:dyDescent="0.2">
      <c r="A41">
        <v>75</v>
      </c>
      <c r="B41">
        <v>76</v>
      </c>
      <c r="C41">
        <v>75</v>
      </c>
      <c r="D41">
        <v>74</v>
      </c>
      <c r="E41" t="s">
        <v>5</v>
      </c>
      <c r="F41" t="s">
        <v>6</v>
      </c>
      <c r="G41">
        <v>44</v>
      </c>
      <c r="H41" t="s">
        <v>182</v>
      </c>
      <c r="I41">
        <v>0</v>
      </c>
      <c r="J41">
        <v>1</v>
      </c>
      <c r="K41" t="s">
        <v>166</v>
      </c>
      <c r="L41" t="s">
        <v>183</v>
      </c>
      <c r="M41" t="s">
        <v>184</v>
      </c>
      <c r="N41" t="s">
        <v>107</v>
      </c>
      <c r="O41" t="s">
        <v>97</v>
      </c>
    </row>
    <row r="42" spans="1:15" x14ac:dyDescent="0.2">
      <c r="A42">
        <v>75</v>
      </c>
      <c r="B42">
        <v>76</v>
      </c>
      <c r="C42">
        <v>75</v>
      </c>
      <c r="D42">
        <v>74</v>
      </c>
      <c r="E42" t="s">
        <v>5</v>
      </c>
      <c r="F42" t="s">
        <v>6</v>
      </c>
      <c r="G42">
        <v>45</v>
      </c>
      <c r="H42" t="s">
        <v>185</v>
      </c>
      <c r="I42">
        <v>0</v>
      </c>
      <c r="J42">
        <v>1</v>
      </c>
      <c r="K42" t="s">
        <v>166</v>
      </c>
      <c r="L42" t="s">
        <v>186</v>
      </c>
      <c r="M42" t="s">
        <v>139</v>
      </c>
      <c r="N42" t="s">
        <v>107</v>
      </c>
      <c r="O42" t="s">
        <v>97</v>
      </c>
    </row>
    <row r="43" spans="1:15" x14ac:dyDescent="0.2">
      <c r="A43">
        <v>75</v>
      </c>
      <c r="B43">
        <v>76</v>
      </c>
      <c r="C43">
        <v>75</v>
      </c>
      <c r="D43">
        <v>74</v>
      </c>
      <c r="E43" t="s">
        <v>5</v>
      </c>
      <c r="F43" t="s">
        <v>6</v>
      </c>
      <c r="G43">
        <v>47</v>
      </c>
      <c r="H43" t="s">
        <v>187</v>
      </c>
      <c r="I43">
        <v>0</v>
      </c>
      <c r="J43">
        <v>0.2</v>
      </c>
      <c r="K43" t="s">
        <v>93</v>
      </c>
      <c r="L43" t="s">
        <v>188</v>
      </c>
      <c r="M43" t="s">
        <v>95</v>
      </c>
      <c r="N43" t="s">
        <v>96</v>
      </c>
      <c r="O43" t="s">
        <v>97</v>
      </c>
    </row>
    <row r="44" spans="1:15" x14ac:dyDescent="0.2">
      <c r="A44">
        <v>75</v>
      </c>
      <c r="B44">
        <v>76</v>
      </c>
      <c r="C44">
        <v>75</v>
      </c>
      <c r="D44">
        <v>74</v>
      </c>
      <c r="E44" t="s">
        <v>5</v>
      </c>
      <c r="F44" t="s">
        <v>6</v>
      </c>
      <c r="G44">
        <v>48</v>
      </c>
      <c r="H44" t="s">
        <v>189</v>
      </c>
      <c r="I44">
        <v>0</v>
      </c>
      <c r="J44">
        <v>0.2</v>
      </c>
      <c r="K44" t="s">
        <v>93</v>
      </c>
      <c r="L44" t="s">
        <v>190</v>
      </c>
      <c r="M44" t="s">
        <v>95</v>
      </c>
      <c r="N44" t="s">
        <v>96</v>
      </c>
      <c r="O44" t="s">
        <v>97</v>
      </c>
    </row>
    <row r="45" spans="1:15" x14ac:dyDescent="0.2">
      <c r="A45">
        <v>75</v>
      </c>
      <c r="B45">
        <v>76</v>
      </c>
      <c r="C45">
        <v>75</v>
      </c>
      <c r="D45">
        <v>74</v>
      </c>
      <c r="E45" t="s">
        <v>5</v>
      </c>
      <c r="F45" t="s">
        <v>6</v>
      </c>
      <c r="G45">
        <v>49</v>
      </c>
      <c r="H45" t="s">
        <v>191</v>
      </c>
      <c r="I45">
        <v>0.2</v>
      </c>
      <c r="J45">
        <v>0.2</v>
      </c>
      <c r="K45" t="s">
        <v>93</v>
      </c>
      <c r="L45" t="s">
        <v>192</v>
      </c>
      <c r="M45" t="s">
        <v>95</v>
      </c>
      <c r="N45" t="s">
        <v>96</v>
      </c>
      <c r="O45" t="s">
        <v>97</v>
      </c>
    </row>
    <row r="46" spans="1:15" x14ac:dyDescent="0.2">
      <c r="A46">
        <v>75</v>
      </c>
      <c r="B46">
        <v>76</v>
      </c>
      <c r="C46">
        <v>75</v>
      </c>
      <c r="D46">
        <v>74</v>
      </c>
      <c r="E46" t="s">
        <v>5</v>
      </c>
      <c r="F46" t="s">
        <v>6</v>
      </c>
      <c r="G46">
        <v>50</v>
      </c>
      <c r="H46" t="s">
        <v>193</v>
      </c>
      <c r="I46">
        <v>0.1</v>
      </c>
      <c r="J46">
        <v>0.1</v>
      </c>
      <c r="K46" t="s">
        <v>93</v>
      </c>
      <c r="L46" t="s">
        <v>194</v>
      </c>
      <c r="M46" t="s">
        <v>95</v>
      </c>
      <c r="N46" t="s">
        <v>96</v>
      </c>
      <c r="O46" t="s">
        <v>97</v>
      </c>
    </row>
    <row r="47" spans="1:15" x14ac:dyDescent="0.2">
      <c r="A47">
        <v>75</v>
      </c>
      <c r="B47">
        <v>76</v>
      </c>
      <c r="C47">
        <v>75</v>
      </c>
      <c r="D47">
        <v>74</v>
      </c>
      <c r="E47" t="s">
        <v>5</v>
      </c>
      <c r="F47" t="s">
        <v>6</v>
      </c>
      <c r="G47">
        <v>51</v>
      </c>
      <c r="H47" t="s">
        <v>193</v>
      </c>
      <c r="I47">
        <v>0</v>
      </c>
      <c r="J47">
        <v>0.1</v>
      </c>
      <c r="K47" t="s">
        <v>93</v>
      </c>
      <c r="L47" t="s">
        <v>194</v>
      </c>
      <c r="M47" t="s">
        <v>95</v>
      </c>
      <c r="N47" t="s">
        <v>96</v>
      </c>
      <c r="O47" t="s">
        <v>97</v>
      </c>
    </row>
    <row r="48" spans="1:15" x14ac:dyDescent="0.2">
      <c r="A48">
        <v>80</v>
      </c>
      <c r="B48">
        <v>81</v>
      </c>
      <c r="C48">
        <v>80</v>
      </c>
      <c r="D48">
        <v>79</v>
      </c>
      <c r="E48" t="s">
        <v>5</v>
      </c>
      <c r="F48" t="s">
        <v>9</v>
      </c>
      <c r="G48">
        <v>1</v>
      </c>
      <c r="H48" t="s">
        <v>92</v>
      </c>
      <c r="I48">
        <v>0</v>
      </c>
      <c r="J48">
        <v>0.2</v>
      </c>
      <c r="K48" t="s">
        <v>93</v>
      </c>
      <c r="L48" t="s">
        <v>94</v>
      </c>
      <c r="M48" t="s">
        <v>95</v>
      </c>
      <c r="N48" t="s">
        <v>96</v>
      </c>
      <c r="O48" t="s">
        <v>97</v>
      </c>
    </row>
    <row r="49" spans="1:15" x14ac:dyDescent="0.2">
      <c r="A49">
        <v>80</v>
      </c>
      <c r="B49">
        <v>81</v>
      </c>
      <c r="C49">
        <v>80</v>
      </c>
      <c r="D49">
        <v>79</v>
      </c>
      <c r="E49" t="s">
        <v>5</v>
      </c>
      <c r="F49" t="s">
        <v>9</v>
      </c>
      <c r="G49">
        <v>2</v>
      </c>
      <c r="H49" t="s">
        <v>98</v>
      </c>
      <c r="I49">
        <v>0.25</v>
      </c>
      <c r="J49">
        <v>0.5</v>
      </c>
      <c r="K49" t="s">
        <v>93</v>
      </c>
      <c r="L49" t="s">
        <v>99</v>
      </c>
      <c r="M49" t="s">
        <v>95</v>
      </c>
      <c r="N49" t="s">
        <v>96</v>
      </c>
      <c r="O49" t="s">
        <v>97</v>
      </c>
    </row>
    <row r="50" spans="1:15" x14ac:dyDescent="0.2">
      <c r="A50">
        <v>80</v>
      </c>
      <c r="B50">
        <v>81</v>
      </c>
      <c r="C50">
        <v>80</v>
      </c>
      <c r="D50">
        <v>79</v>
      </c>
      <c r="E50" t="s">
        <v>5</v>
      </c>
      <c r="F50" t="s">
        <v>9</v>
      </c>
      <c r="G50">
        <v>3</v>
      </c>
      <c r="H50" t="s">
        <v>100</v>
      </c>
      <c r="I50">
        <v>0.5</v>
      </c>
      <c r="J50">
        <v>1</v>
      </c>
      <c r="K50" t="s">
        <v>101</v>
      </c>
      <c r="L50" t="s">
        <v>102</v>
      </c>
      <c r="M50" t="s">
        <v>103</v>
      </c>
      <c r="N50" t="s">
        <v>96</v>
      </c>
      <c r="O50" t="s">
        <v>97</v>
      </c>
    </row>
    <row r="51" spans="1:15" x14ac:dyDescent="0.2">
      <c r="A51">
        <v>80</v>
      </c>
      <c r="B51">
        <v>81</v>
      </c>
      <c r="C51">
        <v>80</v>
      </c>
      <c r="D51">
        <v>79</v>
      </c>
      <c r="E51" t="s">
        <v>5</v>
      </c>
      <c r="F51" t="s">
        <v>9</v>
      </c>
      <c r="G51">
        <v>4</v>
      </c>
      <c r="H51" t="s">
        <v>104</v>
      </c>
      <c r="I51">
        <v>0.5</v>
      </c>
      <c r="J51">
        <v>1</v>
      </c>
      <c r="K51" t="s">
        <v>101</v>
      </c>
      <c r="L51" t="s">
        <v>105</v>
      </c>
      <c r="M51" t="s">
        <v>106</v>
      </c>
      <c r="N51" t="s">
        <v>107</v>
      </c>
      <c r="O51" t="s">
        <v>97</v>
      </c>
    </row>
    <row r="52" spans="1:15" x14ac:dyDescent="0.2">
      <c r="A52">
        <v>80</v>
      </c>
      <c r="B52">
        <v>81</v>
      </c>
      <c r="C52">
        <v>80</v>
      </c>
      <c r="D52">
        <v>79</v>
      </c>
      <c r="E52" t="s">
        <v>5</v>
      </c>
      <c r="F52" t="s">
        <v>9</v>
      </c>
      <c r="G52">
        <v>5</v>
      </c>
      <c r="H52" t="s">
        <v>108</v>
      </c>
      <c r="I52">
        <v>0.5</v>
      </c>
      <c r="J52">
        <v>1</v>
      </c>
      <c r="K52" t="s">
        <v>101</v>
      </c>
      <c r="L52" t="s">
        <v>109</v>
      </c>
      <c r="M52" t="s">
        <v>110</v>
      </c>
      <c r="N52" t="s">
        <v>107</v>
      </c>
      <c r="O52" t="s">
        <v>97</v>
      </c>
    </row>
    <row r="53" spans="1:15" x14ac:dyDescent="0.2">
      <c r="A53">
        <v>80</v>
      </c>
      <c r="B53">
        <v>81</v>
      </c>
      <c r="C53">
        <v>80</v>
      </c>
      <c r="D53">
        <v>79</v>
      </c>
      <c r="E53" t="s">
        <v>5</v>
      </c>
      <c r="F53" t="s">
        <v>9</v>
      </c>
      <c r="G53">
        <v>9</v>
      </c>
      <c r="H53" t="s">
        <v>111</v>
      </c>
      <c r="I53">
        <v>0.5</v>
      </c>
      <c r="J53">
        <v>0.5</v>
      </c>
      <c r="K53" t="s">
        <v>112</v>
      </c>
      <c r="L53" t="s">
        <v>113</v>
      </c>
      <c r="M53" t="s">
        <v>114</v>
      </c>
      <c r="N53" t="s">
        <v>96</v>
      </c>
      <c r="O53" t="s">
        <v>97</v>
      </c>
    </row>
    <row r="54" spans="1:15" x14ac:dyDescent="0.2">
      <c r="A54">
        <v>80</v>
      </c>
      <c r="B54">
        <v>81</v>
      </c>
      <c r="C54">
        <v>80</v>
      </c>
      <c r="D54">
        <v>79</v>
      </c>
      <c r="E54" t="s">
        <v>5</v>
      </c>
      <c r="F54" t="s">
        <v>9</v>
      </c>
      <c r="G54">
        <v>10</v>
      </c>
      <c r="H54" t="s">
        <v>115</v>
      </c>
      <c r="I54">
        <v>0.5</v>
      </c>
      <c r="J54">
        <v>0.5</v>
      </c>
      <c r="K54" t="s">
        <v>112</v>
      </c>
      <c r="L54" t="s">
        <v>116</v>
      </c>
      <c r="M54" t="s">
        <v>117</v>
      </c>
      <c r="N54" t="s">
        <v>96</v>
      </c>
      <c r="O54" t="s">
        <v>97</v>
      </c>
    </row>
    <row r="55" spans="1:15" x14ac:dyDescent="0.2">
      <c r="A55">
        <v>80</v>
      </c>
      <c r="B55">
        <v>81</v>
      </c>
      <c r="C55">
        <v>80</v>
      </c>
      <c r="D55">
        <v>79</v>
      </c>
      <c r="E55" t="s">
        <v>5</v>
      </c>
      <c r="F55" t="s">
        <v>9</v>
      </c>
      <c r="G55">
        <v>11</v>
      </c>
      <c r="H55" t="s">
        <v>118</v>
      </c>
      <c r="I55">
        <v>1</v>
      </c>
      <c r="J55">
        <v>1</v>
      </c>
      <c r="K55" t="s">
        <v>112</v>
      </c>
      <c r="L55" t="s">
        <v>119</v>
      </c>
      <c r="M55" t="s">
        <v>120</v>
      </c>
      <c r="N55" t="s">
        <v>107</v>
      </c>
      <c r="O55" t="s">
        <v>97</v>
      </c>
    </row>
    <row r="56" spans="1:15" x14ac:dyDescent="0.2">
      <c r="A56">
        <v>80</v>
      </c>
      <c r="B56">
        <v>81</v>
      </c>
      <c r="C56">
        <v>80</v>
      </c>
      <c r="D56">
        <v>79</v>
      </c>
      <c r="E56" t="s">
        <v>5</v>
      </c>
      <c r="F56" t="s">
        <v>9</v>
      </c>
      <c r="G56">
        <v>12</v>
      </c>
      <c r="H56" t="s">
        <v>121</v>
      </c>
      <c r="I56">
        <v>0.5</v>
      </c>
      <c r="J56">
        <v>0.5</v>
      </c>
      <c r="K56" t="s">
        <v>122</v>
      </c>
      <c r="L56" t="s">
        <v>113</v>
      </c>
      <c r="M56" t="s">
        <v>123</v>
      </c>
      <c r="N56" t="s">
        <v>96</v>
      </c>
      <c r="O56" t="s">
        <v>97</v>
      </c>
    </row>
    <row r="57" spans="1:15" x14ac:dyDescent="0.2">
      <c r="A57">
        <v>80</v>
      </c>
      <c r="B57">
        <v>81</v>
      </c>
      <c r="C57">
        <v>80</v>
      </c>
      <c r="D57">
        <v>79</v>
      </c>
      <c r="E57" t="s">
        <v>5</v>
      </c>
      <c r="F57" t="s">
        <v>9</v>
      </c>
      <c r="G57">
        <v>13</v>
      </c>
      <c r="H57" t="s">
        <v>124</v>
      </c>
      <c r="I57">
        <v>0</v>
      </c>
      <c r="J57">
        <v>0.5</v>
      </c>
      <c r="K57" t="s">
        <v>122</v>
      </c>
      <c r="L57" t="s">
        <v>125</v>
      </c>
      <c r="M57" t="s">
        <v>126</v>
      </c>
      <c r="N57" t="s">
        <v>96</v>
      </c>
      <c r="O57" t="s">
        <v>97</v>
      </c>
    </row>
    <row r="58" spans="1:15" x14ac:dyDescent="0.2">
      <c r="A58">
        <v>80</v>
      </c>
      <c r="B58">
        <v>81</v>
      </c>
      <c r="C58">
        <v>80</v>
      </c>
      <c r="D58">
        <v>79</v>
      </c>
      <c r="E58" t="s">
        <v>5</v>
      </c>
      <c r="F58" t="s">
        <v>9</v>
      </c>
      <c r="G58">
        <v>14</v>
      </c>
      <c r="H58" t="s">
        <v>127</v>
      </c>
      <c r="I58">
        <v>1</v>
      </c>
      <c r="J58">
        <v>1</v>
      </c>
      <c r="K58" t="s">
        <v>122</v>
      </c>
      <c r="L58" t="s">
        <v>119</v>
      </c>
      <c r="M58" t="s">
        <v>128</v>
      </c>
      <c r="N58" t="s">
        <v>107</v>
      </c>
      <c r="O58" t="s">
        <v>97</v>
      </c>
    </row>
    <row r="59" spans="1:15" x14ac:dyDescent="0.2">
      <c r="A59">
        <v>80</v>
      </c>
      <c r="B59">
        <v>81</v>
      </c>
      <c r="C59">
        <v>80</v>
      </c>
      <c r="D59">
        <v>79</v>
      </c>
      <c r="E59" t="s">
        <v>5</v>
      </c>
      <c r="F59" t="s">
        <v>9</v>
      </c>
      <c r="G59">
        <v>15</v>
      </c>
      <c r="H59" t="s">
        <v>129</v>
      </c>
      <c r="I59">
        <v>1</v>
      </c>
      <c r="J59">
        <v>1</v>
      </c>
      <c r="K59" t="s">
        <v>130</v>
      </c>
      <c r="L59" t="s">
        <v>131</v>
      </c>
      <c r="M59" t="s">
        <v>132</v>
      </c>
      <c r="N59" t="s">
        <v>107</v>
      </c>
      <c r="O59" t="s">
        <v>97</v>
      </c>
    </row>
    <row r="60" spans="1:15" x14ac:dyDescent="0.2">
      <c r="A60">
        <v>80</v>
      </c>
      <c r="B60">
        <v>81</v>
      </c>
      <c r="C60">
        <v>80</v>
      </c>
      <c r="D60">
        <v>79</v>
      </c>
      <c r="E60" t="s">
        <v>5</v>
      </c>
      <c r="F60" t="s">
        <v>9</v>
      </c>
      <c r="G60">
        <v>16</v>
      </c>
      <c r="H60" t="s">
        <v>133</v>
      </c>
      <c r="I60">
        <v>0</v>
      </c>
      <c r="J60">
        <v>0</v>
      </c>
      <c r="K60" t="e">
        <v>#N/A</v>
      </c>
      <c r="L60" t="e">
        <v>#N/A</v>
      </c>
      <c r="M60" t="e">
        <v>#N/A</v>
      </c>
      <c r="N60" t="e">
        <v>#N/A</v>
      </c>
      <c r="O60" t="s">
        <v>97</v>
      </c>
    </row>
    <row r="61" spans="1:15" x14ac:dyDescent="0.2">
      <c r="A61">
        <v>80</v>
      </c>
      <c r="B61">
        <v>81</v>
      </c>
      <c r="C61">
        <v>80</v>
      </c>
      <c r="D61">
        <v>79</v>
      </c>
      <c r="E61" t="s">
        <v>5</v>
      </c>
      <c r="F61" t="s">
        <v>9</v>
      </c>
      <c r="G61">
        <v>17</v>
      </c>
      <c r="H61" t="s">
        <v>134</v>
      </c>
      <c r="I61">
        <v>1</v>
      </c>
      <c r="J61">
        <v>1</v>
      </c>
      <c r="K61" t="s">
        <v>112</v>
      </c>
      <c r="L61" t="s">
        <v>135</v>
      </c>
      <c r="M61" t="s">
        <v>136</v>
      </c>
      <c r="N61" t="s">
        <v>107</v>
      </c>
      <c r="O61" t="s">
        <v>97</v>
      </c>
    </row>
    <row r="62" spans="1:15" x14ac:dyDescent="0.2">
      <c r="A62">
        <v>80</v>
      </c>
      <c r="B62">
        <v>81</v>
      </c>
      <c r="C62">
        <v>80</v>
      </c>
      <c r="D62">
        <v>79</v>
      </c>
      <c r="E62" t="s">
        <v>5</v>
      </c>
      <c r="F62" t="s">
        <v>9</v>
      </c>
      <c r="G62">
        <v>18</v>
      </c>
      <c r="H62" t="s">
        <v>137</v>
      </c>
      <c r="I62">
        <v>1</v>
      </c>
      <c r="J62">
        <v>1</v>
      </c>
      <c r="K62" t="s">
        <v>112</v>
      </c>
      <c r="L62" t="s">
        <v>138</v>
      </c>
      <c r="M62" t="s">
        <v>139</v>
      </c>
      <c r="N62" t="s">
        <v>107</v>
      </c>
      <c r="O62" t="s">
        <v>97</v>
      </c>
    </row>
    <row r="63" spans="1:15" x14ac:dyDescent="0.2">
      <c r="A63">
        <v>80</v>
      </c>
      <c r="B63">
        <v>81</v>
      </c>
      <c r="C63">
        <v>80</v>
      </c>
      <c r="D63">
        <v>79</v>
      </c>
      <c r="E63" t="s">
        <v>5</v>
      </c>
      <c r="F63" t="s">
        <v>9</v>
      </c>
      <c r="G63">
        <v>19</v>
      </c>
      <c r="H63" t="s">
        <v>140</v>
      </c>
      <c r="I63">
        <v>1</v>
      </c>
      <c r="J63">
        <v>1</v>
      </c>
      <c r="K63" t="s">
        <v>122</v>
      </c>
      <c r="L63" t="s">
        <v>141</v>
      </c>
      <c r="M63" t="s">
        <v>142</v>
      </c>
      <c r="N63" t="s">
        <v>107</v>
      </c>
      <c r="O63" t="s">
        <v>97</v>
      </c>
    </row>
    <row r="64" spans="1:15" x14ac:dyDescent="0.2">
      <c r="A64">
        <v>80</v>
      </c>
      <c r="B64">
        <v>81</v>
      </c>
      <c r="C64">
        <v>80</v>
      </c>
      <c r="D64">
        <v>79</v>
      </c>
      <c r="E64" t="s">
        <v>5</v>
      </c>
      <c r="F64" t="s">
        <v>9</v>
      </c>
      <c r="G64">
        <v>20</v>
      </c>
      <c r="H64" t="s">
        <v>143</v>
      </c>
      <c r="I64">
        <v>1</v>
      </c>
      <c r="J64">
        <v>1</v>
      </c>
      <c r="K64" t="s">
        <v>122</v>
      </c>
      <c r="L64" t="s">
        <v>144</v>
      </c>
      <c r="M64" t="s">
        <v>145</v>
      </c>
      <c r="N64" t="s">
        <v>107</v>
      </c>
      <c r="O64" t="s">
        <v>97</v>
      </c>
    </row>
    <row r="65" spans="1:15" x14ac:dyDescent="0.2">
      <c r="A65">
        <v>80</v>
      </c>
      <c r="B65">
        <v>81</v>
      </c>
      <c r="C65">
        <v>80</v>
      </c>
      <c r="D65">
        <v>79</v>
      </c>
      <c r="E65" t="s">
        <v>5</v>
      </c>
      <c r="F65" t="s">
        <v>9</v>
      </c>
      <c r="G65">
        <v>21</v>
      </c>
      <c r="H65" t="s">
        <v>146</v>
      </c>
      <c r="I65">
        <v>1</v>
      </c>
      <c r="J65">
        <v>1</v>
      </c>
      <c r="K65" t="s">
        <v>147</v>
      </c>
      <c r="L65" t="s">
        <v>148</v>
      </c>
      <c r="M65" t="s">
        <v>149</v>
      </c>
      <c r="N65" t="s">
        <v>96</v>
      </c>
      <c r="O65" t="s">
        <v>97</v>
      </c>
    </row>
    <row r="66" spans="1:15" x14ac:dyDescent="0.2">
      <c r="A66">
        <v>80</v>
      </c>
      <c r="B66">
        <v>81</v>
      </c>
      <c r="C66">
        <v>80</v>
      </c>
      <c r="D66">
        <v>79</v>
      </c>
      <c r="E66" t="s">
        <v>5</v>
      </c>
      <c r="F66" t="s">
        <v>9</v>
      </c>
      <c r="G66">
        <v>22</v>
      </c>
      <c r="H66" t="s">
        <v>150</v>
      </c>
      <c r="I66">
        <v>1</v>
      </c>
      <c r="J66">
        <v>1</v>
      </c>
      <c r="K66" t="s">
        <v>147</v>
      </c>
      <c r="L66" t="s">
        <v>151</v>
      </c>
      <c r="M66" t="s">
        <v>149</v>
      </c>
      <c r="N66" t="s">
        <v>107</v>
      </c>
      <c r="O66" t="s">
        <v>97</v>
      </c>
    </row>
    <row r="67" spans="1:15" x14ac:dyDescent="0.2">
      <c r="A67">
        <v>80</v>
      </c>
      <c r="B67">
        <v>81</v>
      </c>
      <c r="C67">
        <v>80</v>
      </c>
      <c r="D67">
        <v>79</v>
      </c>
      <c r="E67" t="s">
        <v>5</v>
      </c>
      <c r="F67" t="s">
        <v>9</v>
      </c>
      <c r="G67">
        <v>23</v>
      </c>
      <c r="H67" t="s">
        <v>152</v>
      </c>
      <c r="I67">
        <v>0</v>
      </c>
      <c r="J67">
        <v>0</v>
      </c>
      <c r="K67" t="s">
        <v>153</v>
      </c>
      <c r="L67" t="s">
        <v>154</v>
      </c>
      <c r="M67" t="s">
        <v>155</v>
      </c>
      <c r="N67" t="s">
        <v>107</v>
      </c>
      <c r="O67" t="s">
        <v>97</v>
      </c>
    </row>
    <row r="68" spans="1:15" x14ac:dyDescent="0.2">
      <c r="A68">
        <v>80</v>
      </c>
      <c r="B68">
        <v>81</v>
      </c>
      <c r="C68">
        <v>80</v>
      </c>
      <c r="D68">
        <v>79</v>
      </c>
      <c r="E68" t="s">
        <v>5</v>
      </c>
      <c r="F68" t="s">
        <v>9</v>
      </c>
      <c r="G68">
        <v>24</v>
      </c>
      <c r="H68" t="s">
        <v>156</v>
      </c>
      <c r="I68">
        <v>0.5</v>
      </c>
      <c r="J68">
        <v>0.5</v>
      </c>
      <c r="K68" t="s">
        <v>122</v>
      </c>
      <c r="L68" t="s">
        <v>157</v>
      </c>
      <c r="M68" t="s">
        <v>158</v>
      </c>
      <c r="N68" t="s">
        <v>107</v>
      </c>
      <c r="O68" t="s">
        <v>97</v>
      </c>
    </row>
    <row r="69" spans="1:15" x14ac:dyDescent="0.2">
      <c r="A69">
        <v>80</v>
      </c>
      <c r="B69">
        <v>81</v>
      </c>
      <c r="C69">
        <v>80</v>
      </c>
      <c r="D69">
        <v>79</v>
      </c>
      <c r="E69" t="s">
        <v>5</v>
      </c>
      <c r="F69" t="s">
        <v>9</v>
      </c>
      <c r="G69">
        <v>25</v>
      </c>
      <c r="H69" t="s">
        <v>156</v>
      </c>
      <c r="I69">
        <v>0.5</v>
      </c>
      <c r="J69">
        <v>0.5</v>
      </c>
      <c r="K69" t="s">
        <v>122</v>
      </c>
      <c r="L69" t="s">
        <v>157</v>
      </c>
      <c r="M69" t="s">
        <v>158</v>
      </c>
      <c r="N69" t="s">
        <v>107</v>
      </c>
      <c r="O69" t="s">
        <v>97</v>
      </c>
    </row>
    <row r="70" spans="1:15" x14ac:dyDescent="0.2">
      <c r="A70">
        <v>80</v>
      </c>
      <c r="B70">
        <v>81</v>
      </c>
      <c r="C70">
        <v>80</v>
      </c>
      <c r="D70">
        <v>79</v>
      </c>
      <c r="E70" t="s">
        <v>5</v>
      </c>
      <c r="F70" t="s">
        <v>9</v>
      </c>
      <c r="G70">
        <v>26</v>
      </c>
      <c r="H70" t="s">
        <v>152</v>
      </c>
      <c r="I70">
        <v>0</v>
      </c>
      <c r="J70">
        <v>0</v>
      </c>
      <c r="K70" t="s">
        <v>153</v>
      </c>
      <c r="L70" t="s">
        <v>154</v>
      </c>
      <c r="M70" t="s">
        <v>155</v>
      </c>
      <c r="N70" t="s">
        <v>107</v>
      </c>
      <c r="O70" t="s">
        <v>97</v>
      </c>
    </row>
    <row r="71" spans="1:15" x14ac:dyDescent="0.2">
      <c r="A71">
        <v>80</v>
      </c>
      <c r="B71">
        <v>81</v>
      </c>
      <c r="C71">
        <v>80</v>
      </c>
      <c r="D71">
        <v>79</v>
      </c>
      <c r="E71" t="s">
        <v>5</v>
      </c>
      <c r="F71" t="s">
        <v>9</v>
      </c>
      <c r="G71">
        <v>27</v>
      </c>
      <c r="H71" t="s">
        <v>159</v>
      </c>
      <c r="I71">
        <v>0.5</v>
      </c>
      <c r="J71">
        <v>0.5</v>
      </c>
      <c r="K71" t="s">
        <v>122</v>
      </c>
      <c r="L71" t="s">
        <v>160</v>
      </c>
      <c r="M71" t="s">
        <v>161</v>
      </c>
      <c r="N71" t="s">
        <v>107</v>
      </c>
      <c r="O71" t="s">
        <v>97</v>
      </c>
    </row>
    <row r="72" spans="1:15" x14ac:dyDescent="0.2">
      <c r="A72">
        <v>80</v>
      </c>
      <c r="B72">
        <v>81</v>
      </c>
      <c r="C72">
        <v>80</v>
      </c>
      <c r="D72">
        <v>79</v>
      </c>
      <c r="E72" t="s">
        <v>5</v>
      </c>
      <c r="F72" t="s">
        <v>9</v>
      </c>
      <c r="G72">
        <v>28</v>
      </c>
      <c r="H72" t="s">
        <v>159</v>
      </c>
      <c r="I72">
        <v>0.5</v>
      </c>
      <c r="J72">
        <v>0.5</v>
      </c>
      <c r="K72" t="s">
        <v>122</v>
      </c>
      <c r="L72" t="s">
        <v>160</v>
      </c>
      <c r="M72" t="s">
        <v>161</v>
      </c>
      <c r="N72" t="s">
        <v>107</v>
      </c>
      <c r="O72" t="s">
        <v>97</v>
      </c>
    </row>
    <row r="73" spans="1:15" x14ac:dyDescent="0.2">
      <c r="A73">
        <v>80</v>
      </c>
      <c r="B73">
        <v>81</v>
      </c>
      <c r="C73">
        <v>80</v>
      </c>
      <c r="D73">
        <v>79</v>
      </c>
      <c r="E73" t="s">
        <v>5</v>
      </c>
      <c r="F73" t="s">
        <v>9</v>
      </c>
      <c r="G73">
        <v>29</v>
      </c>
      <c r="H73" t="s">
        <v>152</v>
      </c>
      <c r="I73">
        <v>0</v>
      </c>
      <c r="J73">
        <v>0</v>
      </c>
      <c r="K73" t="s">
        <v>153</v>
      </c>
      <c r="L73" t="s">
        <v>154</v>
      </c>
      <c r="M73" t="s">
        <v>155</v>
      </c>
      <c r="N73" t="s">
        <v>107</v>
      </c>
      <c r="O73" t="s">
        <v>97</v>
      </c>
    </row>
    <row r="74" spans="1:15" x14ac:dyDescent="0.2">
      <c r="A74">
        <v>80</v>
      </c>
      <c r="B74">
        <v>81</v>
      </c>
      <c r="C74">
        <v>80</v>
      </c>
      <c r="D74">
        <v>79</v>
      </c>
      <c r="E74" t="s">
        <v>5</v>
      </c>
      <c r="F74" t="s">
        <v>9</v>
      </c>
      <c r="G74">
        <v>30</v>
      </c>
      <c r="H74" t="s">
        <v>162</v>
      </c>
      <c r="I74">
        <v>0.5</v>
      </c>
      <c r="J74">
        <v>1</v>
      </c>
      <c r="K74" t="s">
        <v>112</v>
      </c>
      <c r="L74" t="s">
        <v>163</v>
      </c>
      <c r="M74" t="s">
        <v>164</v>
      </c>
      <c r="N74" t="s">
        <v>107</v>
      </c>
      <c r="O74" t="s">
        <v>97</v>
      </c>
    </row>
    <row r="75" spans="1:15" x14ac:dyDescent="0.2">
      <c r="A75">
        <v>80</v>
      </c>
      <c r="B75">
        <v>81</v>
      </c>
      <c r="C75">
        <v>80</v>
      </c>
      <c r="D75">
        <v>79</v>
      </c>
      <c r="E75" t="s">
        <v>5</v>
      </c>
      <c r="F75" t="s">
        <v>9</v>
      </c>
      <c r="G75">
        <v>31</v>
      </c>
      <c r="H75" t="s">
        <v>162</v>
      </c>
      <c r="I75">
        <v>0</v>
      </c>
      <c r="J75">
        <v>0</v>
      </c>
      <c r="K75" t="s">
        <v>112</v>
      </c>
      <c r="L75" t="s">
        <v>163</v>
      </c>
      <c r="M75" t="s">
        <v>164</v>
      </c>
      <c r="N75" t="s">
        <v>107</v>
      </c>
      <c r="O75" t="s">
        <v>97</v>
      </c>
    </row>
    <row r="76" spans="1:15" x14ac:dyDescent="0.2">
      <c r="A76">
        <v>80</v>
      </c>
      <c r="B76">
        <v>81</v>
      </c>
      <c r="C76">
        <v>80</v>
      </c>
      <c r="D76">
        <v>79</v>
      </c>
      <c r="E76" t="s">
        <v>5</v>
      </c>
      <c r="F76" t="s">
        <v>9</v>
      </c>
      <c r="G76">
        <v>32</v>
      </c>
      <c r="H76" t="s">
        <v>162</v>
      </c>
      <c r="I76">
        <v>0</v>
      </c>
      <c r="J76">
        <v>0</v>
      </c>
      <c r="K76" t="s">
        <v>112</v>
      </c>
      <c r="L76" t="s">
        <v>163</v>
      </c>
      <c r="M76" t="s">
        <v>164</v>
      </c>
      <c r="N76" t="s">
        <v>107</v>
      </c>
      <c r="O76" t="s">
        <v>97</v>
      </c>
    </row>
    <row r="77" spans="1:15" x14ac:dyDescent="0.2">
      <c r="A77">
        <v>80</v>
      </c>
      <c r="B77">
        <v>81</v>
      </c>
      <c r="C77">
        <v>80</v>
      </c>
      <c r="D77">
        <v>79</v>
      </c>
      <c r="E77" t="s">
        <v>5</v>
      </c>
      <c r="F77" t="s">
        <v>9</v>
      </c>
      <c r="G77">
        <v>33</v>
      </c>
      <c r="H77" t="s">
        <v>152</v>
      </c>
      <c r="I77">
        <v>0</v>
      </c>
      <c r="J77">
        <v>1</v>
      </c>
      <c r="K77" t="s">
        <v>153</v>
      </c>
      <c r="L77" t="s">
        <v>154</v>
      </c>
      <c r="M77" t="s">
        <v>155</v>
      </c>
      <c r="N77" t="s">
        <v>107</v>
      </c>
      <c r="O77" t="s">
        <v>97</v>
      </c>
    </row>
    <row r="78" spans="1:15" x14ac:dyDescent="0.2">
      <c r="A78">
        <v>80</v>
      </c>
      <c r="B78">
        <v>81</v>
      </c>
      <c r="C78">
        <v>80</v>
      </c>
      <c r="D78">
        <v>79</v>
      </c>
      <c r="E78" t="s">
        <v>5</v>
      </c>
      <c r="F78" t="s">
        <v>9</v>
      </c>
      <c r="G78">
        <v>34</v>
      </c>
      <c r="H78" t="s">
        <v>152</v>
      </c>
      <c r="I78">
        <v>0</v>
      </c>
      <c r="J78">
        <v>0</v>
      </c>
      <c r="K78" t="s">
        <v>153</v>
      </c>
      <c r="L78" t="s">
        <v>154</v>
      </c>
      <c r="M78" t="s">
        <v>155</v>
      </c>
      <c r="N78" t="s">
        <v>107</v>
      </c>
      <c r="O78" t="s">
        <v>97</v>
      </c>
    </row>
    <row r="79" spans="1:15" x14ac:dyDescent="0.2">
      <c r="A79">
        <v>80</v>
      </c>
      <c r="B79">
        <v>81</v>
      </c>
      <c r="C79">
        <v>80</v>
      </c>
      <c r="D79">
        <v>79</v>
      </c>
      <c r="E79" t="s">
        <v>5</v>
      </c>
      <c r="F79" t="s">
        <v>9</v>
      </c>
      <c r="G79">
        <v>35</v>
      </c>
      <c r="H79" t="s">
        <v>165</v>
      </c>
      <c r="I79">
        <v>0.5</v>
      </c>
      <c r="J79">
        <v>1</v>
      </c>
      <c r="K79" t="s">
        <v>166</v>
      </c>
      <c r="L79" t="s">
        <v>167</v>
      </c>
      <c r="M79" t="s">
        <v>168</v>
      </c>
      <c r="N79" t="s">
        <v>107</v>
      </c>
      <c r="O79" t="s">
        <v>97</v>
      </c>
    </row>
    <row r="80" spans="1:15" x14ac:dyDescent="0.2">
      <c r="A80">
        <v>80</v>
      </c>
      <c r="B80">
        <v>81</v>
      </c>
      <c r="C80">
        <v>80</v>
      </c>
      <c r="D80">
        <v>79</v>
      </c>
      <c r="E80" t="s">
        <v>5</v>
      </c>
      <c r="F80" t="s">
        <v>9</v>
      </c>
      <c r="G80">
        <v>36</v>
      </c>
      <c r="H80" t="s">
        <v>169</v>
      </c>
      <c r="I80">
        <v>0</v>
      </c>
      <c r="J80">
        <v>0</v>
      </c>
      <c r="K80" t="e">
        <v>#N/A</v>
      </c>
      <c r="L80" t="e">
        <v>#N/A</v>
      </c>
      <c r="M80" t="e">
        <v>#N/A</v>
      </c>
      <c r="N80" t="e">
        <v>#N/A</v>
      </c>
      <c r="O80" t="s">
        <v>97</v>
      </c>
    </row>
    <row r="81" spans="1:15" x14ac:dyDescent="0.2">
      <c r="A81">
        <v>80</v>
      </c>
      <c r="B81">
        <v>81</v>
      </c>
      <c r="C81">
        <v>80</v>
      </c>
      <c r="D81">
        <v>79</v>
      </c>
      <c r="E81" t="s">
        <v>5</v>
      </c>
      <c r="F81" t="s">
        <v>9</v>
      </c>
      <c r="G81">
        <v>38</v>
      </c>
      <c r="H81" t="s">
        <v>170</v>
      </c>
      <c r="I81">
        <v>0.5</v>
      </c>
      <c r="J81">
        <v>0.5</v>
      </c>
      <c r="K81" t="s">
        <v>112</v>
      </c>
      <c r="L81" t="s">
        <v>171</v>
      </c>
      <c r="M81" t="s">
        <v>172</v>
      </c>
      <c r="N81" t="s">
        <v>96</v>
      </c>
      <c r="O81" t="s">
        <v>97</v>
      </c>
    </row>
    <row r="82" spans="1:15" x14ac:dyDescent="0.2">
      <c r="A82">
        <v>80</v>
      </c>
      <c r="B82">
        <v>81</v>
      </c>
      <c r="C82">
        <v>80</v>
      </c>
      <c r="D82">
        <v>79</v>
      </c>
      <c r="E82" t="s">
        <v>5</v>
      </c>
      <c r="F82" t="s">
        <v>9</v>
      </c>
      <c r="G82">
        <v>39</v>
      </c>
      <c r="H82" t="s">
        <v>170</v>
      </c>
      <c r="I82">
        <v>0</v>
      </c>
      <c r="J82">
        <v>0.5</v>
      </c>
      <c r="K82" t="s">
        <v>112</v>
      </c>
      <c r="L82" t="s">
        <v>171</v>
      </c>
      <c r="M82" t="s">
        <v>172</v>
      </c>
      <c r="N82" t="s">
        <v>96</v>
      </c>
      <c r="O82" t="s">
        <v>97</v>
      </c>
    </row>
    <row r="83" spans="1:15" x14ac:dyDescent="0.2">
      <c r="A83">
        <v>80</v>
      </c>
      <c r="B83">
        <v>81</v>
      </c>
      <c r="C83">
        <v>80</v>
      </c>
      <c r="D83">
        <v>79</v>
      </c>
      <c r="E83" t="s">
        <v>5</v>
      </c>
      <c r="F83" t="s">
        <v>9</v>
      </c>
      <c r="G83">
        <v>40</v>
      </c>
      <c r="H83" t="s">
        <v>170</v>
      </c>
      <c r="I83">
        <v>0.5</v>
      </c>
      <c r="J83">
        <v>0.5</v>
      </c>
      <c r="K83" t="s">
        <v>112</v>
      </c>
      <c r="L83" t="s">
        <v>171</v>
      </c>
      <c r="M83" t="s">
        <v>172</v>
      </c>
      <c r="N83" t="s">
        <v>96</v>
      </c>
      <c r="O83" t="s">
        <v>97</v>
      </c>
    </row>
    <row r="84" spans="1:15" x14ac:dyDescent="0.2">
      <c r="A84">
        <v>80</v>
      </c>
      <c r="B84">
        <v>81</v>
      </c>
      <c r="C84">
        <v>80</v>
      </c>
      <c r="D84">
        <v>79</v>
      </c>
      <c r="E84" t="s">
        <v>5</v>
      </c>
      <c r="F84" t="s">
        <v>9</v>
      </c>
      <c r="G84">
        <v>41</v>
      </c>
      <c r="H84" t="s">
        <v>173</v>
      </c>
      <c r="I84">
        <v>0.5</v>
      </c>
      <c r="J84">
        <v>1</v>
      </c>
      <c r="K84" t="s">
        <v>166</v>
      </c>
      <c r="L84" t="s">
        <v>174</v>
      </c>
      <c r="M84" t="s">
        <v>175</v>
      </c>
      <c r="N84" t="s">
        <v>107</v>
      </c>
      <c r="O84" t="s">
        <v>97</v>
      </c>
    </row>
    <row r="85" spans="1:15" x14ac:dyDescent="0.2">
      <c r="A85">
        <v>80</v>
      </c>
      <c r="B85">
        <v>81</v>
      </c>
      <c r="C85">
        <v>80</v>
      </c>
      <c r="D85">
        <v>79</v>
      </c>
      <c r="E85" t="s">
        <v>5</v>
      </c>
      <c r="F85" t="s">
        <v>9</v>
      </c>
      <c r="G85">
        <v>42</v>
      </c>
      <c r="H85" t="s">
        <v>176</v>
      </c>
      <c r="I85">
        <v>0.5</v>
      </c>
      <c r="J85">
        <v>1</v>
      </c>
      <c r="K85" t="s">
        <v>153</v>
      </c>
      <c r="L85" t="s">
        <v>177</v>
      </c>
      <c r="M85" t="s">
        <v>178</v>
      </c>
      <c r="N85" t="s">
        <v>107</v>
      </c>
      <c r="O85" t="s">
        <v>97</v>
      </c>
    </row>
    <row r="86" spans="1:15" x14ac:dyDescent="0.2">
      <c r="A86">
        <v>80</v>
      </c>
      <c r="B86">
        <v>81</v>
      </c>
      <c r="C86">
        <v>80</v>
      </c>
      <c r="D86">
        <v>79</v>
      </c>
      <c r="E86" t="s">
        <v>5</v>
      </c>
      <c r="F86" t="s">
        <v>9</v>
      </c>
      <c r="G86">
        <v>43</v>
      </c>
      <c r="H86" t="s">
        <v>179</v>
      </c>
      <c r="I86">
        <v>0</v>
      </c>
      <c r="J86">
        <v>0</v>
      </c>
      <c r="K86" t="s">
        <v>166</v>
      </c>
      <c r="L86" t="s">
        <v>180</v>
      </c>
      <c r="M86" t="s">
        <v>181</v>
      </c>
      <c r="N86" t="s">
        <v>107</v>
      </c>
      <c r="O86" t="s">
        <v>97</v>
      </c>
    </row>
    <row r="87" spans="1:15" x14ac:dyDescent="0.2">
      <c r="A87">
        <v>80</v>
      </c>
      <c r="B87">
        <v>81</v>
      </c>
      <c r="C87">
        <v>80</v>
      </c>
      <c r="D87">
        <v>79</v>
      </c>
      <c r="E87" t="s">
        <v>5</v>
      </c>
      <c r="F87" t="s">
        <v>9</v>
      </c>
      <c r="G87">
        <v>44</v>
      </c>
      <c r="H87" t="s">
        <v>182</v>
      </c>
      <c r="I87">
        <v>0</v>
      </c>
      <c r="J87">
        <v>1</v>
      </c>
      <c r="K87" t="s">
        <v>166</v>
      </c>
      <c r="L87" t="s">
        <v>183</v>
      </c>
      <c r="M87" t="s">
        <v>184</v>
      </c>
      <c r="N87" t="s">
        <v>107</v>
      </c>
      <c r="O87" t="s">
        <v>97</v>
      </c>
    </row>
    <row r="88" spans="1:15" x14ac:dyDescent="0.2">
      <c r="A88">
        <v>80</v>
      </c>
      <c r="B88">
        <v>81</v>
      </c>
      <c r="C88">
        <v>80</v>
      </c>
      <c r="D88">
        <v>79</v>
      </c>
      <c r="E88" t="s">
        <v>5</v>
      </c>
      <c r="F88" t="s">
        <v>9</v>
      </c>
      <c r="G88">
        <v>45</v>
      </c>
      <c r="H88" t="s">
        <v>185</v>
      </c>
      <c r="I88">
        <v>0</v>
      </c>
      <c r="J88">
        <v>1</v>
      </c>
      <c r="K88" t="s">
        <v>166</v>
      </c>
      <c r="L88" t="s">
        <v>186</v>
      </c>
      <c r="M88" t="s">
        <v>139</v>
      </c>
      <c r="N88" t="s">
        <v>107</v>
      </c>
      <c r="O88" t="s">
        <v>97</v>
      </c>
    </row>
    <row r="89" spans="1:15" x14ac:dyDescent="0.2">
      <c r="A89">
        <v>80</v>
      </c>
      <c r="B89">
        <v>81</v>
      </c>
      <c r="C89">
        <v>80</v>
      </c>
      <c r="D89">
        <v>79</v>
      </c>
      <c r="E89" t="s">
        <v>5</v>
      </c>
      <c r="F89" t="s">
        <v>9</v>
      </c>
      <c r="G89">
        <v>47</v>
      </c>
      <c r="H89" t="s">
        <v>187</v>
      </c>
      <c r="I89">
        <v>0</v>
      </c>
      <c r="J89">
        <v>0.2</v>
      </c>
      <c r="K89" t="s">
        <v>93</v>
      </c>
      <c r="L89" t="s">
        <v>188</v>
      </c>
      <c r="M89" t="s">
        <v>95</v>
      </c>
      <c r="N89" t="s">
        <v>96</v>
      </c>
      <c r="O89" t="s">
        <v>97</v>
      </c>
    </row>
    <row r="90" spans="1:15" x14ac:dyDescent="0.2">
      <c r="A90">
        <v>80</v>
      </c>
      <c r="B90">
        <v>81</v>
      </c>
      <c r="C90">
        <v>80</v>
      </c>
      <c r="D90">
        <v>79</v>
      </c>
      <c r="E90" t="s">
        <v>5</v>
      </c>
      <c r="F90" t="s">
        <v>9</v>
      </c>
      <c r="G90">
        <v>48</v>
      </c>
      <c r="H90" t="s">
        <v>189</v>
      </c>
      <c r="I90">
        <v>0.2</v>
      </c>
      <c r="J90">
        <v>0.2</v>
      </c>
      <c r="K90" t="s">
        <v>93</v>
      </c>
      <c r="L90" t="s">
        <v>190</v>
      </c>
      <c r="M90" t="s">
        <v>95</v>
      </c>
      <c r="N90" t="s">
        <v>96</v>
      </c>
      <c r="O90" t="s">
        <v>97</v>
      </c>
    </row>
    <row r="91" spans="1:15" x14ac:dyDescent="0.2">
      <c r="A91">
        <v>80</v>
      </c>
      <c r="B91">
        <v>81</v>
      </c>
      <c r="C91">
        <v>80</v>
      </c>
      <c r="D91">
        <v>79</v>
      </c>
      <c r="E91" t="s">
        <v>5</v>
      </c>
      <c r="F91" t="s">
        <v>9</v>
      </c>
      <c r="G91">
        <v>49</v>
      </c>
      <c r="H91" t="s">
        <v>191</v>
      </c>
      <c r="I91">
        <v>0</v>
      </c>
      <c r="J91">
        <v>0.2</v>
      </c>
      <c r="K91" t="s">
        <v>93</v>
      </c>
      <c r="L91" t="s">
        <v>192</v>
      </c>
      <c r="M91" t="s">
        <v>95</v>
      </c>
      <c r="N91" t="s">
        <v>96</v>
      </c>
      <c r="O91" t="s">
        <v>97</v>
      </c>
    </row>
    <row r="92" spans="1:15" x14ac:dyDescent="0.2">
      <c r="A92">
        <v>80</v>
      </c>
      <c r="B92">
        <v>81</v>
      </c>
      <c r="C92">
        <v>80</v>
      </c>
      <c r="D92">
        <v>79</v>
      </c>
      <c r="E92" t="s">
        <v>5</v>
      </c>
      <c r="F92" t="s">
        <v>9</v>
      </c>
      <c r="G92">
        <v>50</v>
      </c>
      <c r="H92" t="s">
        <v>193</v>
      </c>
      <c r="I92">
        <v>0.1</v>
      </c>
      <c r="J92">
        <v>0.1</v>
      </c>
      <c r="K92" t="s">
        <v>93</v>
      </c>
      <c r="L92" t="s">
        <v>194</v>
      </c>
      <c r="M92" t="s">
        <v>95</v>
      </c>
      <c r="N92" t="s">
        <v>96</v>
      </c>
      <c r="O92" t="s">
        <v>97</v>
      </c>
    </row>
    <row r="93" spans="1:15" x14ac:dyDescent="0.2">
      <c r="A93">
        <v>80</v>
      </c>
      <c r="B93">
        <v>81</v>
      </c>
      <c r="C93">
        <v>80</v>
      </c>
      <c r="D93">
        <v>79</v>
      </c>
      <c r="E93" t="s">
        <v>5</v>
      </c>
      <c r="F93" t="s">
        <v>9</v>
      </c>
      <c r="G93">
        <v>51</v>
      </c>
      <c r="H93" t="s">
        <v>193</v>
      </c>
      <c r="I93">
        <v>0</v>
      </c>
      <c r="J93">
        <v>0.1</v>
      </c>
      <c r="K93" t="s">
        <v>93</v>
      </c>
      <c r="L93" t="s">
        <v>194</v>
      </c>
      <c r="M93" t="s">
        <v>95</v>
      </c>
      <c r="N93" t="s">
        <v>96</v>
      </c>
      <c r="O93" t="s">
        <v>97</v>
      </c>
    </row>
    <row r="94" spans="1:15" x14ac:dyDescent="0.2">
      <c r="A94">
        <v>90</v>
      </c>
      <c r="B94">
        <v>91</v>
      </c>
      <c r="C94">
        <v>90</v>
      </c>
      <c r="D94">
        <v>89</v>
      </c>
      <c r="E94" t="s">
        <v>5</v>
      </c>
      <c r="F94" t="s">
        <v>11</v>
      </c>
      <c r="G94">
        <v>1</v>
      </c>
      <c r="H94" t="s">
        <v>92</v>
      </c>
      <c r="I94">
        <v>0.2</v>
      </c>
      <c r="J94">
        <v>0.2</v>
      </c>
      <c r="K94" t="s">
        <v>93</v>
      </c>
      <c r="L94" t="s">
        <v>94</v>
      </c>
      <c r="M94" t="s">
        <v>95</v>
      </c>
      <c r="N94" t="s">
        <v>96</v>
      </c>
      <c r="O94" t="s">
        <v>97</v>
      </c>
    </row>
    <row r="95" spans="1:15" x14ac:dyDescent="0.2">
      <c r="A95">
        <v>90</v>
      </c>
      <c r="B95">
        <v>91</v>
      </c>
      <c r="C95">
        <v>90</v>
      </c>
      <c r="D95">
        <v>89</v>
      </c>
      <c r="E95" t="s">
        <v>5</v>
      </c>
      <c r="F95" t="s">
        <v>11</v>
      </c>
      <c r="G95">
        <v>2</v>
      </c>
      <c r="H95" t="s">
        <v>98</v>
      </c>
      <c r="I95">
        <v>0.25</v>
      </c>
      <c r="J95">
        <v>0.5</v>
      </c>
      <c r="K95" t="s">
        <v>93</v>
      </c>
      <c r="L95" t="s">
        <v>99</v>
      </c>
      <c r="M95" t="s">
        <v>95</v>
      </c>
      <c r="N95" t="s">
        <v>96</v>
      </c>
      <c r="O95" t="s">
        <v>97</v>
      </c>
    </row>
    <row r="96" spans="1:15" x14ac:dyDescent="0.2">
      <c r="A96">
        <v>90</v>
      </c>
      <c r="B96">
        <v>91</v>
      </c>
      <c r="C96">
        <v>90</v>
      </c>
      <c r="D96">
        <v>89</v>
      </c>
      <c r="E96" t="s">
        <v>5</v>
      </c>
      <c r="F96" t="s">
        <v>11</v>
      </c>
      <c r="G96">
        <v>3</v>
      </c>
      <c r="H96" t="s">
        <v>100</v>
      </c>
      <c r="I96">
        <v>0</v>
      </c>
      <c r="J96">
        <v>1</v>
      </c>
      <c r="K96" t="s">
        <v>101</v>
      </c>
      <c r="L96" t="s">
        <v>102</v>
      </c>
      <c r="M96" t="s">
        <v>103</v>
      </c>
      <c r="N96" t="s">
        <v>96</v>
      </c>
      <c r="O96" t="s">
        <v>97</v>
      </c>
    </row>
    <row r="97" spans="1:15" x14ac:dyDescent="0.2">
      <c r="A97">
        <v>90</v>
      </c>
      <c r="B97">
        <v>91</v>
      </c>
      <c r="C97">
        <v>90</v>
      </c>
      <c r="D97">
        <v>89</v>
      </c>
      <c r="E97" t="s">
        <v>5</v>
      </c>
      <c r="F97" t="s">
        <v>11</v>
      </c>
      <c r="G97">
        <v>4</v>
      </c>
      <c r="H97" t="s">
        <v>104</v>
      </c>
      <c r="I97">
        <v>1</v>
      </c>
      <c r="J97">
        <v>1</v>
      </c>
      <c r="K97" t="s">
        <v>101</v>
      </c>
      <c r="L97" t="s">
        <v>105</v>
      </c>
      <c r="M97" t="s">
        <v>106</v>
      </c>
      <c r="N97" t="s">
        <v>107</v>
      </c>
      <c r="O97" t="s">
        <v>97</v>
      </c>
    </row>
    <row r="98" spans="1:15" x14ac:dyDescent="0.2">
      <c r="A98">
        <v>90</v>
      </c>
      <c r="B98">
        <v>91</v>
      </c>
      <c r="C98">
        <v>90</v>
      </c>
      <c r="D98">
        <v>89</v>
      </c>
      <c r="E98" t="s">
        <v>5</v>
      </c>
      <c r="F98" t="s">
        <v>11</v>
      </c>
      <c r="G98">
        <v>5</v>
      </c>
      <c r="H98" t="s">
        <v>108</v>
      </c>
      <c r="I98">
        <v>0</v>
      </c>
      <c r="J98">
        <v>1</v>
      </c>
      <c r="K98" t="s">
        <v>101</v>
      </c>
      <c r="L98" t="s">
        <v>109</v>
      </c>
      <c r="M98" t="s">
        <v>110</v>
      </c>
      <c r="N98" t="s">
        <v>107</v>
      </c>
      <c r="O98" t="s">
        <v>97</v>
      </c>
    </row>
    <row r="99" spans="1:15" x14ac:dyDescent="0.2">
      <c r="A99">
        <v>90</v>
      </c>
      <c r="B99">
        <v>91</v>
      </c>
      <c r="C99">
        <v>90</v>
      </c>
      <c r="D99">
        <v>89</v>
      </c>
      <c r="E99" t="s">
        <v>5</v>
      </c>
      <c r="F99" t="s">
        <v>11</v>
      </c>
      <c r="G99">
        <v>9</v>
      </c>
      <c r="H99" t="s">
        <v>111</v>
      </c>
      <c r="I99">
        <v>0.25</v>
      </c>
      <c r="J99">
        <v>0.5</v>
      </c>
      <c r="K99" t="s">
        <v>112</v>
      </c>
      <c r="L99" t="s">
        <v>113</v>
      </c>
      <c r="M99" t="s">
        <v>114</v>
      </c>
      <c r="N99" t="s">
        <v>96</v>
      </c>
      <c r="O99" t="s">
        <v>97</v>
      </c>
    </row>
    <row r="100" spans="1:15" x14ac:dyDescent="0.2">
      <c r="A100">
        <v>90</v>
      </c>
      <c r="B100">
        <v>91</v>
      </c>
      <c r="C100">
        <v>90</v>
      </c>
      <c r="D100">
        <v>89</v>
      </c>
      <c r="E100" t="s">
        <v>5</v>
      </c>
      <c r="F100" t="s">
        <v>11</v>
      </c>
      <c r="G100">
        <v>10</v>
      </c>
      <c r="H100" t="s">
        <v>115</v>
      </c>
      <c r="I100">
        <v>0.25</v>
      </c>
      <c r="J100">
        <v>0.5</v>
      </c>
      <c r="K100" t="s">
        <v>112</v>
      </c>
      <c r="L100" t="s">
        <v>116</v>
      </c>
      <c r="M100" t="s">
        <v>117</v>
      </c>
      <c r="N100" t="s">
        <v>96</v>
      </c>
      <c r="O100" t="s">
        <v>97</v>
      </c>
    </row>
    <row r="101" spans="1:15" x14ac:dyDescent="0.2">
      <c r="A101">
        <v>90</v>
      </c>
      <c r="B101">
        <v>91</v>
      </c>
      <c r="C101">
        <v>90</v>
      </c>
      <c r="D101">
        <v>89</v>
      </c>
      <c r="E101" t="s">
        <v>5</v>
      </c>
      <c r="F101" t="s">
        <v>11</v>
      </c>
      <c r="G101">
        <v>11</v>
      </c>
      <c r="H101" t="s">
        <v>118</v>
      </c>
      <c r="I101">
        <v>0.5</v>
      </c>
      <c r="J101">
        <v>1</v>
      </c>
      <c r="K101" t="s">
        <v>112</v>
      </c>
      <c r="L101" t="s">
        <v>119</v>
      </c>
      <c r="M101" t="s">
        <v>120</v>
      </c>
      <c r="N101" t="s">
        <v>107</v>
      </c>
      <c r="O101" t="s">
        <v>97</v>
      </c>
    </row>
    <row r="102" spans="1:15" x14ac:dyDescent="0.2">
      <c r="A102">
        <v>90</v>
      </c>
      <c r="B102">
        <v>91</v>
      </c>
      <c r="C102">
        <v>90</v>
      </c>
      <c r="D102">
        <v>89</v>
      </c>
      <c r="E102" t="s">
        <v>5</v>
      </c>
      <c r="F102" t="s">
        <v>11</v>
      </c>
      <c r="G102">
        <v>12</v>
      </c>
      <c r="H102" t="s">
        <v>121</v>
      </c>
      <c r="I102">
        <v>0</v>
      </c>
      <c r="J102" t="s">
        <v>195</v>
      </c>
      <c r="K102" t="s">
        <v>122</v>
      </c>
      <c r="L102" t="s">
        <v>113</v>
      </c>
      <c r="M102" t="s">
        <v>123</v>
      </c>
      <c r="N102" t="s">
        <v>96</v>
      </c>
      <c r="O102" t="s">
        <v>97</v>
      </c>
    </row>
    <row r="103" spans="1:15" x14ac:dyDescent="0.2">
      <c r="A103">
        <v>90</v>
      </c>
      <c r="B103">
        <v>91</v>
      </c>
      <c r="C103">
        <v>90</v>
      </c>
      <c r="D103">
        <v>89</v>
      </c>
      <c r="E103" t="s">
        <v>5</v>
      </c>
      <c r="F103" t="s">
        <v>11</v>
      </c>
      <c r="G103">
        <v>13</v>
      </c>
      <c r="H103" t="s">
        <v>124</v>
      </c>
      <c r="I103">
        <v>0</v>
      </c>
      <c r="J103" t="s">
        <v>196</v>
      </c>
      <c r="K103" t="s">
        <v>122</v>
      </c>
      <c r="L103" t="s">
        <v>125</v>
      </c>
      <c r="M103" t="s">
        <v>126</v>
      </c>
      <c r="N103" t="s">
        <v>96</v>
      </c>
      <c r="O103" t="s">
        <v>97</v>
      </c>
    </row>
    <row r="104" spans="1:15" x14ac:dyDescent="0.2">
      <c r="A104">
        <v>90</v>
      </c>
      <c r="B104">
        <v>91</v>
      </c>
      <c r="C104">
        <v>90</v>
      </c>
      <c r="D104">
        <v>89</v>
      </c>
      <c r="E104" t="s">
        <v>5</v>
      </c>
      <c r="F104" t="s">
        <v>11</v>
      </c>
      <c r="G104">
        <v>14</v>
      </c>
      <c r="H104" t="s">
        <v>127</v>
      </c>
      <c r="I104">
        <v>0.5</v>
      </c>
      <c r="J104">
        <v>1</v>
      </c>
      <c r="K104" t="s">
        <v>122</v>
      </c>
      <c r="L104" t="s">
        <v>119</v>
      </c>
      <c r="M104" t="s">
        <v>128</v>
      </c>
      <c r="N104" t="s">
        <v>107</v>
      </c>
      <c r="O104" t="s">
        <v>97</v>
      </c>
    </row>
    <row r="105" spans="1:15" x14ac:dyDescent="0.2">
      <c r="A105">
        <v>90</v>
      </c>
      <c r="B105">
        <v>91</v>
      </c>
      <c r="C105">
        <v>90</v>
      </c>
      <c r="D105">
        <v>89</v>
      </c>
      <c r="E105" t="s">
        <v>5</v>
      </c>
      <c r="F105" t="s">
        <v>11</v>
      </c>
      <c r="G105">
        <v>15</v>
      </c>
      <c r="H105" t="s">
        <v>129</v>
      </c>
      <c r="I105">
        <v>1</v>
      </c>
      <c r="J105">
        <v>1</v>
      </c>
      <c r="K105" t="s">
        <v>130</v>
      </c>
      <c r="L105" t="s">
        <v>131</v>
      </c>
      <c r="M105" t="s">
        <v>132</v>
      </c>
      <c r="N105" t="s">
        <v>107</v>
      </c>
      <c r="O105" t="s">
        <v>97</v>
      </c>
    </row>
    <row r="106" spans="1:15" x14ac:dyDescent="0.2">
      <c r="A106">
        <v>90</v>
      </c>
      <c r="B106">
        <v>91</v>
      </c>
      <c r="C106">
        <v>90</v>
      </c>
      <c r="D106">
        <v>89</v>
      </c>
      <c r="E106" t="s">
        <v>5</v>
      </c>
      <c r="F106" t="s">
        <v>11</v>
      </c>
      <c r="G106">
        <v>16</v>
      </c>
      <c r="H106" t="s">
        <v>133</v>
      </c>
      <c r="I106">
        <v>0</v>
      </c>
      <c r="J106" t="s">
        <v>197</v>
      </c>
      <c r="K106" t="e">
        <v>#N/A</v>
      </c>
      <c r="L106" t="e">
        <v>#N/A</v>
      </c>
      <c r="M106" t="e">
        <v>#N/A</v>
      </c>
      <c r="N106" t="e">
        <v>#N/A</v>
      </c>
      <c r="O106" t="s">
        <v>97</v>
      </c>
    </row>
    <row r="107" spans="1:15" x14ac:dyDescent="0.2">
      <c r="A107">
        <v>90</v>
      </c>
      <c r="B107">
        <v>91</v>
      </c>
      <c r="C107">
        <v>90</v>
      </c>
      <c r="D107">
        <v>89</v>
      </c>
      <c r="E107" t="s">
        <v>5</v>
      </c>
      <c r="F107" t="s">
        <v>11</v>
      </c>
      <c r="G107">
        <v>17</v>
      </c>
      <c r="H107" t="s">
        <v>134</v>
      </c>
      <c r="I107">
        <v>0.5</v>
      </c>
      <c r="J107">
        <v>1</v>
      </c>
      <c r="K107" t="s">
        <v>112</v>
      </c>
      <c r="L107" t="s">
        <v>135</v>
      </c>
      <c r="M107" t="s">
        <v>136</v>
      </c>
      <c r="N107" t="s">
        <v>107</v>
      </c>
      <c r="O107" t="s">
        <v>97</v>
      </c>
    </row>
    <row r="108" spans="1:15" x14ac:dyDescent="0.2">
      <c r="A108">
        <v>90</v>
      </c>
      <c r="B108">
        <v>91</v>
      </c>
      <c r="C108">
        <v>90</v>
      </c>
      <c r="D108">
        <v>89</v>
      </c>
      <c r="E108" t="s">
        <v>5</v>
      </c>
      <c r="F108" t="s">
        <v>11</v>
      </c>
      <c r="G108">
        <v>18</v>
      </c>
      <c r="H108" t="s">
        <v>137</v>
      </c>
      <c r="I108">
        <v>1</v>
      </c>
      <c r="J108">
        <v>1</v>
      </c>
      <c r="K108" t="s">
        <v>112</v>
      </c>
      <c r="L108" t="s">
        <v>138</v>
      </c>
      <c r="M108" t="s">
        <v>139</v>
      </c>
      <c r="N108" t="s">
        <v>107</v>
      </c>
      <c r="O108" t="s">
        <v>97</v>
      </c>
    </row>
    <row r="109" spans="1:15" x14ac:dyDescent="0.2">
      <c r="A109">
        <v>90</v>
      </c>
      <c r="B109">
        <v>91</v>
      </c>
      <c r="C109">
        <v>90</v>
      </c>
      <c r="D109">
        <v>89</v>
      </c>
      <c r="E109" t="s">
        <v>5</v>
      </c>
      <c r="F109" t="s">
        <v>11</v>
      </c>
      <c r="G109">
        <v>19</v>
      </c>
      <c r="H109" t="s">
        <v>140</v>
      </c>
      <c r="I109">
        <v>0</v>
      </c>
      <c r="J109" t="s">
        <v>195</v>
      </c>
      <c r="K109" t="s">
        <v>122</v>
      </c>
      <c r="L109" t="s">
        <v>141</v>
      </c>
      <c r="M109" t="s">
        <v>142</v>
      </c>
      <c r="N109" t="s">
        <v>107</v>
      </c>
      <c r="O109" t="s">
        <v>97</v>
      </c>
    </row>
    <row r="110" spans="1:15" x14ac:dyDescent="0.2">
      <c r="A110">
        <v>90</v>
      </c>
      <c r="B110">
        <v>91</v>
      </c>
      <c r="C110">
        <v>90</v>
      </c>
      <c r="D110">
        <v>89</v>
      </c>
      <c r="E110" t="s">
        <v>5</v>
      </c>
      <c r="F110" t="s">
        <v>11</v>
      </c>
      <c r="G110">
        <v>20</v>
      </c>
      <c r="H110" t="s">
        <v>143</v>
      </c>
      <c r="I110">
        <v>0</v>
      </c>
      <c r="J110">
        <v>1</v>
      </c>
      <c r="K110" t="s">
        <v>122</v>
      </c>
      <c r="L110" t="s">
        <v>144</v>
      </c>
      <c r="M110" t="s">
        <v>145</v>
      </c>
      <c r="N110" t="s">
        <v>107</v>
      </c>
      <c r="O110" t="s">
        <v>97</v>
      </c>
    </row>
    <row r="111" spans="1:15" x14ac:dyDescent="0.2">
      <c r="A111">
        <v>90</v>
      </c>
      <c r="B111">
        <v>91</v>
      </c>
      <c r="C111">
        <v>90</v>
      </c>
      <c r="D111">
        <v>89</v>
      </c>
      <c r="E111" t="s">
        <v>5</v>
      </c>
      <c r="F111" t="s">
        <v>11</v>
      </c>
      <c r="G111">
        <v>21</v>
      </c>
      <c r="H111" t="s">
        <v>146</v>
      </c>
      <c r="I111">
        <v>1</v>
      </c>
      <c r="J111">
        <v>1</v>
      </c>
      <c r="K111" t="s">
        <v>147</v>
      </c>
      <c r="L111" t="s">
        <v>148</v>
      </c>
      <c r="M111" t="s">
        <v>149</v>
      </c>
      <c r="N111" t="s">
        <v>96</v>
      </c>
      <c r="O111" t="s">
        <v>97</v>
      </c>
    </row>
    <row r="112" spans="1:15" x14ac:dyDescent="0.2">
      <c r="A112">
        <v>90</v>
      </c>
      <c r="B112">
        <v>91</v>
      </c>
      <c r="C112">
        <v>90</v>
      </c>
      <c r="D112">
        <v>89</v>
      </c>
      <c r="E112" t="s">
        <v>5</v>
      </c>
      <c r="F112" t="s">
        <v>11</v>
      </c>
      <c r="G112">
        <v>22</v>
      </c>
      <c r="H112" t="s">
        <v>150</v>
      </c>
      <c r="I112">
        <v>0.5</v>
      </c>
      <c r="J112">
        <v>1</v>
      </c>
      <c r="K112" t="s">
        <v>147</v>
      </c>
      <c r="L112" t="s">
        <v>151</v>
      </c>
      <c r="M112" t="s">
        <v>149</v>
      </c>
      <c r="N112" t="s">
        <v>107</v>
      </c>
      <c r="O112" t="s">
        <v>97</v>
      </c>
    </row>
    <row r="113" spans="1:15" x14ac:dyDescent="0.2">
      <c r="A113">
        <v>90</v>
      </c>
      <c r="B113">
        <v>91</v>
      </c>
      <c r="C113">
        <v>90</v>
      </c>
      <c r="D113">
        <v>89</v>
      </c>
      <c r="E113" t="s">
        <v>5</v>
      </c>
      <c r="F113" t="s">
        <v>11</v>
      </c>
      <c r="G113">
        <v>23</v>
      </c>
      <c r="H113" t="s">
        <v>152</v>
      </c>
      <c r="I113">
        <v>0</v>
      </c>
      <c r="J113">
        <v>0</v>
      </c>
      <c r="K113" t="s">
        <v>153</v>
      </c>
      <c r="L113" t="s">
        <v>154</v>
      </c>
      <c r="M113" t="s">
        <v>155</v>
      </c>
      <c r="N113" t="s">
        <v>107</v>
      </c>
      <c r="O113" t="s">
        <v>97</v>
      </c>
    </row>
    <row r="114" spans="1:15" x14ac:dyDescent="0.2">
      <c r="A114">
        <v>90</v>
      </c>
      <c r="B114">
        <v>91</v>
      </c>
      <c r="C114">
        <v>90</v>
      </c>
      <c r="D114">
        <v>89</v>
      </c>
      <c r="E114" t="s">
        <v>5</v>
      </c>
      <c r="F114" t="s">
        <v>11</v>
      </c>
      <c r="G114">
        <v>24</v>
      </c>
      <c r="H114" t="s">
        <v>156</v>
      </c>
      <c r="I114">
        <v>0</v>
      </c>
      <c r="J114">
        <v>0</v>
      </c>
      <c r="K114" t="s">
        <v>122</v>
      </c>
      <c r="L114" t="s">
        <v>157</v>
      </c>
      <c r="M114" t="s">
        <v>158</v>
      </c>
      <c r="N114" t="s">
        <v>107</v>
      </c>
      <c r="O114" t="s">
        <v>97</v>
      </c>
    </row>
    <row r="115" spans="1:15" x14ac:dyDescent="0.2">
      <c r="A115">
        <v>90</v>
      </c>
      <c r="B115">
        <v>91</v>
      </c>
      <c r="C115">
        <v>90</v>
      </c>
      <c r="D115">
        <v>89</v>
      </c>
      <c r="E115" t="s">
        <v>5</v>
      </c>
      <c r="F115" t="s">
        <v>11</v>
      </c>
      <c r="G115">
        <v>25</v>
      </c>
      <c r="H115" t="s">
        <v>156</v>
      </c>
      <c r="I115">
        <v>1</v>
      </c>
      <c r="J115">
        <v>1</v>
      </c>
      <c r="K115" t="s">
        <v>122</v>
      </c>
      <c r="L115" t="s">
        <v>157</v>
      </c>
      <c r="M115" t="s">
        <v>158</v>
      </c>
      <c r="N115" t="s">
        <v>107</v>
      </c>
      <c r="O115" t="s">
        <v>97</v>
      </c>
    </row>
    <row r="116" spans="1:15" x14ac:dyDescent="0.2">
      <c r="A116">
        <v>90</v>
      </c>
      <c r="B116">
        <v>91</v>
      </c>
      <c r="C116">
        <v>90</v>
      </c>
      <c r="D116">
        <v>89</v>
      </c>
      <c r="E116" t="s">
        <v>5</v>
      </c>
      <c r="F116" t="s">
        <v>11</v>
      </c>
      <c r="G116">
        <v>26</v>
      </c>
      <c r="H116" t="s">
        <v>152</v>
      </c>
      <c r="I116">
        <v>0</v>
      </c>
      <c r="J116">
        <v>0</v>
      </c>
      <c r="K116" t="s">
        <v>153</v>
      </c>
      <c r="L116" t="s">
        <v>154</v>
      </c>
      <c r="M116" t="s">
        <v>155</v>
      </c>
      <c r="N116" t="s">
        <v>107</v>
      </c>
      <c r="O116" t="s">
        <v>97</v>
      </c>
    </row>
    <row r="117" spans="1:15" x14ac:dyDescent="0.2">
      <c r="A117">
        <v>90</v>
      </c>
      <c r="B117">
        <v>91</v>
      </c>
      <c r="C117">
        <v>90</v>
      </c>
      <c r="D117">
        <v>89</v>
      </c>
      <c r="E117" t="s">
        <v>5</v>
      </c>
      <c r="F117" t="s">
        <v>11</v>
      </c>
      <c r="G117">
        <v>27</v>
      </c>
      <c r="H117" t="s">
        <v>159</v>
      </c>
      <c r="I117">
        <v>0</v>
      </c>
      <c r="J117">
        <v>0</v>
      </c>
      <c r="K117" t="s">
        <v>122</v>
      </c>
      <c r="L117" t="s">
        <v>160</v>
      </c>
      <c r="M117" t="s">
        <v>161</v>
      </c>
      <c r="N117" t="s">
        <v>107</v>
      </c>
      <c r="O117" t="s">
        <v>97</v>
      </c>
    </row>
    <row r="118" spans="1:15" x14ac:dyDescent="0.2">
      <c r="A118">
        <v>90</v>
      </c>
      <c r="B118">
        <v>91</v>
      </c>
      <c r="C118">
        <v>90</v>
      </c>
      <c r="D118">
        <v>89</v>
      </c>
      <c r="E118" t="s">
        <v>5</v>
      </c>
      <c r="F118" t="s">
        <v>11</v>
      </c>
      <c r="G118">
        <v>28</v>
      </c>
      <c r="H118" t="s">
        <v>159</v>
      </c>
      <c r="I118">
        <v>1</v>
      </c>
      <c r="J118">
        <v>1</v>
      </c>
      <c r="K118" t="s">
        <v>122</v>
      </c>
      <c r="L118" t="s">
        <v>160</v>
      </c>
      <c r="M118" t="s">
        <v>161</v>
      </c>
      <c r="N118" t="s">
        <v>107</v>
      </c>
      <c r="O118" t="s">
        <v>97</v>
      </c>
    </row>
    <row r="119" spans="1:15" x14ac:dyDescent="0.2">
      <c r="A119">
        <v>90</v>
      </c>
      <c r="B119">
        <v>91</v>
      </c>
      <c r="C119">
        <v>90</v>
      </c>
      <c r="D119">
        <v>89</v>
      </c>
      <c r="E119" t="s">
        <v>5</v>
      </c>
      <c r="F119" t="s">
        <v>11</v>
      </c>
      <c r="G119">
        <v>29</v>
      </c>
      <c r="H119" t="s">
        <v>152</v>
      </c>
      <c r="I119">
        <v>0</v>
      </c>
      <c r="J119">
        <v>0</v>
      </c>
      <c r="K119" t="s">
        <v>153</v>
      </c>
      <c r="L119" t="s">
        <v>154</v>
      </c>
      <c r="M119" t="s">
        <v>155</v>
      </c>
      <c r="N119" t="s">
        <v>107</v>
      </c>
      <c r="O119" t="s">
        <v>97</v>
      </c>
    </row>
    <row r="120" spans="1:15" x14ac:dyDescent="0.2">
      <c r="A120">
        <v>90</v>
      </c>
      <c r="B120">
        <v>91</v>
      </c>
      <c r="C120">
        <v>90</v>
      </c>
      <c r="D120">
        <v>89</v>
      </c>
      <c r="E120" t="s">
        <v>5</v>
      </c>
      <c r="F120" t="s">
        <v>11</v>
      </c>
      <c r="G120">
        <v>30</v>
      </c>
      <c r="H120" t="s">
        <v>162</v>
      </c>
      <c r="I120">
        <v>0.5</v>
      </c>
      <c r="J120">
        <v>1</v>
      </c>
      <c r="K120" t="s">
        <v>112</v>
      </c>
      <c r="L120" t="s">
        <v>163</v>
      </c>
      <c r="M120" t="s">
        <v>164</v>
      </c>
      <c r="N120" t="s">
        <v>107</v>
      </c>
      <c r="O120" t="s">
        <v>97</v>
      </c>
    </row>
    <row r="121" spans="1:15" x14ac:dyDescent="0.2">
      <c r="A121">
        <v>90</v>
      </c>
      <c r="B121">
        <v>91</v>
      </c>
      <c r="C121">
        <v>90</v>
      </c>
      <c r="D121">
        <v>89</v>
      </c>
      <c r="E121" t="s">
        <v>5</v>
      </c>
      <c r="F121" t="s">
        <v>11</v>
      </c>
      <c r="G121">
        <v>31</v>
      </c>
      <c r="H121" t="s">
        <v>162</v>
      </c>
      <c r="I121">
        <v>0</v>
      </c>
      <c r="J121">
        <v>0</v>
      </c>
      <c r="K121" t="s">
        <v>112</v>
      </c>
      <c r="L121" t="s">
        <v>163</v>
      </c>
      <c r="M121" t="s">
        <v>164</v>
      </c>
      <c r="N121" t="s">
        <v>107</v>
      </c>
      <c r="O121" t="s">
        <v>97</v>
      </c>
    </row>
    <row r="122" spans="1:15" x14ac:dyDescent="0.2">
      <c r="A122">
        <v>90</v>
      </c>
      <c r="B122">
        <v>91</v>
      </c>
      <c r="C122">
        <v>90</v>
      </c>
      <c r="D122">
        <v>89</v>
      </c>
      <c r="E122" t="s">
        <v>5</v>
      </c>
      <c r="F122" t="s">
        <v>11</v>
      </c>
      <c r="G122">
        <v>32</v>
      </c>
      <c r="H122" t="s">
        <v>162</v>
      </c>
      <c r="I122">
        <v>0</v>
      </c>
      <c r="J122">
        <v>0</v>
      </c>
      <c r="K122" t="s">
        <v>112</v>
      </c>
      <c r="L122" t="s">
        <v>163</v>
      </c>
      <c r="M122" t="s">
        <v>164</v>
      </c>
      <c r="N122" t="s">
        <v>107</v>
      </c>
      <c r="O122" t="s">
        <v>97</v>
      </c>
    </row>
    <row r="123" spans="1:15" x14ac:dyDescent="0.2">
      <c r="A123">
        <v>90</v>
      </c>
      <c r="B123">
        <v>91</v>
      </c>
      <c r="C123">
        <v>90</v>
      </c>
      <c r="D123">
        <v>89</v>
      </c>
      <c r="E123" t="s">
        <v>5</v>
      </c>
      <c r="F123" t="s">
        <v>11</v>
      </c>
      <c r="G123">
        <v>33</v>
      </c>
      <c r="H123" t="s">
        <v>152</v>
      </c>
      <c r="I123">
        <v>0</v>
      </c>
      <c r="J123">
        <v>1</v>
      </c>
      <c r="K123" t="s">
        <v>153</v>
      </c>
      <c r="L123" t="s">
        <v>154</v>
      </c>
      <c r="M123" t="s">
        <v>155</v>
      </c>
      <c r="N123" t="s">
        <v>107</v>
      </c>
      <c r="O123" t="s">
        <v>97</v>
      </c>
    </row>
    <row r="124" spans="1:15" x14ac:dyDescent="0.2">
      <c r="A124">
        <v>90</v>
      </c>
      <c r="B124">
        <v>91</v>
      </c>
      <c r="C124">
        <v>90</v>
      </c>
      <c r="D124">
        <v>89</v>
      </c>
      <c r="E124" t="s">
        <v>5</v>
      </c>
      <c r="F124" t="s">
        <v>11</v>
      </c>
      <c r="G124">
        <v>34</v>
      </c>
      <c r="H124" t="s">
        <v>152</v>
      </c>
      <c r="I124">
        <v>0</v>
      </c>
      <c r="J124">
        <v>0</v>
      </c>
      <c r="K124" t="s">
        <v>153</v>
      </c>
      <c r="L124" t="s">
        <v>154</v>
      </c>
      <c r="M124" t="s">
        <v>155</v>
      </c>
      <c r="N124" t="s">
        <v>107</v>
      </c>
      <c r="O124" t="s">
        <v>97</v>
      </c>
    </row>
    <row r="125" spans="1:15" x14ac:dyDescent="0.2">
      <c r="A125">
        <v>90</v>
      </c>
      <c r="B125">
        <v>91</v>
      </c>
      <c r="C125">
        <v>90</v>
      </c>
      <c r="D125">
        <v>89</v>
      </c>
      <c r="E125" t="s">
        <v>5</v>
      </c>
      <c r="F125" t="s">
        <v>11</v>
      </c>
      <c r="G125">
        <v>35</v>
      </c>
      <c r="H125" t="s">
        <v>165</v>
      </c>
      <c r="I125">
        <v>0</v>
      </c>
      <c r="J125">
        <v>1</v>
      </c>
      <c r="K125" t="s">
        <v>166</v>
      </c>
      <c r="L125" t="s">
        <v>167</v>
      </c>
      <c r="M125" t="s">
        <v>168</v>
      </c>
      <c r="N125" t="s">
        <v>107</v>
      </c>
      <c r="O125" t="s">
        <v>97</v>
      </c>
    </row>
    <row r="126" spans="1:15" x14ac:dyDescent="0.2">
      <c r="A126">
        <v>90</v>
      </c>
      <c r="B126">
        <v>91</v>
      </c>
      <c r="C126">
        <v>90</v>
      </c>
      <c r="D126">
        <v>89</v>
      </c>
      <c r="E126" t="s">
        <v>5</v>
      </c>
      <c r="F126" t="s">
        <v>11</v>
      </c>
      <c r="G126">
        <v>36</v>
      </c>
      <c r="H126" t="s">
        <v>169</v>
      </c>
      <c r="I126">
        <v>0</v>
      </c>
      <c r="J126">
        <v>0</v>
      </c>
      <c r="K126" t="e">
        <v>#N/A</v>
      </c>
      <c r="L126" t="e">
        <v>#N/A</v>
      </c>
      <c r="M126" t="e">
        <v>#N/A</v>
      </c>
      <c r="N126" t="e">
        <v>#N/A</v>
      </c>
      <c r="O126" t="s">
        <v>97</v>
      </c>
    </row>
    <row r="127" spans="1:15" x14ac:dyDescent="0.2">
      <c r="A127">
        <v>90</v>
      </c>
      <c r="B127">
        <v>91</v>
      </c>
      <c r="C127">
        <v>90</v>
      </c>
      <c r="D127">
        <v>89</v>
      </c>
      <c r="E127" t="s">
        <v>5</v>
      </c>
      <c r="F127" t="s">
        <v>11</v>
      </c>
      <c r="G127">
        <v>38</v>
      </c>
      <c r="H127" t="s">
        <v>170</v>
      </c>
      <c r="I127">
        <v>0</v>
      </c>
      <c r="J127">
        <v>0.5</v>
      </c>
      <c r="K127" t="s">
        <v>112</v>
      </c>
      <c r="L127" t="s">
        <v>171</v>
      </c>
      <c r="M127" t="s">
        <v>172</v>
      </c>
      <c r="N127" t="s">
        <v>96</v>
      </c>
      <c r="O127" t="s">
        <v>97</v>
      </c>
    </row>
    <row r="128" spans="1:15" x14ac:dyDescent="0.2">
      <c r="A128">
        <v>90</v>
      </c>
      <c r="B128">
        <v>91</v>
      </c>
      <c r="C128">
        <v>90</v>
      </c>
      <c r="D128">
        <v>89</v>
      </c>
      <c r="E128" t="s">
        <v>5</v>
      </c>
      <c r="F128" t="s">
        <v>11</v>
      </c>
      <c r="G128">
        <v>39</v>
      </c>
      <c r="H128" t="s">
        <v>170</v>
      </c>
      <c r="I128">
        <v>0</v>
      </c>
      <c r="J128">
        <v>0.5</v>
      </c>
      <c r="K128" t="s">
        <v>112</v>
      </c>
      <c r="L128" t="s">
        <v>171</v>
      </c>
      <c r="M128" t="s">
        <v>172</v>
      </c>
      <c r="N128" t="s">
        <v>96</v>
      </c>
      <c r="O128" t="s">
        <v>97</v>
      </c>
    </row>
    <row r="129" spans="1:15" x14ac:dyDescent="0.2">
      <c r="A129">
        <v>90</v>
      </c>
      <c r="B129">
        <v>91</v>
      </c>
      <c r="C129">
        <v>90</v>
      </c>
      <c r="D129">
        <v>89</v>
      </c>
      <c r="E129" t="s">
        <v>5</v>
      </c>
      <c r="F129" t="s">
        <v>11</v>
      </c>
      <c r="G129">
        <v>40</v>
      </c>
      <c r="H129" t="s">
        <v>170</v>
      </c>
      <c r="I129">
        <v>0</v>
      </c>
      <c r="J129">
        <v>0.5</v>
      </c>
      <c r="K129" t="s">
        <v>112</v>
      </c>
      <c r="L129" t="s">
        <v>171</v>
      </c>
      <c r="M129" t="s">
        <v>172</v>
      </c>
      <c r="N129" t="s">
        <v>96</v>
      </c>
      <c r="O129" t="s">
        <v>97</v>
      </c>
    </row>
    <row r="130" spans="1:15" x14ac:dyDescent="0.2">
      <c r="A130">
        <v>90</v>
      </c>
      <c r="B130">
        <v>91</v>
      </c>
      <c r="C130">
        <v>90</v>
      </c>
      <c r="D130">
        <v>89</v>
      </c>
      <c r="E130" t="s">
        <v>5</v>
      </c>
      <c r="F130" t="s">
        <v>11</v>
      </c>
      <c r="G130">
        <v>41</v>
      </c>
      <c r="H130" t="s">
        <v>173</v>
      </c>
      <c r="I130">
        <v>0</v>
      </c>
      <c r="J130" t="s">
        <v>195</v>
      </c>
      <c r="K130" t="s">
        <v>166</v>
      </c>
      <c r="L130" t="s">
        <v>174</v>
      </c>
      <c r="M130" t="s">
        <v>175</v>
      </c>
      <c r="N130" t="s">
        <v>107</v>
      </c>
      <c r="O130" t="s">
        <v>97</v>
      </c>
    </row>
    <row r="131" spans="1:15" x14ac:dyDescent="0.2">
      <c r="A131">
        <v>90</v>
      </c>
      <c r="B131">
        <v>91</v>
      </c>
      <c r="C131">
        <v>90</v>
      </c>
      <c r="D131">
        <v>89</v>
      </c>
      <c r="E131" t="s">
        <v>5</v>
      </c>
      <c r="F131" t="s">
        <v>11</v>
      </c>
      <c r="G131">
        <v>42</v>
      </c>
      <c r="H131" t="s">
        <v>176</v>
      </c>
      <c r="I131">
        <v>0</v>
      </c>
      <c r="J131" t="s">
        <v>198</v>
      </c>
      <c r="K131" t="s">
        <v>153</v>
      </c>
      <c r="L131" t="s">
        <v>177</v>
      </c>
      <c r="M131" t="s">
        <v>178</v>
      </c>
      <c r="N131" t="s">
        <v>107</v>
      </c>
      <c r="O131" t="s">
        <v>97</v>
      </c>
    </row>
    <row r="132" spans="1:15" x14ac:dyDescent="0.2">
      <c r="A132">
        <v>90</v>
      </c>
      <c r="B132">
        <v>91</v>
      </c>
      <c r="C132">
        <v>90</v>
      </c>
      <c r="D132">
        <v>89</v>
      </c>
      <c r="E132" t="s">
        <v>5</v>
      </c>
      <c r="F132" t="s">
        <v>11</v>
      </c>
      <c r="G132">
        <v>43</v>
      </c>
      <c r="H132" t="s">
        <v>179</v>
      </c>
      <c r="I132">
        <v>0</v>
      </c>
      <c r="J132">
        <v>0</v>
      </c>
      <c r="K132" t="s">
        <v>166</v>
      </c>
      <c r="L132" t="s">
        <v>180</v>
      </c>
      <c r="M132" t="s">
        <v>181</v>
      </c>
      <c r="N132" t="s">
        <v>107</v>
      </c>
      <c r="O132" t="s">
        <v>97</v>
      </c>
    </row>
    <row r="133" spans="1:15" x14ac:dyDescent="0.2">
      <c r="A133">
        <v>90</v>
      </c>
      <c r="B133">
        <v>91</v>
      </c>
      <c r="C133">
        <v>90</v>
      </c>
      <c r="D133">
        <v>89</v>
      </c>
      <c r="E133" t="s">
        <v>5</v>
      </c>
      <c r="F133" t="s">
        <v>11</v>
      </c>
      <c r="G133">
        <v>44</v>
      </c>
      <c r="H133" t="s">
        <v>182</v>
      </c>
      <c r="I133">
        <v>0</v>
      </c>
      <c r="J133">
        <v>1</v>
      </c>
      <c r="K133" t="s">
        <v>166</v>
      </c>
      <c r="L133" t="s">
        <v>183</v>
      </c>
      <c r="M133" t="s">
        <v>184</v>
      </c>
      <c r="N133" t="s">
        <v>107</v>
      </c>
      <c r="O133" t="s">
        <v>97</v>
      </c>
    </row>
    <row r="134" spans="1:15" x14ac:dyDescent="0.2">
      <c r="A134">
        <v>90</v>
      </c>
      <c r="B134">
        <v>91</v>
      </c>
      <c r="C134">
        <v>90</v>
      </c>
      <c r="D134">
        <v>89</v>
      </c>
      <c r="E134" t="s">
        <v>5</v>
      </c>
      <c r="F134" t="s">
        <v>11</v>
      </c>
      <c r="G134">
        <v>45</v>
      </c>
      <c r="H134" t="s">
        <v>185</v>
      </c>
      <c r="I134">
        <v>0</v>
      </c>
      <c r="J134" t="s">
        <v>195</v>
      </c>
      <c r="K134" t="s">
        <v>166</v>
      </c>
      <c r="L134" t="s">
        <v>186</v>
      </c>
      <c r="M134" t="s">
        <v>139</v>
      </c>
      <c r="N134" t="s">
        <v>107</v>
      </c>
      <c r="O134" t="s">
        <v>97</v>
      </c>
    </row>
    <row r="135" spans="1:15" x14ac:dyDescent="0.2">
      <c r="A135">
        <v>90</v>
      </c>
      <c r="B135">
        <v>91</v>
      </c>
      <c r="C135">
        <v>90</v>
      </c>
      <c r="D135">
        <v>89</v>
      </c>
      <c r="E135" t="s">
        <v>5</v>
      </c>
      <c r="F135" t="s">
        <v>11</v>
      </c>
      <c r="G135">
        <v>47</v>
      </c>
      <c r="H135" t="s">
        <v>187</v>
      </c>
      <c r="I135">
        <v>0.2</v>
      </c>
      <c r="J135">
        <v>0.2</v>
      </c>
      <c r="K135" t="s">
        <v>93</v>
      </c>
      <c r="L135" t="s">
        <v>188</v>
      </c>
      <c r="M135" t="s">
        <v>95</v>
      </c>
      <c r="N135" t="s">
        <v>96</v>
      </c>
      <c r="O135" t="s">
        <v>97</v>
      </c>
    </row>
    <row r="136" spans="1:15" x14ac:dyDescent="0.2">
      <c r="A136">
        <v>90</v>
      </c>
      <c r="B136">
        <v>91</v>
      </c>
      <c r="C136">
        <v>90</v>
      </c>
      <c r="D136">
        <v>89</v>
      </c>
      <c r="E136" t="s">
        <v>5</v>
      </c>
      <c r="F136" t="s">
        <v>11</v>
      </c>
      <c r="G136">
        <v>48</v>
      </c>
      <c r="H136" t="s">
        <v>189</v>
      </c>
      <c r="I136">
        <v>0.2</v>
      </c>
      <c r="J136">
        <v>0.2</v>
      </c>
      <c r="K136" t="s">
        <v>93</v>
      </c>
      <c r="L136" t="s">
        <v>190</v>
      </c>
      <c r="M136" t="s">
        <v>95</v>
      </c>
      <c r="N136" t="s">
        <v>96</v>
      </c>
      <c r="O136" t="s">
        <v>97</v>
      </c>
    </row>
    <row r="137" spans="1:15" x14ac:dyDescent="0.2">
      <c r="A137">
        <v>90</v>
      </c>
      <c r="B137">
        <v>91</v>
      </c>
      <c r="C137">
        <v>90</v>
      </c>
      <c r="D137">
        <v>89</v>
      </c>
      <c r="E137" t="s">
        <v>5</v>
      </c>
      <c r="F137" t="s">
        <v>11</v>
      </c>
      <c r="G137">
        <v>49</v>
      </c>
      <c r="H137" t="s">
        <v>191</v>
      </c>
      <c r="I137">
        <v>0.2</v>
      </c>
      <c r="J137">
        <v>0.2</v>
      </c>
      <c r="K137" t="s">
        <v>93</v>
      </c>
      <c r="L137" t="s">
        <v>192</v>
      </c>
      <c r="M137" t="s">
        <v>95</v>
      </c>
      <c r="N137" t="s">
        <v>96</v>
      </c>
      <c r="O137" t="s">
        <v>97</v>
      </c>
    </row>
    <row r="138" spans="1:15" x14ac:dyDescent="0.2">
      <c r="A138">
        <v>90</v>
      </c>
      <c r="B138">
        <v>91</v>
      </c>
      <c r="C138">
        <v>90</v>
      </c>
      <c r="D138">
        <v>89</v>
      </c>
      <c r="E138" t="s">
        <v>5</v>
      </c>
      <c r="F138" t="s">
        <v>11</v>
      </c>
      <c r="G138">
        <v>50</v>
      </c>
      <c r="H138" t="s">
        <v>193</v>
      </c>
      <c r="I138">
        <v>0</v>
      </c>
      <c r="J138" t="s">
        <v>196</v>
      </c>
      <c r="K138" t="s">
        <v>93</v>
      </c>
      <c r="L138" t="s">
        <v>194</v>
      </c>
      <c r="M138" t="s">
        <v>95</v>
      </c>
      <c r="N138" t="s">
        <v>96</v>
      </c>
      <c r="O138" t="s">
        <v>97</v>
      </c>
    </row>
    <row r="139" spans="1:15" x14ac:dyDescent="0.2">
      <c r="A139">
        <v>90</v>
      </c>
      <c r="B139">
        <v>91</v>
      </c>
      <c r="C139">
        <v>90</v>
      </c>
      <c r="D139">
        <v>89</v>
      </c>
      <c r="E139" t="s">
        <v>5</v>
      </c>
      <c r="F139" t="s">
        <v>11</v>
      </c>
      <c r="G139">
        <v>51</v>
      </c>
      <c r="H139" t="s">
        <v>193</v>
      </c>
      <c r="I139">
        <v>0</v>
      </c>
      <c r="J139">
        <v>0</v>
      </c>
      <c r="K139" t="s">
        <v>93</v>
      </c>
      <c r="L139" t="s">
        <v>194</v>
      </c>
      <c r="M139" t="s">
        <v>95</v>
      </c>
      <c r="N139" t="s">
        <v>96</v>
      </c>
      <c r="O139" t="s">
        <v>97</v>
      </c>
    </row>
    <row r="140" spans="1:15" x14ac:dyDescent="0.2">
      <c r="A140">
        <v>95</v>
      </c>
      <c r="B140">
        <v>96</v>
      </c>
      <c r="C140">
        <v>95</v>
      </c>
      <c r="D140">
        <v>94</v>
      </c>
      <c r="E140" t="s">
        <v>5</v>
      </c>
      <c r="F140" t="s">
        <v>12</v>
      </c>
      <c r="G140">
        <v>1</v>
      </c>
      <c r="H140" t="s">
        <v>92</v>
      </c>
      <c r="I140">
        <v>0.2</v>
      </c>
      <c r="J140">
        <v>0.2</v>
      </c>
      <c r="K140" t="s">
        <v>93</v>
      </c>
      <c r="L140" t="s">
        <v>94</v>
      </c>
      <c r="M140" t="s">
        <v>95</v>
      </c>
      <c r="N140" t="s">
        <v>96</v>
      </c>
      <c r="O140" t="s">
        <v>97</v>
      </c>
    </row>
    <row r="141" spans="1:15" x14ac:dyDescent="0.2">
      <c r="A141">
        <v>95</v>
      </c>
      <c r="B141">
        <v>96</v>
      </c>
      <c r="C141">
        <v>95</v>
      </c>
      <c r="D141">
        <v>94</v>
      </c>
      <c r="E141" t="s">
        <v>5</v>
      </c>
      <c r="F141" t="s">
        <v>12</v>
      </c>
      <c r="G141">
        <v>2</v>
      </c>
      <c r="H141" t="s">
        <v>98</v>
      </c>
      <c r="I141">
        <v>0.5</v>
      </c>
      <c r="J141">
        <v>0.5</v>
      </c>
      <c r="K141" t="s">
        <v>93</v>
      </c>
      <c r="L141" t="s">
        <v>99</v>
      </c>
      <c r="M141" t="s">
        <v>95</v>
      </c>
      <c r="N141" t="s">
        <v>96</v>
      </c>
      <c r="O141" t="s">
        <v>97</v>
      </c>
    </row>
    <row r="142" spans="1:15" x14ac:dyDescent="0.2">
      <c r="A142">
        <v>95</v>
      </c>
      <c r="B142">
        <v>96</v>
      </c>
      <c r="C142">
        <v>95</v>
      </c>
      <c r="D142">
        <v>94</v>
      </c>
      <c r="E142" t="s">
        <v>5</v>
      </c>
      <c r="F142" t="s">
        <v>12</v>
      </c>
      <c r="G142">
        <v>3</v>
      </c>
      <c r="H142" t="s">
        <v>100</v>
      </c>
      <c r="I142">
        <v>1</v>
      </c>
      <c r="J142">
        <v>1</v>
      </c>
      <c r="K142" t="s">
        <v>101</v>
      </c>
      <c r="L142" t="s">
        <v>102</v>
      </c>
      <c r="M142" t="s">
        <v>103</v>
      </c>
      <c r="N142" t="s">
        <v>96</v>
      </c>
      <c r="O142" t="s">
        <v>97</v>
      </c>
    </row>
    <row r="143" spans="1:15" x14ac:dyDescent="0.2">
      <c r="A143">
        <v>95</v>
      </c>
      <c r="B143">
        <v>96</v>
      </c>
      <c r="C143">
        <v>95</v>
      </c>
      <c r="D143">
        <v>94</v>
      </c>
      <c r="E143" t="s">
        <v>5</v>
      </c>
      <c r="F143" t="s">
        <v>12</v>
      </c>
      <c r="G143">
        <v>4</v>
      </c>
      <c r="H143" t="s">
        <v>104</v>
      </c>
      <c r="I143">
        <v>1</v>
      </c>
      <c r="J143">
        <v>1</v>
      </c>
      <c r="K143" t="s">
        <v>101</v>
      </c>
      <c r="L143" t="s">
        <v>105</v>
      </c>
      <c r="M143" t="s">
        <v>106</v>
      </c>
      <c r="N143" t="s">
        <v>107</v>
      </c>
      <c r="O143" t="s">
        <v>97</v>
      </c>
    </row>
    <row r="144" spans="1:15" x14ac:dyDescent="0.2">
      <c r="A144">
        <v>95</v>
      </c>
      <c r="B144">
        <v>96</v>
      </c>
      <c r="C144">
        <v>95</v>
      </c>
      <c r="D144">
        <v>94</v>
      </c>
      <c r="E144" t="s">
        <v>5</v>
      </c>
      <c r="F144" t="s">
        <v>12</v>
      </c>
      <c r="G144">
        <v>5</v>
      </c>
      <c r="H144" t="s">
        <v>108</v>
      </c>
      <c r="I144">
        <v>0</v>
      </c>
      <c r="J144">
        <v>1</v>
      </c>
      <c r="K144" t="s">
        <v>101</v>
      </c>
      <c r="L144" t="s">
        <v>109</v>
      </c>
      <c r="M144" t="s">
        <v>110</v>
      </c>
      <c r="N144" t="s">
        <v>107</v>
      </c>
      <c r="O144" t="s">
        <v>97</v>
      </c>
    </row>
    <row r="145" spans="1:15" x14ac:dyDescent="0.2">
      <c r="A145">
        <v>95</v>
      </c>
      <c r="B145">
        <v>96</v>
      </c>
      <c r="C145">
        <v>95</v>
      </c>
      <c r="D145">
        <v>94</v>
      </c>
      <c r="E145" t="s">
        <v>5</v>
      </c>
      <c r="F145" t="s">
        <v>12</v>
      </c>
      <c r="G145">
        <v>9</v>
      </c>
      <c r="H145" t="s">
        <v>111</v>
      </c>
      <c r="I145">
        <v>0</v>
      </c>
      <c r="J145">
        <v>0.5</v>
      </c>
      <c r="K145" t="s">
        <v>112</v>
      </c>
      <c r="L145" t="s">
        <v>113</v>
      </c>
      <c r="M145" t="s">
        <v>114</v>
      </c>
      <c r="N145" t="s">
        <v>96</v>
      </c>
      <c r="O145" t="s">
        <v>97</v>
      </c>
    </row>
    <row r="146" spans="1:15" x14ac:dyDescent="0.2">
      <c r="A146">
        <v>95</v>
      </c>
      <c r="B146">
        <v>96</v>
      </c>
      <c r="C146">
        <v>95</v>
      </c>
      <c r="D146">
        <v>94</v>
      </c>
      <c r="E146" t="s">
        <v>5</v>
      </c>
      <c r="F146" t="s">
        <v>12</v>
      </c>
      <c r="G146">
        <v>10</v>
      </c>
      <c r="H146" t="s">
        <v>115</v>
      </c>
      <c r="I146">
        <v>0</v>
      </c>
      <c r="J146">
        <v>0.5</v>
      </c>
      <c r="K146" t="s">
        <v>112</v>
      </c>
      <c r="L146" t="s">
        <v>116</v>
      </c>
      <c r="M146" t="s">
        <v>117</v>
      </c>
      <c r="N146" t="s">
        <v>96</v>
      </c>
      <c r="O146" t="s">
        <v>97</v>
      </c>
    </row>
    <row r="147" spans="1:15" x14ac:dyDescent="0.2">
      <c r="A147">
        <v>95</v>
      </c>
      <c r="B147">
        <v>96</v>
      </c>
      <c r="C147">
        <v>95</v>
      </c>
      <c r="D147">
        <v>94</v>
      </c>
      <c r="E147" t="s">
        <v>5</v>
      </c>
      <c r="F147" t="s">
        <v>12</v>
      </c>
      <c r="G147">
        <v>11</v>
      </c>
      <c r="H147" t="s">
        <v>118</v>
      </c>
      <c r="I147">
        <v>0.5</v>
      </c>
      <c r="J147">
        <v>1</v>
      </c>
      <c r="K147" t="s">
        <v>112</v>
      </c>
      <c r="L147" t="s">
        <v>119</v>
      </c>
      <c r="M147" t="s">
        <v>120</v>
      </c>
      <c r="N147" t="s">
        <v>107</v>
      </c>
      <c r="O147" t="s">
        <v>97</v>
      </c>
    </row>
    <row r="148" spans="1:15" x14ac:dyDescent="0.2">
      <c r="A148">
        <v>95</v>
      </c>
      <c r="B148">
        <v>96</v>
      </c>
      <c r="C148">
        <v>95</v>
      </c>
      <c r="D148">
        <v>94</v>
      </c>
      <c r="E148" t="s">
        <v>5</v>
      </c>
      <c r="F148" t="s">
        <v>12</v>
      </c>
      <c r="G148">
        <v>12</v>
      </c>
      <c r="H148" t="s">
        <v>121</v>
      </c>
      <c r="I148">
        <v>0.5</v>
      </c>
      <c r="J148">
        <v>0.5</v>
      </c>
      <c r="K148" t="s">
        <v>122</v>
      </c>
      <c r="L148" t="s">
        <v>113</v>
      </c>
      <c r="M148" t="s">
        <v>123</v>
      </c>
      <c r="N148" t="s">
        <v>96</v>
      </c>
      <c r="O148" t="s">
        <v>97</v>
      </c>
    </row>
    <row r="149" spans="1:15" x14ac:dyDescent="0.2">
      <c r="A149">
        <v>95</v>
      </c>
      <c r="B149">
        <v>96</v>
      </c>
      <c r="C149">
        <v>95</v>
      </c>
      <c r="D149">
        <v>94</v>
      </c>
      <c r="E149" t="s">
        <v>5</v>
      </c>
      <c r="F149" t="s">
        <v>12</v>
      </c>
      <c r="G149">
        <v>13</v>
      </c>
      <c r="H149" t="s">
        <v>124</v>
      </c>
      <c r="I149">
        <v>0</v>
      </c>
      <c r="J149">
        <v>0.5</v>
      </c>
      <c r="K149" t="s">
        <v>122</v>
      </c>
      <c r="L149" t="s">
        <v>125</v>
      </c>
      <c r="M149" t="s">
        <v>126</v>
      </c>
      <c r="N149" t="s">
        <v>96</v>
      </c>
      <c r="O149" t="s">
        <v>97</v>
      </c>
    </row>
    <row r="150" spans="1:15" x14ac:dyDescent="0.2">
      <c r="A150">
        <v>95</v>
      </c>
      <c r="B150">
        <v>96</v>
      </c>
      <c r="C150">
        <v>95</v>
      </c>
      <c r="D150">
        <v>94</v>
      </c>
      <c r="E150" t="s">
        <v>5</v>
      </c>
      <c r="F150" t="s">
        <v>12</v>
      </c>
      <c r="G150">
        <v>14</v>
      </c>
      <c r="H150" t="s">
        <v>127</v>
      </c>
      <c r="I150">
        <v>1</v>
      </c>
      <c r="J150">
        <v>1</v>
      </c>
      <c r="K150" t="s">
        <v>122</v>
      </c>
      <c r="L150" t="s">
        <v>119</v>
      </c>
      <c r="M150" t="s">
        <v>128</v>
      </c>
      <c r="N150" t="s">
        <v>107</v>
      </c>
      <c r="O150" t="s">
        <v>97</v>
      </c>
    </row>
    <row r="151" spans="1:15" x14ac:dyDescent="0.2">
      <c r="A151">
        <v>95</v>
      </c>
      <c r="B151">
        <v>96</v>
      </c>
      <c r="C151">
        <v>95</v>
      </c>
      <c r="D151">
        <v>94</v>
      </c>
      <c r="E151" t="s">
        <v>5</v>
      </c>
      <c r="F151" t="s">
        <v>12</v>
      </c>
      <c r="G151">
        <v>15</v>
      </c>
      <c r="H151" t="s">
        <v>129</v>
      </c>
      <c r="I151">
        <v>0</v>
      </c>
      <c r="J151">
        <v>1</v>
      </c>
      <c r="K151" t="s">
        <v>130</v>
      </c>
      <c r="L151" t="s">
        <v>131</v>
      </c>
      <c r="M151" t="s">
        <v>132</v>
      </c>
      <c r="N151" t="s">
        <v>107</v>
      </c>
      <c r="O151" t="s">
        <v>97</v>
      </c>
    </row>
    <row r="152" spans="1:15" x14ac:dyDescent="0.2">
      <c r="A152">
        <v>95</v>
      </c>
      <c r="B152">
        <v>96</v>
      </c>
      <c r="C152">
        <v>95</v>
      </c>
      <c r="D152">
        <v>94</v>
      </c>
      <c r="E152" t="s">
        <v>5</v>
      </c>
      <c r="F152" t="s">
        <v>12</v>
      </c>
      <c r="G152">
        <v>16</v>
      </c>
      <c r="H152" t="s">
        <v>133</v>
      </c>
      <c r="I152">
        <v>0</v>
      </c>
      <c r="J152">
        <v>0</v>
      </c>
      <c r="K152" t="e">
        <v>#N/A</v>
      </c>
      <c r="L152" t="e">
        <v>#N/A</v>
      </c>
      <c r="M152" t="e">
        <v>#N/A</v>
      </c>
      <c r="N152" t="e">
        <v>#N/A</v>
      </c>
      <c r="O152" t="s">
        <v>97</v>
      </c>
    </row>
    <row r="153" spans="1:15" x14ac:dyDescent="0.2">
      <c r="A153">
        <v>95</v>
      </c>
      <c r="B153">
        <v>96</v>
      </c>
      <c r="C153">
        <v>95</v>
      </c>
      <c r="D153">
        <v>94</v>
      </c>
      <c r="E153" t="s">
        <v>5</v>
      </c>
      <c r="F153" t="s">
        <v>12</v>
      </c>
      <c r="G153">
        <v>17</v>
      </c>
      <c r="H153" t="s">
        <v>134</v>
      </c>
      <c r="I153">
        <v>0.5</v>
      </c>
      <c r="J153">
        <v>1</v>
      </c>
      <c r="K153" t="s">
        <v>112</v>
      </c>
      <c r="L153" t="s">
        <v>135</v>
      </c>
      <c r="M153" t="s">
        <v>136</v>
      </c>
      <c r="N153" t="s">
        <v>107</v>
      </c>
      <c r="O153" t="s">
        <v>97</v>
      </c>
    </row>
    <row r="154" spans="1:15" x14ac:dyDescent="0.2">
      <c r="A154">
        <v>95</v>
      </c>
      <c r="B154">
        <v>96</v>
      </c>
      <c r="C154">
        <v>95</v>
      </c>
      <c r="D154">
        <v>94</v>
      </c>
      <c r="E154" t="s">
        <v>5</v>
      </c>
      <c r="F154" t="s">
        <v>12</v>
      </c>
      <c r="G154">
        <v>18</v>
      </c>
      <c r="H154" t="s">
        <v>137</v>
      </c>
      <c r="I154">
        <v>1</v>
      </c>
      <c r="J154">
        <v>1</v>
      </c>
      <c r="K154" t="s">
        <v>112</v>
      </c>
      <c r="L154" t="s">
        <v>138</v>
      </c>
      <c r="M154" t="s">
        <v>139</v>
      </c>
      <c r="N154" t="s">
        <v>107</v>
      </c>
      <c r="O154" t="s">
        <v>97</v>
      </c>
    </row>
    <row r="155" spans="1:15" x14ac:dyDescent="0.2">
      <c r="A155">
        <v>95</v>
      </c>
      <c r="B155">
        <v>96</v>
      </c>
      <c r="C155">
        <v>95</v>
      </c>
      <c r="D155">
        <v>94</v>
      </c>
      <c r="E155" t="s">
        <v>5</v>
      </c>
      <c r="F155" t="s">
        <v>12</v>
      </c>
      <c r="G155">
        <v>19</v>
      </c>
      <c r="H155" t="s">
        <v>140</v>
      </c>
      <c r="I155">
        <v>0.5</v>
      </c>
      <c r="J155">
        <v>1</v>
      </c>
      <c r="K155" t="s">
        <v>122</v>
      </c>
      <c r="L155" t="s">
        <v>141</v>
      </c>
      <c r="M155" t="s">
        <v>142</v>
      </c>
      <c r="N155" t="s">
        <v>107</v>
      </c>
      <c r="O155" t="s">
        <v>97</v>
      </c>
    </row>
    <row r="156" spans="1:15" x14ac:dyDescent="0.2">
      <c r="A156">
        <v>95</v>
      </c>
      <c r="B156">
        <v>96</v>
      </c>
      <c r="C156">
        <v>95</v>
      </c>
      <c r="D156">
        <v>94</v>
      </c>
      <c r="E156" t="s">
        <v>5</v>
      </c>
      <c r="F156" t="s">
        <v>12</v>
      </c>
      <c r="G156">
        <v>20</v>
      </c>
      <c r="H156" t="s">
        <v>143</v>
      </c>
      <c r="I156">
        <v>1</v>
      </c>
      <c r="J156">
        <v>1</v>
      </c>
      <c r="K156" t="s">
        <v>122</v>
      </c>
      <c r="L156" t="s">
        <v>144</v>
      </c>
      <c r="M156" t="s">
        <v>145</v>
      </c>
      <c r="N156" t="s">
        <v>107</v>
      </c>
      <c r="O156" t="s">
        <v>97</v>
      </c>
    </row>
    <row r="157" spans="1:15" x14ac:dyDescent="0.2">
      <c r="A157">
        <v>95</v>
      </c>
      <c r="B157">
        <v>96</v>
      </c>
      <c r="C157">
        <v>95</v>
      </c>
      <c r="D157">
        <v>94</v>
      </c>
      <c r="E157" t="s">
        <v>5</v>
      </c>
      <c r="F157" t="s">
        <v>12</v>
      </c>
      <c r="G157">
        <v>21</v>
      </c>
      <c r="H157" t="s">
        <v>146</v>
      </c>
      <c r="I157">
        <v>1</v>
      </c>
      <c r="J157">
        <v>1</v>
      </c>
      <c r="K157" t="s">
        <v>147</v>
      </c>
      <c r="L157" t="s">
        <v>148</v>
      </c>
      <c r="M157" t="s">
        <v>149</v>
      </c>
      <c r="N157" t="s">
        <v>96</v>
      </c>
      <c r="O157" t="s">
        <v>97</v>
      </c>
    </row>
    <row r="158" spans="1:15" x14ac:dyDescent="0.2">
      <c r="A158">
        <v>95</v>
      </c>
      <c r="B158">
        <v>96</v>
      </c>
      <c r="C158">
        <v>95</v>
      </c>
      <c r="D158">
        <v>94</v>
      </c>
      <c r="E158" t="s">
        <v>5</v>
      </c>
      <c r="F158" t="s">
        <v>12</v>
      </c>
      <c r="G158">
        <v>22</v>
      </c>
      <c r="H158" t="s">
        <v>150</v>
      </c>
      <c r="I158">
        <v>0.5</v>
      </c>
      <c r="J158">
        <v>1</v>
      </c>
      <c r="K158" t="s">
        <v>147</v>
      </c>
      <c r="L158" t="s">
        <v>151</v>
      </c>
      <c r="M158" t="s">
        <v>149</v>
      </c>
      <c r="N158" t="s">
        <v>107</v>
      </c>
      <c r="O158" t="s">
        <v>97</v>
      </c>
    </row>
    <row r="159" spans="1:15" x14ac:dyDescent="0.2">
      <c r="A159">
        <v>95</v>
      </c>
      <c r="B159">
        <v>96</v>
      </c>
      <c r="C159">
        <v>95</v>
      </c>
      <c r="D159">
        <v>94</v>
      </c>
      <c r="E159" t="s">
        <v>5</v>
      </c>
      <c r="F159" t="s">
        <v>12</v>
      </c>
      <c r="G159">
        <v>23</v>
      </c>
      <c r="H159" t="s">
        <v>152</v>
      </c>
      <c r="I159">
        <v>0</v>
      </c>
      <c r="J159">
        <v>0</v>
      </c>
      <c r="K159" t="s">
        <v>153</v>
      </c>
      <c r="L159" t="s">
        <v>154</v>
      </c>
      <c r="M159" t="s">
        <v>155</v>
      </c>
      <c r="N159" t="s">
        <v>107</v>
      </c>
      <c r="O159" t="s">
        <v>97</v>
      </c>
    </row>
    <row r="160" spans="1:15" x14ac:dyDescent="0.2">
      <c r="A160">
        <v>95</v>
      </c>
      <c r="B160">
        <v>96</v>
      </c>
      <c r="C160">
        <v>95</v>
      </c>
      <c r="D160">
        <v>94</v>
      </c>
      <c r="E160" t="s">
        <v>5</v>
      </c>
      <c r="F160" t="s">
        <v>12</v>
      </c>
      <c r="G160">
        <v>24</v>
      </c>
      <c r="H160" t="s">
        <v>156</v>
      </c>
      <c r="I160">
        <v>0</v>
      </c>
      <c r="J160">
        <v>0.5</v>
      </c>
      <c r="K160" t="s">
        <v>122</v>
      </c>
      <c r="L160" t="s">
        <v>157</v>
      </c>
      <c r="M160" t="s">
        <v>158</v>
      </c>
      <c r="N160" t="s">
        <v>107</v>
      </c>
      <c r="O160" t="s">
        <v>97</v>
      </c>
    </row>
    <row r="161" spans="1:15" x14ac:dyDescent="0.2">
      <c r="A161">
        <v>95</v>
      </c>
      <c r="B161">
        <v>96</v>
      </c>
      <c r="C161">
        <v>95</v>
      </c>
      <c r="D161">
        <v>94</v>
      </c>
      <c r="E161" t="s">
        <v>5</v>
      </c>
      <c r="F161" t="s">
        <v>12</v>
      </c>
      <c r="G161">
        <v>25</v>
      </c>
      <c r="H161" t="s">
        <v>156</v>
      </c>
      <c r="I161">
        <v>0</v>
      </c>
      <c r="J161">
        <v>0.5</v>
      </c>
      <c r="K161" t="s">
        <v>122</v>
      </c>
      <c r="L161" t="s">
        <v>157</v>
      </c>
      <c r="M161" t="s">
        <v>158</v>
      </c>
      <c r="N161" t="s">
        <v>107</v>
      </c>
      <c r="O161" t="s">
        <v>97</v>
      </c>
    </row>
    <row r="162" spans="1:15" x14ac:dyDescent="0.2">
      <c r="A162">
        <v>95</v>
      </c>
      <c r="B162">
        <v>96</v>
      </c>
      <c r="C162">
        <v>95</v>
      </c>
      <c r="D162">
        <v>94</v>
      </c>
      <c r="E162" t="s">
        <v>5</v>
      </c>
      <c r="F162" t="s">
        <v>12</v>
      </c>
      <c r="G162">
        <v>26</v>
      </c>
      <c r="H162" t="s">
        <v>152</v>
      </c>
      <c r="I162">
        <v>0</v>
      </c>
      <c r="J162">
        <v>0</v>
      </c>
      <c r="K162" t="s">
        <v>153</v>
      </c>
      <c r="L162" t="s">
        <v>154</v>
      </c>
      <c r="M162" t="s">
        <v>155</v>
      </c>
      <c r="N162" t="s">
        <v>107</v>
      </c>
      <c r="O162" t="s">
        <v>97</v>
      </c>
    </row>
    <row r="163" spans="1:15" x14ac:dyDescent="0.2">
      <c r="A163">
        <v>95</v>
      </c>
      <c r="B163">
        <v>96</v>
      </c>
      <c r="C163">
        <v>95</v>
      </c>
      <c r="D163">
        <v>94</v>
      </c>
      <c r="E163" t="s">
        <v>5</v>
      </c>
      <c r="F163" t="s">
        <v>12</v>
      </c>
      <c r="G163">
        <v>27</v>
      </c>
      <c r="H163" t="s">
        <v>159</v>
      </c>
      <c r="I163">
        <v>0</v>
      </c>
      <c r="J163">
        <v>0.5</v>
      </c>
      <c r="K163" t="s">
        <v>122</v>
      </c>
      <c r="L163" t="s">
        <v>160</v>
      </c>
      <c r="M163" t="s">
        <v>161</v>
      </c>
      <c r="N163" t="s">
        <v>107</v>
      </c>
      <c r="O163" t="s">
        <v>97</v>
      </c>
    </row>
    <row r="164" spans="1:15" x14ac:dyDescent="0.2">
      <c r="A164">
        <v>95</v>
      </c>
      <c r="B164">
        <v>96</v>
      </c>
      <c r="C164">
        <v>95</v>
      </c>
      <c r="D164">
        <v>94</v>
      </c>
      <c r="E164" t="s">
        <v>5</v>
      </c>
      <c r="F164" t="s">
        <v>12</v>
      </c>
      <c r="G164">
        <v>28</v>
      </c>
      <c r="H164" t="s">
        <v>159</v>
      </c>
      <c r="I164">
        <v>0</v>
      </c>
      <c r="J164">
        <v>0.5</v>
      </c>
      <c r="K164" t="s">
        <v>122</v>
      </c>
      <c r="L164" t="s">
        <v>160</v>
      </c>
      <c r="M164" t="s">
        <v>161</v>
      </c>
      <c r="N164" t="s">
        <v>107</v>
      </c>
      <c r="O164" t="s">
        <v>97</v>
      </c>
    </row>
    <row r="165" spans="1:15" x14ac:dyDescent="0.2">
      <c r="A165">
        <v>95</v>
      </c>
      <c r="B165">
        <v>96</v>
      </c>
      <c r="C165">
        <v>95</v>
      </c>
      <c r="D165">
        <v>94</v>
      </c>
      <c r="E165" t="s">
        <v>5</v>
      </c>
      <c r="F165" t="s">
        <v>12</v>
      </c>
      <c r="G165">
        <v>29</v>
      </c>
      <c r="H165" t="s">
        <v>152</v>
      </c>
      <c r="I165">
        <v>0</v>
      </c>
      <c r="J165">
        <v>0</v>
      </c>
      <c r="K165" t="s">
        <v>153</v>
      </c>
      <c r="L165" t="s">
        <v>154</v>
      </c>
      <c r="M165" t="s">
        <v>155</v>
      </c>
      <c r="N165" t="s">
        <v>107</v>
      </c>
      <c r="O165" t="s">
        <v>97</v>
      </c>
    </row>
    <row r="166" spans="1:15" x14ac:dyDescent="0.2">
      <c r="A166">
        <v>95</v>
      </c>
      <c r="B166">
        <v>96</v>
      </c>
      <c r="C166">
        <v>95</v>
      </c>
      <c r="D166">
        <v>94</v>
      </c>
      <c r="E166" t="s">
        <v>5</v>
      </c>
      <c r="F166" t="s">
        <v>12</v>
      </c>
      <c r="G166">
        <v>30</v>
      </c>
      <c r="H166" t="s">
        <v>162</v>
      </c>
      <c r="I166">
        <v>0</v>
      </c>
      <c r="J166">
        <v>1</v>
      </c>
      <c r="K166" t="s">
        <v>112</v>
      </c>
      <c r="L166" t="s">
        <v>163</v>
      </c>
      <c r="M166" t="s">
        <v>164</v>
      </c>
      <c r="N166" t="s">
        <v>107</v>
      </c>
      <c r="O166" t="s">
        <v>97</v>
      </c>
    </row>
    <row r="167" spans="1:15" x14ac:dyDescent="0.2">
      <c r="A167">
        <v>95</v>
      </c>
      <c r="B167">
        <v>96</v>
      </c>
      <c r="C167">
        <v>95</v>
      </c>
      <c r="D167">
        <v>94</v>
      </c>
      <c r="E167" t="s">
        <v>5</v>
      </c>
      <c r="F167" t="s">
        <v>12</v>
      </c>
      <c r="G167">
        <v>31</v>
      </c>
      <c r="H167" t="s">
        <v>162</v>
      </c>
      <c r="I167">
        <v>0</v>
      </c>
      <c r="J167">
        <v>0</v>
      </c>
      <c r="K167" t="s">
        <v>112</v>
      </c>
      <c r="L167" t="s">
        <v>163</v>
      </c>
      <c r="M167" t="s">
        <v>164</v>
      </c>
      <c r="N167" t="s">
        <v>107</v>
      </c>
      <c r="O167" t="s">
        <v>97</v>
      </c>
    </row>
    <row r="168" spans="1:15" x14ac:dyDescent="0.2">
      <c r="A168">
        <v>95</v>
      </c>
      <c r="B168">
        <v>96</v>
      </c>
      <c r="C168">
        <v>95</v>
      </c>
      <c r="D168">
        <v>94</v>
      </c>
      <c r="E168" t="s">
        <v>5</v>
      </c>
      <c r="F168" t="s">
        <v>12</v>
      </c>
      <c r="G168">
        <v>32</v>
      </c>
      <c r="H168" t="s">
        <v>162</v>
      </c>
      <c r="I168">
        <v>0</v>
      </c>
      <c r="J168">
        <v>0</v>
      </c>
      <c r="K168" t="s">
        <v>112</v>
      </c>
      <c r="L168" t="s">
        <v>163</v>
      </c>
      <c r="M168" t="s">
        <v>164</v>
      </c>
      <c r="N168" t="s">
        <v>107</v>
      </c>
      <c r="O168" t="s">
        <v>97</v>
      </c>
    </row>
    <row r="169" spans="1:15" x14ac:dyDescent="0.2">
      <c r="A169">
        <v>95</v>
      </c>
      <c r="B169">
        <v>96</v>
      </c>
      <c r="C169">
        <v>95</v>
      </c>
      <c r="D169">
        <v>94</v>
      </c>
      <c r="E169" t="s">
        <v>5</v>
      </c>
      <c r="F169" t="s">
        <v>12</v>
      </c>
      <c r="G169">
        <v>33</v>
      </c>
      <c r="H169" t="s">
        <v>152</v>
      </c>
      <c r="I169">
        <v>1</v>
      </c>
      <c r="J169">
        <v>1</v>
      </c>
      <c r="K169" t="s">
        <v>153</v>
      </c>
      <c r="L169" t="s">
        <v>154</v>
      </c>
      <c r="M169" t="s">
        <v>155</v>
      </c>
      <c r="N169" t="s">
        <v>107</v>
      </c>
      <c r="O169" t="s">
        <v>97</v>
      </c>
    </row>
    <row r="170" spans="1:15" x14ac:dyDescent="0.2">
      <c r="A170">
        <v>95</v>
      </c>
      <c r="B170">
        <v>96</v>
      </c>
      <c r="C170">
        <v>95</v>
      </c>
      <c r="D170">
        <v>94</v>
      </c>
      <c r="E170" t="s">
        <v>5</v>
      </c>
      <c r="F170" t="s">
        <v>12</v>
      </c>
      <c r="G170">
        <v>34</v>
      </c>
      <c r="H170" t="s">
        <v>152</v>
      </c>
      <c r="I170">
        <v>0</v>
      </c>
      <c r="J170">
        <v>0</v>
      </c>
      <c r="K170" t="s">
        <v>153</v>
      </c>
      <c r="L170" t="s">
        <v>154</v>
      </c>
      <c r="M170" t="s">
        <v>155</v>
      </c>
      <c r="N170" t="s">
        <v>107</v>
      </c>
      <c r="O170" t="s">
        <v>97</v>
      </c>
    </row>
    <row r="171" spans="1:15" x14ac:dyDescent="0.2">
      <c r="A171">
        <v>95</v>
      </c>
      <c r="B171">
        <v>96</v>
      </c>
      <c r="C171">
        <v>95</v>
      </c>
      <c r="D171">
        <v>94</v>
      </c>
      <c r="E171" t="s">
        <v>5</v>
      </c>
      <c r="F171" t="s">
        <v>12</v>
      </c>
      <c r="G171">
        <v>35</v>
      </c>
      <c r="H171" t="s">
        <v>165</v>
      </c>
      <c r="I171">
        <v>0</v>
      </c>
      <c r="J171">
        <v>1</v>
      </c>
      <c r="K171" t="s">
        <v>166</v>
      </c>
      <c r="L171" t="s">
        <v>167</v>
      </c>
      <c r="M171" t="s">
        <v>168</v>
      </c>
      <c r="N171" t="s">
        <v>107</v>
      </c>
      <c r="O171" t="s">
        <v>97</v>
      </c>
    </row>
    <row r="172" spans="1:15" x14ac:dyDescent="0.2">
      <c r="A172">
        <v>95</v>
      </c>
      <c r="B172">
        <v>96</v>
      </c>
      <c r="C172">
        <v>95</v>
      </c>
      <c r="D172">
        <v>94</v>
      </c>
      <c r="E172" t="s">
        <v>5</v>
      </c>
      <c r="F172" t="s">
        <v>12</v>
      </c>
      <c r="G172">
        <v>36</v>
      </c>
      <c r="H172" t="s">
        <v>169</v>
      </c>
      <c r="I172">
        <v>0</v>
      </c>
      <c r="J172">
        <v>0</v>
      </c>
      <c r="K172" t="e">
        <v>#N/A</v>
      </c>
      <c r="L172" t="e">
        <v>#N/A</v>
      </c>
      <c r="M172" t="e">
        <v>#N/A</v>
      </c>
      <c r="N172" t="e">
        <v>#N/A</v>
      </c>
      <c r="O172" t="s">
        <v>97</v>
      </c>
    </row>
    <row r="173" spans="1:15" x14ac:dyDescent="0.2">
      <c r="A173">
        <v>95</v>
      </c>
      <c r="B173">
        <v>96</v>
      </c>
      <c r="C173">
        <v>95</v>
      </c>
      <c r="D173">
        <v>94</v>
      </c>
      <c r="E173" t="s">
        <v>5</v>
      </c>
      <c r="F173" t="s">
        <v>12</v>
      </c>
      <c r="G173">
        <v>38</v>
      </c>
      <c r="H173" t="s">
        <v>170</v>
      </c>
      <c r="I173">
        <v>0</v>
      </c>
      <c r="J173">
        <v>0.5</v>
      </c>
      <c r="K173" t="s">
        <v>112</v>
      </c>
      <c r="L173" t="s">
        <v>171</v>
      </c>
      <c r="M173" t="s">
        <v>172</v>
      </c>
      <c r="N173" t="s">
        <v>96</v>
      </c>
      <c r="O173" t="s">
        <v>97</v>
      </c>
    </row>
    <row r="174" spans="1:15" x14ac:dyDescent="0.2">
      <c r="A174">
        <v>95</v>
      </c>
      <c r="B174">
        <v>96</v>
      </c>
      <c r="C174">
        <v>95</v>
      </c>
      <c r="D174">
        <v>94</v>
      </c>
      <c r="E174" t="s">
        <v>5</v>
      </c>
      <c r="F174" t="s">
        <v>12</v>
      </c>
      <c r="G174">
        <v>39</v>
      </c>
      <c r="H174" t="s">
        <v>170</v>
      </c>
      <c r="I174">
        <v>0</v>
      </c>
      <c r="J174">
        <v>0.5</v>
      </c>
      <c r="K174" t="s">
        <v>112</v>
      </c>
      <c r="L174" t="s">
        <v>171</v>
      </c>
      <c r="M174" t="s">
        <v>172</v>
      </c>
      <c r="N174" t="s">
        <v>96</v>
      </c>
      <c r="O174" t="s">
        <v>97</v>
      </c>
    </row>
    <row r="175" spans="1:15" x14ac:dyDescent="0.2">
      <c r="A175">
        <v>95</v>
      </c>
      <c r="B175">
        <v>96</v>
      </c>
      <c r="C175">
        <v>95</v>
      </c>
      <c r="D175">
        <v>94</v>
      </c>
      <c r="E175" t="s">
        <v>5</v>
      </c>
      <c r="F175" t="s">
        <v>12</v>
      </c>
      <c r="G175">
        <v>40</v>
      </c>
      <c r="H175" t="s">
        <v>170</v>
      </c>
      <c r="I175">
        <v>0</v>
      </c>
      <c r="J175">
        <v>0.5</v>
      </c>
      <c r="K175" t="s">
        <v>112</v>
      </c>
      <c r="L175" t="s">
        <v>171</v>
      </c>
      <c r="M175" t="s">
        <v>172</v>
      </c>
      <c r="N175" t="s">
        <v>96</v>
      </c>
      <c r="O175" t="s">
        <v>97</v>
      </c>
    </row>
    <row r="176" spans="1:15" x14ac:dyDescent="0.2">
      <c r="A176">
        <v>95</v>
      </c>
      <c r="B176">
        <v>96</v>
      </c>
      <c r="C176">
        <v>95</v>
      </c>
      <c r="D176">
        <v>94</v>
      </c>
      <c r="E176" t="s">
        <v>5</v>
      </c>
      <c r="F176" t="s">
        <v>12</v>
      </c>
      <c r="G176">
        <v>41</v>
      </c>
      <c r="H176" t="s">
        <v>173</v>
      </c>
      <c r="I176">
        <v>0</v>
      </c>
      <c r="J176">
        <v>1</v>
      </c>
      <c r="K176" t="s">
        <v>166</v>
      </c>
      <c r="L176" t="s">
        <v>174</v>
      </c>
      <c r="M176" t="s">
        <v>175</v>
      </c>
      <c r="N176" t="s">
        <v>107</v>
      </c>
      <c r="O176" t="s">
        <v>97</v>
      </c>
    </row>
    <row r="177" spans="1:15" x14ac:dyDescent="0.2">
      <c r="A177">
        <v>95</v>
      </c>
      <c r="B177">
        <v>96</v>
      </c>
      <c r="C177">
        <v>95</v>
      </c>
      <c r="D177">
        <v>94</v>
      </c>
      <c r="E177" t="s">
        <v>5</v>
      </c>
      <c r="F177" t="s">
        <v>12</v>
      </c>
      <c r="G177">
        <v>42</v>
      </c>
      <c r="H177" t="s">
        <v>176</v>
      </c>
      <c r="I177">
        <v>0</v>
      </c>
      <c r="J177" t="s">
        <v>198</v>
      </c>
      <c r="K177" t="s">
        <v>153</v>
      </c>
      <c r="L177" t="s">
        <v>177</v>
      </c>
      <c r="M177" t="s">
        <v>178</v>
      </c>
      <c r="N177" t="s">
        <v>107</v>
      </c>
      <c r="O177" t="s">
        <v>97</v>
      </c>
    </row>
    <row r="178" spans="1:15" x14ac:dyDescent="0.2">
      <c r="A178">
        <v>95</v>
      </c>
      <c r="B178">
        <v>96</v>
      </c>
      <c r="C178">
        <v>95</v>
      </c>
      <c r="D178">
        <v>94</v>
      </c>
      <c r="E178" t="s">
        <v>5</v>
      </c>
      <c r="F178" t="s">
        <v>12</v>
      </c>
      <c r="G178">
        <v>43</v>
      </c>
      <c r="H178" t="s">
        <v>179</v>
      </c>
      <c r="I178">
        <v>0</v>
      </c>
      <c r="J178">
        <v>0</v>
      </c>
      <c r="K178" t="s">
        <v>166</v>
      </c>
      <c r="L178" t="s">
        <v>180</v>
      </c>
      <c r="M178" t="s">
        <v>181</v>
      </c>
      <c r="N178" t="s">
        <v>107</v>
      </c>
      <c r="O178" t="s">
        <v>97</v>
      </c>
    </row>
    <row r="179" spans="1:15" x14ac:dyDescent="0.2">
      <c r="A179">
        <v>95</v>
      </c>
      <c r="B179">
        <v>96</v>
      </c>
      <c r="C179">
        <v>95</v>
      </c>
      <c r="D179">
        <v>94</v>
      </c>
      <c r="E179" t="s">
        <v>5</v>
      </c>
      <c r="F179" t="s">
        <v>12</v>
      </c>
      <c r="G179">
        <v>44</v>
      </c>
      <c r="H179" t="s">
        <v>182</v>
      </c>
      <c r="I179">
        <v>0</v>
      </c>
      <c r="J179">
        <v>1</v>
      </c>
      <c r="K179" t="s">
        <v>166</v>
      </c>
      <c r="L179" t="s">
        <v>183</v>
      </c>
      <c r="M179" t="s">
        <v>184</v>
      </c>
      <c r="N179" t="s">
        <v>107</v>
      </c>
      <c r="O179" t="s">
        <v>97</v>
      </c>
    </row>
    <row r="180" spans="1:15" x14ac:dyDescent="0.2">
      <c r="A180">
        <v>95</v>
      </c>
      <c r="B180">
        <v>96</v>
      </c>
      <c r="C180">
        <v>95</v>
      </c>
      <c r="D180">
        <v>94</v>
      </c>
      <c r="E180" t="s">
        <v>5</v>
      </c>
      <c r="F180" t="s">
        <v>12</v>
      </c>
      <c r="G180">
        <v>45</v>
      </c>
      <c r="H180" t="s">
        <v>185</v>
      </c>
      <c r="I180">
        <v>0</v>
      </c>
      <c r="J180">
        <v>1</v>
      </c>
      <c r="K180" t="s">
        <v>166</v>
      </c>
      <c r="L180" t="s">
        <v>186</v>
      </c>
      <c r="M180" t="s">
        <v>139</v>
      </c>
      <c r="N180" t="s">
        <v>107</v>
      </c>
      <c r="O180" t="s">
        <v>97</v>
      </c>
    </row>
    <row r="181" spans="1:15" x14ac:dyDescent="0.2">
      <c r="A181">
        <v>95</v>
      </c>
      <c r="B181">
        <v>96</v>
      </c>
      <c r="C181">
        <v>95</v>
      </c>
      <c r="D181">
        <v>94</v>
      </c>
      <c r="E181" t="s">
        <v>5</v>
      </c>
      <c r="F181" t="s">
        <v>12</v>
      </c>
      <c r="G181">
        <v>47</v>
      </c>
      <c r="H181" t="s">
        <v>187</v>
      </c>
      <c r="I181">
        <v>0.2</v>
      </c>
      <c r="J181">
        <v>0.2</v>
      </c>
      <c r="K181" t="s">
        <v>93</v>
      </c>
      <c r="L181" t="s">
        <v>188</v>
      </c>
      <c r="M181" t="s">
        <v>95</v>
      </c>
      <c r="N181" t="s">
        <v>96</v>
      </c>
      <c r="O181" t="s">
        <v>97</v>
      </c>
    </row>
    <row r="182" spans="1:15" x14ac:dyDescent="0.2">
      <c r="A182">
        <v>95</v>
      </c>
      <c r="B182">
        <v>96</v>
      </c>
      <c r="C182">
        <v>95</v>
      </c>
      <c r="D182">
        <v>94</v>
      </c>
      <c r="E182" t="s">
        <v>5</v>
      </c>
      <c r="F182" t="s">
        <v>12</v>
      </c>
      <c r="G182">
        <v>48</v>
      </c>
      <c r="H182" t="s">
        <v>189</v>
      </c>
      <c r="I182">
        <v>0.2</v>
      </c>
      <c r="J182">
        <v>0.2</v>
      </c>
      <c r="K182" t="s">
        <v>93</v>
      </c>
      <c r="L182" t="s">
        <v>190</v>
      </c>
      <c r="M182" t="s">
        <v>95</v>
      </c>
      <c r="N182" t="s">
        <v>96</v>
      </c>
      <c r="O182" t="s">
        <v>97</v>
      </c>
    </row>
    <row r="183" spans="1:15" x14ac:dyDescent="0.2">
      <c r="A183">
        <v>95</v>
      </c>
      <c r="B183">
        <v>96</v>
      </c>
      <c r="C183">
        <v>95</v>
      </c>
      <c r="D183">
        <v>94</v>
      </c>
      <c r="E183" t="s">
        <v>5</v>
      </c>
      <c r="F183" t="s">
        <v>12</v>
      </c>
      <c r="G183">
        <v>49</v>
      </c>
      <c r="H183" t="s">
        <v>191</v>
      </c>
      <c r="I183">
        <v>0.2</v>
      </c>
      <c r="J183">
        <v>0.2</v>
      </c>
      <c r="K183" t="s">
        <v>93</v>
      </c>
      <c r="L183" t="s">
        <v>192</v>
      </c>
      <c r="M183" t="s">
        <v>95</v>
      </c>
      <c r="N183" t="s">
        <v>96</v>
      </c>
      <c r="O183" t="s">
        <v>97</v>
      </c>
    </row>
    <row r="184" spans="1:15" x14ac:dyDescent="0.2">
      <c r="A184">
        <v>95</v>
      </c>
      <c r="B184">
        <v>96</v>
      </c>
      <c r="C184">
        <v>95</v>
      </c>
      <c r="D184">
        <v>94</v>
      </c>
      <c r="E184" t="s">
        <v>5</v>
      </c>
      <c r="F184" t="s">
        <v>12</v>
      </c>
      <c r="G184">
        <v>50</v>
      </c>
      <c r="H184" t="s">
        <v>193</v>
      </c>
      <c r="I184">
        <v>0.1</v>
      </c>
      <c r="J184">
        <v>0.1</v>
      </c>
      <c r="K184" t="s">
        <v>93</v>
      </c>
      <c r="L184" t="s">
        <v>194</v>
      </c>
      <c r="M184" t="s">
        <v>95</v>
      </c>
      <c r="N184" t="s">
        <v>96</v>
      </c>
      <c r="O184" t="s">
        <v>97</v>
      </c>
    </row>
    <row r="185" spans="1:15" x14ac:dyDescent="0.2">
      <c r="A185">
        <v>95</v>
      </c>
      <c r="B185">
        <v>96</v>
      </c>
      <c r="C185">
        <v>95</v>
      </c>
      <c r="D185">
        <v>94</v>
      </c>
      <c r="E185" t="s">
        <v>5</v>
      </c>
      <c r="F185" t="s">
        <v>12</v>
      </c>
      <c r="G185">
        <v>51</v>
      </c>
      <c r="H185" t="s">
        <v>193</v>
      </c>
      <c r="I185">
        <v>0.1</v>
      </c>
      <c r="J185">
        <v>0.1</v>
      </c>
      <c r="K185" t="s">
        <v>93</v>
      </c>
      <c r="L185" t="s">
        <v>194</v>
      </c>
      <c r="M185" t="s">
        <v>95</v>
      </c>
      <c r="N185" t="s">
        <v>96</v>
      </c>
      <c r="O185" t="s">
        <v>97</v>
      </c>
    </row>
    <row r="186" spans="1:15" x14ac:dyDescent="0.2">
      <c r="A186">
        <v>100</v>
      </c>
      <c r="B186">
        <v>101</v>
      </c>
      <c r="C186">
        <v>100</v>
      </c>
      <c r="D186">
        <v>99</v>
      </c>
      <c r="E186" t="s">
        <v>5</v>
      </c>
      <c r="F186" t="s">
        <v>14</v>
      </c>
      <c r="G186">
        <v>1</v>
      </c>
      <c r="H186" t="s">
        <v>92</v>
      </c>
      <c r="I186">
        <v>0</v>
      </c>
      <c r="J186">
        <v>0.2</v>
      </c>
      <c r="K186" t="s">
        <v>93</v>
      </c>
      <c r="L186" t="s">
        <v>94</v>
      </c>
      <c r="M186" t="s">
        <v>95</v>
      </c>
      <c r="N186" t="s">
        <v>96</v>
      </c>
      <c r="O186" t="s">
        <v>97</v>
      </c>
    </row>
    <row r="187" spans="1:15" x14ac:dyDescent="0.2">
      <c r="A187">
        <v>100</v>
      </c>
      <c r="B187">
        <v>101</v>
      </c>
      <c r="C187">
        <v>100</v>
      </c>
      <c r="D187">
        <v>99</v>
      </c>
      <c r="E187" t="s">
        <v>5</v>
      </c>
      <c r="F187" t="s">
        <v>14</v>
      </c>
      <c r="G187">
        <v>2</v>
      </c>
      <c r="H187" t="s">
        <v>98</v>
      </c>
      <c r="I187">
        <v>0.25</v>
      </c>
      <c r="J187">
        <v>0.5</v>
      </c>
      <c r="K187" t="s">
        <v>93</v>
      </c>
      <c r="L187" t="s">
        <v>99</v>
      </c>
      <c r="M187" t="s">
        <v>95</v>
      </c>
      <c r="N187" t="s">
        <v>96</v>
      </c>
      <c r="O187" t="s">
        <v>97</v>
      </c>
    </row>
    <row r="188" spans="1:15" x14ac:dyDescent="0.2">
      <c r="A188">
        <v>100</v>
      </c>
      <c r="B188">
        <v>101</v>
      </c>
      <c r="C188">
        <v>100</v>
      </c>
      <c r="D188">
        <v>99</v>
      </c>
      <c r="E188" t="s">
        <v>5</v>
      </c>
      <c r="F188" t="s">
        <v>14</v>
      </c>
      <c r="G188">
        <v>3</v>
      </c>
      <c r="H188" t="s">
        <v>100</v>
      </c>
      <c r="I188">
        <v>1</v>
      </c>
      <c r="J188">
        <v>1</v>
      </c>
      <c r="K188" t="s">
        <v>101</v>
      </c>
      <c r="L188" t="s">
        <v>102</v>
      </c>
      <c r="M188" t="s">
        <v>103</v>
      </c>
      <c r="N188" t="s">
        <v>96</v>
      </c>
      <c r="O188" t="s">
        <v>97</v>
      </c>
    </row>
    <row r="189" spans="1:15" x14ac:dyDescent="0.2">
      <c r="A189">
        <v>100</v>
      </c>
      <c r="B189">
        <v>101</v>
      </c>
      <c r="C189">
        <v>100</v>
      </c>
      <c r="D189">
        <v>99</v>
      </c>
      <c r="E189" t="s">
        <v>5</v>
      </c>
      <c r="F189" t="s">
        <v>14</v>
      </c>
      <c r="G189">
        <v>4</v>
      </c>
      <c r="H189" t="s">
        <v>104</v>
      </c>
      <c r="I189">
        <v>0.5</v>
      </c>
      <c r="J189">
        <v>1</v>
      </c>
      <c r="K189" t="s">
        <v>101</v>
      </c>
      <c r="L189" t="s">
        <v>105</v>
      </c>
      <c r="M189" t="s">
        <v>106</v>
      </c>
      <c r="N189" t="s">
        <v>107</v>
      </c>
      <c r="O189" t="s">
        <v>97</v>
      </c>
    </row>
    <row r="190" spans="1:15" x14ac:dyDescent="0.2">
      <c r="A190">
        <v>100</v>
      </c>
      <c r="B190">
        <v>101</v>
      </c>
      <c r="C190">
        <v>100</v>
      </c>
      <c r="D190">
        <v>99</v>
      </c>
      <c r="E190" t="s">
        <v>5</v>
      </c>
      <c r="F190" t="s">
        <v>14</v>
      </c>
      <c r="G190">
        <v>5</v>
      </c>
      <c r="H190" t="s">
        <v>108</v>
      </c>
      <c r="I190">
        <v>0</v>
      </c>
      <c r="J190">
        <v>1</v>
      </c>
      <c r="K190" t="s">
        <v>101</v>
      </c>
      <c r="L190" t="s">
        <v>109</v>
      </c>
      <c r="M190" t="s">
        <v>110</v>
      </c>
      <c r="N190" t="s">
        <v>107</v>
      </c>
      <c r="O190" t="s">
        <v>97</v>
      </c>
    </row>
    <row r="191" spans="1:15" x14ac:dyDescent="0.2">
      <c r="A191">
        <v>100</v>
      </c>
      <c r="B191">
        <v>101</v>
      </c>
      <c r="C191">
        <v>100</v>
      </c>
      <c r="D191">
        <v>99</v>
      </c>
      <c r="E191" t="s">
        <v>5</v>
      </c>
      <c r="F191" t="s">
        <v>14</v>
      </c>
      <c r="G191">
        <v>9</v>
      </c>
      <c r="H191" t="s">
        <v>111</v>
      </c>
      <c r="I191">
        <v>0</v>
      </c>
      <c r="J191">
        <v>0.5</v>
      </c>
      <c r="K191" t="s">
        <v>112</v>
      </c>
      <c r="L191" t="s">
        <v>113</v>
      </c>
      <c r="M191" t="s">
        <v>114</v>
      </c>
      <c r="N191" t="s">
        <v>96</v>
      </c>
      <c r="O191" t="s">
        <v>97</v>
      </c>
    </row>
    <row r="192" spans="1:15" x14ac:dyDescent="0.2">
      <c r="A192">
        <v>100</v>
      </c>
      <c r="B192">
        <v>101</v>
      </c>
      <c r="C192">
        <v>100</v>
      </c>
      <c r="D192">
        <v>99</v>
      </c>
      <c r="E192" t="s">
        <v>5</v>
      </c>
      <c r="F192" t="s">
        <v>14</v>
      </c>
      <c r="G192">
        <v>10</v>
      </c>
      <c r="H192" t="s">
        <v>115</v>
      </c>
      <c r="I192">
        <v>0</v>
      </c>
      <c r="J192">
        <v>0.5</v>
      </c>
      <c r="K192" t="s">
        <v>112</v>
      </c>
      <c r="L192" t="s">
        <v>116</v>
      </c>
      <c r="M192" t="s">
        <v>117</v>
      </c>
      <c r="N192" t="s">
        <v>96</v>
      </c>
      <c r="O192" t="s">
        <v>97</v>
      </c>
    </row>
    <row r="193" spans="1:15" x14ac:dyDescent="0.2">
      <c r="A193">
        <v>100</v>
      </c>
      <c r="B193">
        <v>101</v>
      </c>
      <c r="C193">
        <v>100</v>
      </c>
      <c r="D193">
        <v>99</v>
      </c>
      <c r="E193" t="s">
        <v>5</v>
      </c>
      <c r="F193" t="s">
        <v>14</v>
      </c>
      <c r="G193">
        <v>11</v>
      </c>
      <c r="H193" t="s">
        <v>118</v>
      </c>
      <c r="I193">
        <v>0.5</v>
      </c>
      <c r="J193">
        <v>1</v>
      </c>
      <c r="K193" t="s">
        <v>112</v>
      </c>
      <c r="L193" t="s">
        <v>119</v>
      </c>
      <c r="M193" t="s">
        <v>120</v>
      </c>
      <c r="N193" t="s">
        <v>107</v>
      </c>
      <c r="O193" t="s">
        <v>97</v>
      </c>
    </row>
    <row r="194" spans="1:15" x14ac:dyDescent="0.2">
      <c r="A194">
        <v>100</v>
      </c>
      <c r="B194">
        <v>101</v>
      </c>
      <c r="C194">
        <v>100</v>
      </c>
      <c r="D194">
        <v>99</v>
      </c>
      <c r="E194" t="s">
        <v>5</v>
      </c>
      <c r="F194" t="s">
        <v>14</v>
      </c>
      <c r="G194">
        <v>12</v>
      </c>
      <c r="H194" t="s">
        <v>121</v>
      </c>
      <c r="I194">
        <v>0.5</v>
      </c>
      <c r="J194">
        <v>0.5</v>
      </c>
      <c r="K194" t="s">
        <v>122</v>
      </c>
      <c r="L194" t="s">
        <v>113</v>
      </c>
      <c r="M194" t="s">
        <v>123</v>
      </c>
      <c r="N194" t="s">
        <v>96</v>
      </c>
      <c r="O194" t="s">
        <v>97</v>
      </c>
    </row>
    <row r="195" spans="1:15" x14ac:dyDescent="0.2">
      <c r="A195">
        <v>100</v>
      </c>
      <c r="B195">
        <v>101</v>
      </c>
      <c r="C195">
        <v>100</v>
      </c>
      <c r="D195">
        <v>99</v>
      </c>
      <c r="E195" t="s">
        <v>5</v>
      </c>
      <c r="F195" t="s">
        <v>14</v>
      </c>
      <c r="G195">
        <v>13</v>
      </c>
      <c r="H195" t="s">
        <v>124</v>
      </c>
      <c r="I195">
        <v>0</v>
      </c>
      <c r="J195">
        <v>0.5</v>
      </c>
      <c r="K195" t="s">
        <v>122</v>
      </c>
      <c r="L195" t="s">
        <v>125</v>
      </c>
      <c r="M195" t="s">
        <v>126</v>
      </c>
      <c r="N195" t="s">
        <v>96</v>
      </c>
      <c r="O195" t="s">
        <v>97</v>
      </c>
    </row>
    <row r="196" spans="1:15" x14ac:dyDescent="0.2">
      <c r="A196">
        <v>100</v>
      </c>
      <c r="B196">
        <v>101</v>
      </c>
      <c r="C196">
        <v>100</v>
      </c>
      <c r="D196">
        <v>99</v>
      </c>
      <c r="E196" t="s">
        <v>5</v>
      </c>
      <c r="F196" t="s">
        <v>14</v>
      </c>
      <c r="G196">
        <v>14</v>
      </c>
      <c r="H196" t="s">
        <v>127</v>
      </c>
      <c r="I196">
        <v>1</v>
      </c>
      <c r="J196">
        <v>1</v>
      </c>
      <c r="K196" t="s">
        <v>122</v>
      </c>
      <c r="L196" t="s">
        <v>119</v>
      </c>
      <c r="M196" t="s">
        <v>128</v>
      </c>
      <c r="N196" t="s">
        <v>107</v>
      </c>
      <c r="O196" t="s">
        <v>97</v>
      </c>
    </row>
    <row r="197" spans="1:15" x14ac:dyDescent="0.2">
      <c r="A197">
        <v>100</v>
      </c>
      <c r="B197">
        <v>101</v>
      </c>
      <c r="C197">
        <v>100</v>
      </c>
      <c r="D197">
        <v>99</v>
      </c>
      <c r="E197" t="s">
        <v>5</v>
      </c>
      <c r="F197" t="s">
        <v>14</v>
      </c>
      <c r="G197">
        <v>15</v>
      </c>
      <c r="H197" t="s">
        <v>129</v>
      </c>
      <c r="I197">
        <v>0</v>
      </c>
      <c r="J197">
        <v>1</v>
      </c>
      <c r="K197" t="s">
        <v>130</v>
      </c>
      <c r="L197" t="s">
        <v>131</v>
      </c>
      <c r="M197" t="s">
        <v>132</v>
      </c>
      <c r="N197" t="s">
        <v>107</v>
      </c>
      <c r="O197" t="s">
        <v>97</v>
      </c>
    </row>
    <row r="198" spans="1:15" x14ac:dyDescent="0.2">
      <c r="A198">
        <v>100</v>
      </c>
      <c r="B198">
        <v>101</v>
      </c>
      <c r="C198">
        <v>100</v>
      </c>
      <c r="D198">
        <v>99</v>
      </c>
      <c r="E198" t="s">
        <v>5</v>
      </c>
      <c r="F198" t="s">
        <v>14</v>
      </c>
      <c r="G198">
        <v>16</v>
      </c>
      <c r="H198" t="s">
        <v>133</v>
      </c>
      <c r="I198">
        <v>0</v>
      </c>
      <c r="J198">
        <v>0</v>
      </c>
      <c r="K198" t="e">
        <v>#N/A</v>
      </c>
      <c r="L198" t="e">
        <v>#N/A</v>
      </c>
      <c r="M198" t="e">
        <v>#N/A</v>
      </c>
      <c r="N198" t="e">
        <v>#N/A</v>
      </c>
      <c r="O198" t="s">
        <v>97</v>
      </c>
    </row>
    <row r="199" spans="1:15" x14ac:dyDescent="0.2">
      <c r="A199">
        <v>100</v>
      </c>
      <c r="B199">
        <v>101</v>
      </c>
      <c r="C199">
        <v>100</v>
      </c>
      <c r="D199">
        <v>99</v>
      </c>
      <c r="E199" t="s">
        <v>5</v>
      </c>
      <c r="F199" t="s">
        <v>14</v>
      </c>
      <c r="G199">
        <v>17</v>
      </c>
      <c r="H199" t="s">
        <v>134</v>
      </c>
      <c r="I199">
        <v>1</v>
      </c>
      <c r="J199">
        <v>1</v>
      </c>
      <c r="K199" t="s">
        <v>112</v>
      </c>
      <c r="L199" t="s">
        <v>135</v>
      </c>
      <c r="M199" t="s">
        <v>136</v>
      </c>
      <c r="N199" t="s">
        <v>107</v>
      </c>
      <c r="O199" t="s">
        <v>97</v>
      </c>
    </row>
    <row r="200" spans="1:15" x14ac:dyDescent="0.2">
      <c r="A200">
        <v>100</v>
      </c>
      <c r="B200">
        <v>101</v>
      </c>
      <c r="C200">
        <v>100</v>
      </c>
      <c r="D200">
        <v>99</v>
      </c>
      <c r="E200" t="s">
        <v>5</v>
      </c>
      <c r="F200" t="s">
        <v>14</v>
      </c>
      <c r="G200">
        <v>18</v>
      </c>
      <c r="H200" t="s">
        <v>137</v>
      </c>
      <c r="I200">
        <v>1</v>
      </c>
      <c r="J200">
        <v>1</v>
      </c>
      <c r="K200" t="s">
        <v>112</v>
      </c>
      <c r="L200" t="s">
        <v>138</v>
      </c>
      <c r="M200" t="s">
        <v>139</v>
      </c>
      <c r="N200" t="s">
        <v>107</v>
      </c>
      <c r="O200" t="s">
        <v>97</v>
      </c>
    </row>
    <row r="201" spans="1:15" x14ac:dyDescent="0.2">
      <c r="A201">
        <v>100</v>
      </c>
      <c r="B201">
        <v>101</v>
      </c>
      <c r="C201">
        <v>100</v>
      </c>
      <c r="D201">
        <v>99</v>
      </c>
      <c r="E201" t="s">
        <v>5</v>
      </c>
      <c r="F201" t="s">
        <v>14</v>
      </c>
      <c r="G201">
        <v>19</v>
      </c>
      <c r="H201" t="s">
        <v>140</v>
      </c>
      <c r="I201">
        <v>0.5</v>
      </c>
      <c r="J201">
        <v>1</v>
      </c>
      <c r="K201" t="s">
        <v>122</v>
      </c>
      <c r="L201" t="s">
        <v>141</v>
      </c>
      <c r="M201" t="s">
        <v>142</v>
      </c>
      <c r="N201" t="s">
        <v>107</v>
      </c>
      <c r="O201" t="s">
        <v>97</v>
      </c>
    </row>
    <row r="202" spans="1:15" x14ac:dyDescent="0.2">
      <c r="A202">
        <v>100</v>
      </c>
      <c r="B202">
        <v>101</v>
      </c>
      <c r="C202">
        <v>100</v>
      </c>
      <c r="D202">
        <v>99</v>
      </c>
      <c r="E202" t="s">
        <v>5</v>
      </c>
      <c r="F202" t="s">
        <v>14</v>
      </c>
      <c r="G202">
        <v>20</v>
      </c>
      <c r="H202" t="s">
        <v>143</v>
      </c>
      <c r="I202">
        <v>1</v>
      </c>
      <c r="J202">
        <v>1</v>
      </c>
      <c r="K202" t="s">
        <v>122</v>
      </c>
      <c r="L202" t="s">
        <v>144</v>
      </c>
      <c r="M202" t="s">
        <v>145</v>
      </c>
      <c r="N202" t="s">
        <v>107</v>
      </c>
      <c r="O202" t="s">
        <v>97</v>
      </c>
    </row>
    <row r="203" spans="1:15" x14ac:dyDescent="0.2">
      <c r="A203">
        <v>100</v>
      </c>
      <c r="B203">
        <v>101</v>
      </c>
      <c r="C203">
        <v>100</v>
      </c>
      <c r="D203">
        <v>99</v>
      </c>
      <c r="E203" t="s">
        <v>5</v>
      </c>
      <c r="F203" t="s">
        <v>14</v>
      </c>
      <c r="G203">
        <v>21</v>
      </c>
      <c r="H203" t="s">
        <v>146</v>
      </c>
      <c r="I203">
        <v>1</v>
      </c>
      <c r="J203">
        <v>1</v>
      </c>
      <c r="K203" t="s">
        <v>147</v>
      </c>
      <c r="L203" t="s">
        <v>148</v>
      </c>
      <c r="M203" t="s">
        <v>149</v>
      </c>
      <c r="N203" t="s">
        <v>96</v>
      </c>
      <c r="O203" t="s">
        <v>97</v>
      </c>
    </row>
    <row r="204" spans="1:15" x14ac:dyDescent="0.2">
      <c r="A204">
        <v>100</v>
      </c>
      <c r="B204">
        <v>101</v>
      </c>
      <c r="C204">
        <v>100</v>
      </c>
      <c r="D204">
        <v>99</v>
      </c>
      <c r="E204" t="s">
        <v>5</v>
      </c>
      <c r="F204" t="s">
        <v>14</v>
      </c>
      <c r="G204">
        <v>22</v>
      </c>
      <c r="H204" t="s">
        <v>150</v>
      </c>
      <c r="I204">
        <v>0</v>
      </c>
      <c r="J204">
        <v>1</v>
      </c>
      <c r="K204" t="s">
        <v>147</v>
      </c>
      <c r="L204" t="s">
        <v>151</v>
      </c>
      <c r="M204" t="s">
        <v>149</v>
      </c>
      <c r="N204" t="s">
        <v>107</v>
      </c>
      <c r="O204" t="s">
        <v>97</v>
      </c>
    </row>
    <row r="205" spans="1:15" x14ac:dyDescent="0.2">
      <c r="A205">
        <v>100</v>
      </c>
      <c r="B205">
        <v>101</v>
      </c>
      <c r="C205">
        <v>100</v>
      </c>
      <c r="D205">
        <v>99</v>
      </c>
      <c r="E205" t="s">
        <v>5</v>
      </c>
      <c r="F205" t="s">
        <v>14</v>
      </c>
      <c r="G205">
        <v>23</v>
      </c>
      <c r="H205" t="s">
        <v>152</v>
      </c>
      <c r="I205">
        <v>0</v>
      </c>
      <c r="J205" t="s">
        <v>195</v>
      </c>
      <c r="K205" t="s">
        <v>153</v>
      </c>
      <c r="L205" t="s">
        <v>154</v>
      </c>
      <c r="M205" t="s">
        <v>155</v>
      </c>
      <c r="N205" t="s">
        <v>107</v>
      </c>
      <c r="O205" t="s">
        <v>97</v>
      </c>
    </row>
    <row r="206" spans="1:15" x14ac:dyDescent="0.2">
      <c r="A206">
        <v>100</v>
      </c>
      <c r="B206">
        <v>101</v>
      </c>
      <c r="C206">
        <v>100</v>
      </c>
      <c r="D206">
        <v>99</v>
      </c>
      <c r="E206" t="s">
        <v>5</v>
      </c>
      <c r="F206" t="s">
        <v>14</v>
      </c>
      <c r="G206">
        <v>24</v>
      </c>
      <c r="H206" t="s">
        <v>156</v>
      </c>
      <c r="I206">
        <v>0</v>
      </c>
      <c r="J206">
        <v>0</v>
      </c>
      <c r="K206" t="s">
        <v>122</v>
      </c>
      <c r="L206" t="s">
        <v>157</v>
      </c>
      <c r="M206" t="s">
        <v>158</v>
      </c>
      <c r="N206" t="s">
        <v>107</v>
      </c>
      <c r="O206" t="s">
        <v>97</v>
      </c>
    </row>
    <row r="207" spans="1:15" x14ac:dyDescent="0.2">
      <c r="A207">
        <v>100</v>
      </c>
      <c r="B207">
        <v>101</v>
      </c>
      <c r="C207">
        <v>100</v>
      </c>
      <c r="D207">
        <v>99</v>
      </c>
      <c r="E207" t="s">
        <v>5</v>
      </c>
      <c r="F207" t="s">
        <v>14</v>
      </c>
      <c r="G207">
        <v>25</v>
      </c>
      <c r="H207" t="s">
        <v>156</v>
      </c>
      <c r="I207">
        <v>0</v>
      </c>
      <c r="J207">
        <v>0</v>
      </c>
      <c r="K207" t="s">
        <v>122</v>
      </c>
      <c r="L207" t="s">
        <v>157</v>
      </c>
      <c r="M207" t="s">
        <v>158</v>
      </c>
      <c r="N207" t="s">
        <v>107</v>
      </c>
      <c r="O207" t="s">
        <v>97</v>
      </c>
    </row>
    <row r="208" spans="1:15" x14ac:dyDescent="0.2">
      <c r="A208">
        <v>100</v>
      </c>
      <c r="B208">
        <v>101</v>
      </c>
      <c r="C208">
        <v>100</v>
      </c>
      <c r="D208">
        <v>99</v>
      </c>
      <c r="E208" t="s">
        <v>5</v>
      </c>
      <c r="F208" t="s">
        <v>14</v>
      </c>
      <c r="G208">
        <v>26</v>
      </c>
      <c r="H208" t="s">
        <v>152</v>
      </c>
      <c r="I208">
        <v>0</v>
      </c>
      <c r="J208" t="s">
        <v>195</v>
      </c>
      <c r="K208" t="s">
        <v>153</v>
      </c>
      <c r="L208" t="s">
        <v>154</v>
      </c>
      <c r="M208" t="s">
        <v>155</v>
      </c>
      <c r="N208" t="s">
        <v>107</v>
      </c>
      <c r="O208" t="s">
        <v>97</v>
      </c>
    </row>
    <row r="209" spans="1:15" x14ac:dyDescent="0.2">
      <c r="A209">
        <v>100</v>
      </c>
      <c r="B209">
        <v>101</v>
      </c>
      <c r="C209">
        <v>100</v>
      </c>
      <c r="D209">
        <v>99</v>
      </c>
      <c r="E209" t="s">
        <v>5</v>
      </c>
      <c r="F209" t="s">
        <v>14</v>
      </c>
      <c r="G209">
        <v>27</v>
      </c>
      <c r="H209" t="s">
        <v>159</v>
      </c>
      <c r="I209">
        <v>0</v>
      </c>
      <c r="J209">
        <v>0</v>
      </c>
      <c r="K209" t="s">
        <v>122</v>
      </c>
      <c r="L209" t="s">
        <v>160</v>
      </c>
      <c r="M209" t="s">
        <v>161</v>
      </c>
      <c r="N209" t="s">
        <v>107</v>
      </c>
      <c r="O209" t="s">
        <v>97</v>
      </c>
    </row>
    <row r="210" spans="1:15" x14ac:dyDescent="0.2">
      <c r="A210">
        <v>100</v>
      </c>
      <c r="B210">
        <v>101</v>
      </c>
      <c r="C210">
        <v>100</v>
      </c>
      <c r="D210">
        <v>99</v>
      </c>
      <c r="E210" t="s">
        <v>5</v>
      </c>
      <c r="F210" t="s">
        <v>14</v>
      </c>
      <c r="G210">
        <v>28</v>
      </c>
      <c r="H210" t="s">
        <v>159</v>
      </c>
      <c r="I210">
        <v>0</v>
      </c>
      <c r="J210">
        <v>0</v>
      </c>
      <c r="K210" t="s">
        <v>122</v>
      </c>
      <c r="L210" t="s">
        <v>160</v>
      </c>
      <c r="M210" t="s">
        <v>161</v>
      </c>
      <c r="N210" t="s">
        <v>107</v>
      </c>
      <c r="O210" t="s">
        <v>97</v>
      </c>
    </row>
    <row r="211" spans="1:15" x14ac:dyDescent="0.2">
      <c r="A211">
        <v>100</v>
      </c>
      <c r="B211">
        <v>101</v>
      </c>
      <c r="C211">
        <v>100</v>
      </c>
      <c r="D211">
        <v>99</v>
      </c>
      <c r="E211" t="s">
        <v>5</v>
      </c>
      <c r="F211" t="s">
        <v>14</v>
      </c>
      <c r="G211">
        <v>29</v>
      </c>
      <c r="H211" t="s">
        <v>152</v>
      </c>
      <c r="I211">
        <v>0</v>
      </c>
      <c r="J211">
        <v>0</v>
      </c>
      <c r="K211" t="s">
        <v>153</v>
      </c>
      <c r="L211" t="s">
        <v>154</v>
      </c>
      <c r="M211" t="s">
        <v>155</v>
      </c>
      <c r="N211" t="s">
        <v>107</v>
      </c>
      <c r="O211" t="s">
        <v>97</v>
      </c>
    </row>
    <row r="212" spans="1:15" x14ac:dyDescent="0.2">
      <c r="A212">
        <v>100</v>
      </c>
      <c r="B212">
        <v>101</v>
      </c>
      <c r="C212">
        <v>100</v>
      </c>
      <c r="D212">
        <v>99</v>
      </c>
      <c r="E212" t="s">
        <v>5</v>
      </c>
      <c r="F212" t="s">
        <v>14</v>
      </c>
      <c r="G212">
        <v>30</v>
      </c>
      <c r="H212" t="s">
        <v>162</v>
      </c>
      <c r="I212">
        <v>0</v>
      </c>
      <c r="J212" t="s">
        <v>195</v>
      </c>
      <c r="K212" t="s">
        <v>112</v>
      </c>
      <c r="L212" t="s">
        <v>163</v>
      </c>
      <c r="M212" t="s">
        <v>164</v>
      </c>
      <c r="N212" t="s">
        <v>107</v>
      </c>
      <c r="O212" t="s">
        <v>97</v>
      </c>
    </row>
    <row r="213" spans="1:15" x14ac:dyDescent="0.2">
      <c r="A213">
        <v>100</v>
      </c>
      <c r="B213">
        <v>101</v>
      </c>
      <c r="C213">
        <v>100</v>
      </c>
      <c r="D213">
        <v>99</v>
      </c>
      <c r="E213" t="s">
        <v>5</v>
      </c>
      <c r="F213" t="s">
        <v>14</v>
      </c>
      <c r="G213">
        <v>31</v>
      </c>
      <c r="H213" t="s">
        <v>162</v>
      </c>
      <c r="I213">
        <v>0</v>
      </c>
      <c r="J213">
        <v>0</v>
      </c>
      <c r="K213" t="s">
        <v>112</v>
      </c>
      <c r="L213" t="s">
        <v>163</v>
      </c>
      <c r="M213" t="s">
        <v>164</v>
      </c>
      <c r="N213" t="s">
        <v>107</v>
      </c>
      <c r="O213" t="s">
        <v>97</v>
      </c>
    </row>
    <row r="214" spans="1:15" x14ac:dyDescent="0.2">
      <c r="A214">
        <v>100</v>
      </c>
      <c r="B214">
        <v>101</v>
      </c>
      <c r="C214">
        <v>100</v>
      </c>
      <c r="D214">
        <v>99</v>
      </c>
      <c r="E214" t="s">
        <v>5</v>
      </c>
      <c r="F214" t="s">
        <v>14</v>
      </c>
      <c r="G214">
        <v>32</v>
      </c>
      <c r="H214" t="s">
        <v>162</v>
      </c>
      <c r="I214">
        <v>0</v>
      </c>
      <c r="J214">
        <v>0</v>
      </c>
      <c r="K214" t="s">
        <v>112</v>
      </c>
      <c r="L214" t="s">
        <v>163</v>
      </c>
      <c r="M214" t="s">
        <v>164</v>
      </c>
      <c r="N214" t="s">
        <v>107</v>
      </c>
      <c r="O214" t="s">
        <v>97</v>
      </c>
    </row>
    <row r="215" spans="1:15" x14ac:dyDescent="0.2">
      <c r="A215">
        <v>100</v>
      </c>
      <c r="B215">
        <v>101</v>
      </c>
      <c r="C215">
        <v>100</v>
      </c>
      <c r="D215">
        <v>99</v>
      </c>
      <c r="E215" t="s">
        <v>5</v>
      </c>
      <c r="F215" t="s">
        <v>14</v>
      </c>
      <c r="G215">
        <v>33</v>
      </c>
      <c r="H215" t="s">
        <v>152</v>
      </c>
      <c r="I215">
        <v>0</v>
      </c>
      <c r="J215" t="s">
        <v>195</v>
      </c>
      <c r="K215" t="s">
        <v>153</v>
      </c>
      <c r="L215" t="s">
        <v>154</v>
      </c>
      <c r="M215" t="s">
        <v>155</v>
      </c>
      <c r="N215" t="s">
        <v>107</v>
      </c>
      <c r="O215" t="s">
        <v>97</v>
      </c>
    </row>
    <row r="216" spans="1:15" x14ac:dyDescent="0.2">
      <c r="A216">
        <v>100</v>
      </c>
      <c r="B216">
        <v>101</v>
      </c>
      <c r="C216">
        <v>100</v>
      </c>
      <c r="D216">
        <v>99</v>
      </c>
      <c r="E216" t="s">
        <v>5</v>
      </c>
      <c r="F216" t="s">
        <v>14</v>
      </c>
      <c r="G216">
        <v>34</v>
      </c>
      <c r="H216" t="s">
        <v>152</v>
      </c>
      <c r="I216">
        <v>0</v>
      </c>
      <c r="J216">
        <v>0</v>
      </c>
      <c r="K216" t="s">
        <v>153</v>
      </c>
      <c r="L216" t="s">
        <v>154</v>
      </c>
      <c r="M216" t="s">
        <v>155</v>
      </c>
      <c r="N216" t="s">
        <v>107</v>
      </c>
      <c r="O216" t="s">
        <v>97</v>
      </c>
    </row>
    <row r="217" spans="1:15" x14ac:dyDescent="0.2">
      <c r="A217">
        <v>100</v>
      </c>
      <c r="B217">
        <v>101</v>
      </c>
      <c r="C217">
        <v>100</v>
      </c>
      <c r="D217">
        <v>99</v>
      </c>
      <c r="E217" t="s">
        <v>5</v>
      </c>
      <c r="F217" t="s">
        <v>14</v>
      </c>
      <c r="G217">
        <v>35</v>
      </c>
      <c r="H217" t="s">
        <v>165</v>
      </c>
      <c r="I217">
        <v>0</v>
      </c>
      <c r="J217">
        <v>1</v>
      </c>
      <c r="K217" t="s">
        <v>166</v>
      </c>
      <c r="L217" t="s">
        <v>167</v>
      </c>
      <c r="M217" t="s">
        <v>168</v>
      </c>
      <c r="N217" t="s">
        <v>107</v>
      </c>
      <c r="O217" t="s">
        <v>97</v>
      </c>
    </row>
    <row r="218" spans="1:15" x14ac:dyDescent="0.2">
      <c r="A218">
        <v>100</v>
      </c>
      <c r="B218">
        <v>101</v>
      </c>
      <c r="C218">
        <v>100</v>
      </c>
      <c r="D218">
        <v>99</v>
      </c>
      <c r="E218" t="s">
        <v>5</v>
      </c>
      <c r="F218" t="s">
        <v>14</v>
      </c>
      <c r="G218">
        <v>36</v>
      </c>
      <c r="H218" t="s">
        <v>169</v>
      </c>
      <c r="I218">
        <v>0</v>
      </c>
      <c r="J218">
        <v>0</v>
      </c>
      <c r="K218" t="e">
        <v>#N/A</v>
      </c>
      <c r="L218" t="e">
        <v>#N/A</v>
      </c>
      <c r="M218" t="e">
        <v>#N/A</v>
      </c>
      <c r="N218" t="e">
        <v>#N/A</v>
      </c>
      <c r="O218" t="s">
        <v>97</v>
      </c>
    </row>
    <row r="219" spans="1:15" x14ac:dyDescent="0.2">
      <c r="A219">
        <v>100</v>
      </c>
      <c r="B219">
        <v>101</v>
      </c>
      <c r="C219">
        <v>100</v>
      </c>
      <c r="D219">
        <v>99</v>
      </c>
      <c r="E219" t="s">
        <v>5</v>
      </c>
      <c r="F219" t="s">
        <v>14</v>
      </c>
      <c r="G219">
        <v>38</v>
      </c>
      <c r="H219" t="s">
        <v>170</v>
      </c>
      <c r="I219">
        <v>0</v>
      </c>
      <c r="J219">
        <v>0.5</v>
      </c>
      <c r="K219" t="s">
        <v>112</v>
      </c>
      <c r="L219" t="s">
        <v>171</v>
      </c>
      <c r="M219" t="s">
        <v>172</v>
      </c>
      <c r="N219" t="s">
        <v>96</v>
      </c>
      <c r="O219" t="s">
        <v>97</v>
      </c>
    </row>
    <row r="220" spans="1:15" x14ac:dyDescent="0.2">
      <c r="A220">
        <v>100</v>
      </c>
      <c r="B220">
        <v>101</v>
      </c>
      <c r="C220">
        <v>100</v>
      </c>
      <c r="D220">
        <v>99</v>
      </c>
      <c r="E220" t="s">
        <v>5</v>
      </c>
      <c r="F220" t="s">
        <v>14</v>
      </c>
      <c r="G220">
        <v>39</v>
      </c>
      <c r="H220" t="s">
        <v>170</v>
      </c>
      <c r="I220">
        <v>0</v>
      </c>
      <c r="J220">
        <v>0.5</v>
      </c>
      <c r="K220" t="s">
        <v>112</v>
      </c>
      <c r="L220" t="s">
        <v>171</v>
      </c>
      <c r="M220" t="s">
        <v>172</v>
      </c>
      <c r="N220" t="s">
        <v>96</v>
      </c>
      <c r="O220" t="s">
        <v>97</v>
      </c>
    </row>
    <row r="221" spans="1:15" x14ac:dyDescent="0.2">
      <c r="A221">
        <v>100</v>
      </c>
      <c r="B221">
        <v>101</v>
      </c>
      <c r="C221">
        <v>100</v>
      </c>
      <c r="D221">
        <v>99</v>
      </c>
      <c r="E221" t="s">
        <v>5</v>
      </c>
      <c r="F221" t="s">
        <v>14</v>
      </c>
      <c r="G221">
        <v>40</v>
      </c>
      <c r="H221" t="s">
        <v>170</v>
      </c>
      <c r="I221">
        <v>0</v>
      </c>
      <c r="J221">
        <v>0.5</v>
      </c>
      <c r="K221" t="s">
        <v>112</v>
      </c>
      <c r="L221" t="s">
        <v>171</v>
      </c>
      <c r="M221" t="s">
        <v>172</v>
      </c>
      <c r="N221" t="s">
        <v>96</v>
      </c>
      <c r="O221" t="s">
        <v>97</v>
      </c>
    </row>
    <row r="222" spans="1:15" x14ac:dyDescent="0.2">
      <c r="A222">
        <v>100</v>
      </c>
      <c r="B222">
        <v>101</v>
      </c>
      <c r="C222">
        <v>100</v>
      </c>
      <c r="D222">
        <v>99</v>
      </c>
      <c r="E222" t="s">
        <v>5</v>
      </c>
      <c r="F222" t="s">
        <v>14</v>
      </c>
      <c r="G222">
        <v>41</v>
      </c>
      <c r="H222" t="s">
        <v>173</v>
      </c>
      <c r="I222">
        <v>0</v>
      </c>
      <c r="J222">
        <v>1</v>
      </c>
      <c r="K222" t="s">
        <v>166</v>
      </c>
      <c r="L222" t="s">
        <v>174</v>
      </c>
      <c r="M222" t="s">
        <v>175</v>
      </c>
      <c r="N222" t="s">
        <v>107</v>
      </c>
      <c r="O222" t="s">
        <v>97</v>
      </c>
    </row>
    <row r="223" spans="1:15" x14ac:dyDescent="0.2">
      <c r="A223">
        <v>100</v>
      </c>
      <c r="B223">
        <v>101</v>
      </c>
      <c r="C223">
        <v>100</v>
      </c>
      <c r="D223">
        <v>99</v>
      </c>
      <c r="E223" t="s">
        <v>5</v>
      </c>
      <c r="F223" t="s">
        <v>14</v>
      </c>
      <c r="G223">
        <v>42</v>
      </c>
      <c r="H223" t="s">
        <v>176</v>
      </c>
      <c r="I223">
        <v>0</v>
      </c>
      <c r="J223" t="s">
        <v>198</v>
      </c>
      <c r="K223" t="s">
        <v>153</v>
      </c>
      <c r="L223" t="s">
        <v>177</v>
      </c>
      <c r="M223" t="s">
        <v>178</v>
      </c>
      <c r="N223" t="s">
        <v>107</v>
      </c>
      <c r="O223" t="s">
        <v>97</v>
      </c>
    </row>
    <row r="224" spans="1:15" x14ac:dyDescent="0.2">
      <c r="A224">
        <v>100</v>
      </c>
      <c r="B224">
        <v>101</v>
      </c>
      <c r="C224">
        <v>100</v>
      </c>
      <c r="D224">
        <v>99</v>
      </c>
      <c r="E224" t="s">
        <v>5</v>
      </c>
      <c r="F224" t="s">
        <v>14</v>
      </c>
      <c r="G224">
        <v>43</v>
      </c>
      <c r="H224" t="s">
        <v>179</v>
      </c>
      <c r="I224">
        <v>0</v>
      </c>
      <c r="J224">
        <v>0</v>
      </c>
      <c r="K224" t="s">
        <v>166</v>
      </c>
      <c r="L224" t="s">
        <v>180</v>
      </c>
      <c r="M224" t="s">
        <v>181</v>
      </c>
      <c r="N224" t="s">
        <v>107</v>
      </c>
      <c r="O224" t="s">
        <v>97</v>
      </c>
    </row>
    <row r="225" spans="1:15" x14ac:dyDescent="0.2">
      <c r="A225">
        <v>100</v>
      </c>
      <c r="B225">
        <v>101</v>
      </c>
      <c r="C225">
        <v>100</v>
      </c>
      <c r="D225">
        <v>99</v>
      </c>
      <c r="E225" t="s">
        <v>5</v>
      </c>
      <c r="F225" t="s">
        <v>14</v>
      </c>
      <c r="G225">
        <v>44</v>
      </c>
      <c r="H225" t="s">
        <v>182</v>
      </c>
      <c r="I225">
        <v>0</v>
      </c>
      <c r="J225">
        <v>1</v>
      </c>
      <c r="K225" t="s">
        <v>166</v>
      </c>
      <c r="L225" t="s">
        <v>183</v>
      </c>
      <c r="M225" t="s">
        <v>184</v>
      </c>
      <c r="N225" t="s">
        <v>107</v>
      </c>
      <c r="O225" t="s">
        <v>97</v>
      </c>
    </row>
    <row r="226" spans="1:15" x14ac:dyDescent="0.2">
      <c r="A226">
        <v>100</v>
      </c>
      <c r="B226">
        <v>101</v>
      </c>
      <c r="C226">
        <v>100</v>
      </c>
      <c r="D226">
        <v>99</v>
      </c>
      <c r="E226" t="s">
        <v>5</v>
      </c>
      <c r="F226" t="s">
        <v>14</v>
      </c>
      <c r="G226">
        <v>45</v>
      </c>
      <c r="H226" t="s">
        <v>185</v>
      </c>
      <c r="I226">
        <v>1</v>
      </c>
      <c r="J226">
        <v>1</v>
      </c>
      <c r="K226" t="s">
        <v>166</v>
      </c>
      <c r="L226" t="s">
        <v>186</v>
      </c>
      <c r="M226" t="s">
        <v>139</v>
      </c>
      <c r="N226" t="s">
        <v>107</v>
      </c>
      <c r="O226" t="s">
        <v>97</v>
      </c>
    </row>
    <row r="227" spans="1:15" x14ac:dyDescent="0.2">
      <c r="A227">
        <v>100</v>
      </c>
      <c r="B227">
        <v>101</v>
      </c>
      <c r="C227">
        <v>100</v>
      </c>
      <c r="D227">
        <v>99</v>
      </c>
      <c r="E227" t="s">
        <v>5</v>
      </c>
      <c r="F227" t="s">
        <v>14</v>
      </c>
      <c r="G227">
        <v>47</v>
      </c>
      <c r="H227" t="s">
        <v>187</v>
      </c>
      <c r="I227">
        <v>0</v>
      </c>
      <c r="J227">
        <v>0.2</v>
      </c>
      <c r="K227" t="s">
        <v>93</v>
      </c>
      <c r="L227" t="s">
        <v>188</v>
      </c>
      <c r="M227" t="s">
        <v>95</v>
      </c>
      <c r="N227" t="s">
        <v>96</v>
      </c>
      <c r="O227" t="s">
        <v>97</v>
      </c>
    </row>
    <row r="228" spans="1:15" x14ac:dyDescent="0.2">
      <c r="A228">
        <v>100</v>
      </c>
      <c r="B228">
        <v>101</v>
      </c>
      <c r="C228">
        <v>100</v>
      </c>
      <c r="D228">
        <v>99</v>
      </c>
      <c r="E228" t="s">
        <v>5</v>
      </c>
      <c r="F228" t="s">
        <v>14</v>
      </c>
      <c r="G228">
        <v>48</v>
      </c>
      <c r="H228" t="s">
        <v>189</v>
      </c>
      <c r="I228">
        <v>0.2</v>
      </c>
      <c r="J228">
        <v>0.2</v>
      </c>
      <c r="K228" t="s">
        <v>93</v>
      </c>
      <c r="L228" t="s">
        <v>190</v>
      </c>
      <c r="M228" t="s">
        <v>95</v>
      </c>
      <c r="N228" t="s">
        <v>96</v>
      </c>
      <c r="O228" t="s">
        <v>97</v>
      </c>
    </row>
    <row r="229" spans="1:15" x14ac:dyDescent="0.2">
      <c r="A229">
        <v>100</v>
      </c>
      <c r="B229">
        <v>101</v>
      </c>
      <c r="C229">
        <v>100</v>
      </c>
      <c r="D229">
        <v>99</v>
      </c>
      <c r="E229" t="s">
        <v>5</v>
      </c>
      <c r="F229" t="s">
        <v>14</v>
      </c>
      <c r="G229">
        <v>49</v>
      </c>
      <c r="H229" t="s">
        <v>191</v>
      </c>
      <c r="I229">
        <v>0</v>
      </c>
      <c r="J229">
        <v>0.2</v>
      </c>
      <c r="K229" t="s">
        <v>93</v>
      </c>
      <c r="L229" t="s">
        <v>192</v>
      </c>
      <c r="M229" t="s">
        <v>95</v>
      </c>
      <c r="N229" t="s">
        <v>96</v>
      </c>
      <c r="O229" t="s">
        <v>97</v>
      </c>
    </row>
    <row r="230" spans="1:15" x14ac:dyDescent="0.2">
      <c r="A230">
        <v>100</v>
      </c>
      <c r="B230">
        <v>101</v>
      </c>
      <c r="C230">
        <v>100</v>
      </c>
      <c r="D230">
        <v>99</v>
      </c>
      <c r="E230" t="s">
        <v>5</v>
      </c>
      <c r="F230" t="s">
        <v>14</v>
      </c>
      <c r="G230">
        <v>50</v>
      </c>
      <c r="H230" t="s">
        <v>193</v>
      </c>
      <c r="I230">
        <v>0.1</v>
      </c>
      <c r="J230">
        <v>0.1</v>
      </c>
      <c r="K230" t="s">
        <v>93</v>
      </c>
      <c r="L230" t="s">
        <v>194</v>
      </c>
      <c r="M230" t="s">
        <v>95</v>
      </c>
      <c r="N230" t="s">
        <v>96</v>
      </c>
      <c r="O230" t="s">
        <v>97</v>
      </c>
    </row>
    <row r="231" spans="1:15" x14ac:dyDescent="0.2">
      <c r="A231">
        <v>100</v>
      </c>
      <c r="B231">
        <v>101</v>
      </c>
      <c r="C231">
        <v>100</v>
      </c>
      <c r="D231">
        <v>99</v>
      </c>
      <c r="E231" t="s">
        <v>5</v>
      </c>
      <c r="F231" t="s">
        <v>14</v>
      </c>
      <c r="G231">
        <v>51</v>
      </c>
      <c r="H231" t="s">
        <v>193</v>
      </c>
      <c r="I231">
        <v>0.1</v>
      </c>
      <c r="J231">
        <v>0.1</v>
      </c>
      <c r="K231" t="s">
        <v>93</v>
      </c>
      <c r="L231" t="s">
        <v>194</v>
      </c>
      <c r="M231" t="s">
        <v>95</v>
      </c>
      <c r="N231" t="s">
        <v>96</v>
      </c>
      <c r="O231" t="s">
        <v>97</v>
      </c>
    </row>
    <row r="232" spans="1:15" x14ac:dyDescent="0.2">
      <c r="A232">
        <v>105</v>
      </c>
      <c r="B232">
        <v>106</v>
      </c>
      <c r="C232">
        <v>105</v>
      </c>
      <c r="D232">
        <v>104</v>
      </c>
      <c r="E232" t="s">
        <v>5</v>
      </c>
      <c r="F232" t="s">
        <v>15</v>
      </c>
      <c r="G232">
        <v>1</v>
      </c>
      <c r="H232" t="s">
        <v>92</v>
      </c>
      <c r="I232">
        <v>0.2</v>
      </c>
      <c r="J232">
        <v>0.2</v>
      </c>
      <c r="K232" t="s">
        <v>93</v>
      </c>
      <c r="L232" t="s">
        <v>94</v>
      </c>
      <c r="M232" t="s">
        <v>95</v>
      </c>
      <c r="N232" t="s">
        <v>96</v>
      </c>
      <c r="O232" t="s">
        <v>97</v>
      </c>
    </row>
    <row r="233" spans="1:15" x14ac:dyDescent="0.2">
      <c r="A233">
        <v>105</v>
      </c>
      <c r="B233">
        <v>106</v>
      </c>
      <c r="C233">
        <v>105</v>
      </c>
      <c r="D233">
        <v>104</v>
      </c>
      <c r="E233" t="s">
        <v>5</v>
      </c>
      <c r="F233" t="s">
        <v>15</v>
      </c>
      <c r="G233">
        <v>2</v>
      </c>
      <c r="H233" t="s">
        <v>98</v>
      </c>
      <c r="I233">
        <v>0.25</v>
      </c>
      <c r="J233">
        <v>0.5</v>
      </c>
      <c r="K233" t="s">
        <v>93</v>
      </c>
      <c r="L233" t="s">
        <v>99</v>
      </c>
      <c r="M233" t="s">
        <v>95</v>
      </c>
      <c r="N233" t="s">
        <v>96</v>
      </c>
      <c r="O233" t="s">
        <v>97</v>
      </c>
    </row>
    <row r="234" spans="1:15" x14ac:dyDescent="0.2">
      <c r="A234">
        <v>105</v>
      </c>
      <c r="B234">
        <v>106</v>
      </c>
      <c r="C234">
        <v>105</v>
      </c>
      <c r="D234">
        <v>104</v>
      </c>
      <c r="E234" t="s">
        <v>5</v>
      </c>
      <c r="F234" t="s">
        <v>15</v>
      </c>
      <c r="G234">
        <v>3</v>
      </c>
      <c r="H234" t="s">
        <v>100</v>
      </c>
      <c r="I234">
        <v>1</v>
      </c>
      <c r="J234">
        <v>1</v>
      </c>
      <c r="K234" t="s">
        <v>101</v>
      </c>
      <c r="L234" t="s">
        <v>102</v>
      </c>
      <c r="M234" t="s">
        <v>103</v>
      </c>
      <c r="N234" t="s">
        <v>96</v>
      </c>
      <c r="O234" t="s">
        <v>97</v>
      </c>
    </row>
    <row r="235" spans="1:15" x14ac:dyDescent="0.2">
      <c r="A235">
        <v>105</v>
      </c>
      <c r="B235">
        <v>106</v>
      </c>
      <c r="C235">
        <v>105</v>
      </c>
      <c r="D235">
        <v>104</v>
      </c>
      <c r="E235" t="s">
        <v>5</v>
      </c>
      <c r="F235" t="s">
        <v>15</v>
      </c>
      <c r="G235">
        <v>4</v>
      </c>
      <c r="H235" t="s">
        <v>104</v>
      </c>
      <c r="I235">
        <v>0</v>
      </c>
      <c r="J235">
        <v>1</v>
      </c>
      <c r="K235" t="s">
        <v>101</v>
      </c>
      <c r="L235" t="s">
        <v>105</v>
      </c>
      <c r="M235" t="s">
        <v>106</v>
      </c>
      <c r="N235" t="s">
        <v>107</v>
      </c>
      <c r="O235" t="s">
        <v>97</v>
      </c>
    </row>
    <row r="236" spans="1:15" x14ac:dyDescent="0.2">
      <c r="A236">
        <v>105</v>
      </c>
      <c r="B236">
        <v>106</v>
      </c>
      <c r="C236">
        <v>105</v>
      </c>
      <c r="D236">
        <v>104</v>
      </c>
      <c r="E236" t="s">
        <v>5</v>
      </c>
      <c r="F236" t="s">
        <v>15</v>
      </c>
      <c r="G236">
        <v>5</v>
      </c>
      <c r="H236" t="s">
        <v>108</v>
      </c>
      <c r="I236">
        <v>0</v>
      </c>
      <c r="J236">
        <v>1</v>
      </c>
      <c r="K236" t="s">
        <v>101</v>
      </c>
      <c r="L236" t="s">
        <v>109</v>
      </c>
      <c r="M236" t="s">
        <v>110</v>
      </c>
      <c r="N236" t="s">
        <v>107</v>
      </c>
      <c r="O236" t="s">
        <v>97</v>
      </c>
    </row>
    <row r="237" spans="1:15" x14ac:dyDescent="0.2">
      <c r="A237">
        <v>105</v>
      </c>
      <c r="B237">
        <v>106</v>
      </c>
      <c r="C237">
        <v>105</v>
      </c>
      <c r="D237">
        <v>104</v>
      </c>
      <c r="E237" t="s">
        <v>5</v>
      </c>
      <c r="F237" t="s">
        <v>15</v>
      </c>
      <c r="G237">
        <v>9</v>
      </c>
      <c r="H237" t="s">
        <v>111</v>
      </c>
      <c r="I237">
        <v>0.25</v>
      </c>
      <c r="J237">
        <v>0.5</v>
      </c>
      <c r="K237" t="s">
        <v>112</v>
      </c>
      <c r="L237" t="s">
        <v>113</v>
      </c>
      <c r="M237" t="s">
        <v>114</v>
      </c>
      <c r="N237" t="s">
        <v>96</v>
      </c>
      <c r="O237" t="s">
        <v>97</v>
      </c>
    </row>
    <row r="238" spans="1:15" x14ac:dyDescent="0.2">
      <c r="A238">
        <v>105</v>
      </c>
      <c r="B238">
        <v>106</v>
      </c>
      <c r="C238">
        <v>105</v>
      </c>
      <c r="D238">
        <v>104</v>
      </c>
      <c r="E238" t="s">
        <v>5</v>
      </c>
      <c r="F238" t="s">
        <v>15</v>
      </c>
      <c r="G238">
        <v>10</v>
      </c>
      <c r="H238" t="s">
        <v>115</v>
      </c>
      <c r="I238">
        <v>0</v>
      </c>
      <c r="J238">
        <v>0.5</v>
      </c>
      <c r="K238" t="s">
        <v>112</v>
      </c>
      <c r="L238" t="s">
        <v>116</v>
      </c>
      <c r="M238" t="s">
        <v>117</v>
      </c>
      <c r="N238" t="s">
        <v>96</v>
      </c>
      <c r="O238" t="s">
        <v>97</v>
      </c>
    </row>
    <row r="239" spans="1:15" x14ac:dyDescent="0.2">
      <c r="A239">
        <v>105</v>
      </c>
      <c r="B239">
        <v>106</v>
      </c>
      <c r="C239">
        <v>105</v>
      </c>
      <c r="D239">
        <v>104</v>
      </c>
      <c r="E239" t="s">
        <v>5</v>
      </c>
      <c r="F239" t="s">
        <v>15</v>
      </c>
      <c r="G239">
        <v>11</v>
      </c>
      <c r="H239" t="s">
        <v>118</v>
      </c>
      <c r="I239">
        <v>0.5</v>
      </c>
      <c r="J239">
        <v>1</v>
      </c>
      <c r="K239" t="s">
        <v>112</v>
      </c>
      <c r="L239" t="s">
        <v>119</v>
      </c>
      <c r="M239" t="s">
        <v>120</v>
      </c>
      <c r="N239" t="s">
        <v>107</v>
      </c>
      <c r="O239" t="s">
        <v>97</v>
      </c>
    </row>
    <row r="240" spans="1:15" x14ac:dyDescent="0.2">
      <c r="A240">
        <v>105</v>
      </c>
      <c r="B240">
        <v>106</v>
      </c>
      <c r="C240">
        <v>105</v>
      </c>
      <c r="D240">
        <v>104</v>
      </c>
      <c r="E240" t="s">
        <v>5</v>
      </c>
      <c r="F240" t="s">
        <v>15</v>
      </c>
      <c r="G240">
        <v>12</v>
      </c>
      <c r="H240" t="s">
        <v>121</v>
      </c>
      <c r="I240">
        <v>0</v>
      </c>
      <c r="J240">
        <v>0.5</v>
      </c>
      <c r="K240" t="s">
        <v>122</v>
      </c>
      <c r="L240" t="s">
        <v>113</v>
      </c>
      <c r="M240" t="s">
        <v>123</v>
      </c>
      <c r="N240" t="s">
        <v>96</v>
      </c>
      <c r="O240" t="s">
        <v>97</v>
      </c>
    </row>
    <row r="241" spans="1:15" x14ac:dyDescent="0.2">
      <c r="A241">
        <v>105</v>
      </c>
      <c r="B241">
        <v>106</v>
      </c>
      <c r="C241">
        <v>105</v>
      </c>
      <c r="D241">
        <v>104</v>
      </c>
      <c r="E241" t="s">
        <v>5</v>
      </c>
      <c r="F241" t="s">
        <v>15</v>
      </c>
      <c r="G241">
        <v>13</v>
      </c>
      <c r="H241" t="s">
        <v>124</v>
      </c>
      <c r="I241">
        <v>0</v>
      </c>
      <c r="J241">
        <v>0.5</v>
      </c>
      <c r="K241" t="s">
        <v>122</v>
      </c>
      <c r="L241" t="s">
        <v>125</v>
      </c>
      <c r="M241" t="s">
        <v>126</v>
      </c>
      <c r="N241" t="s">
        <v>96</v>
      </c>
      <c r="O241" t="s">
        <v>97</v>
      </c>
    </row>
    <row r="242" spans="1:15" x14ac:dyDescent="0.2">
      <c r="A242">
        <v>105</v>
      </c>
      <c r="B242">
        <v>106</v>
      </c>
      <c r="C242">
        <v>105</v>
      </c>
      <c r="D242">
        <v>104</v>
      </c>
      <c r="E242" t="s">
        <v>5</v>
      </c>
      <c r="F242" t="s">
        <v>15</v>
      </c>
      <c r="G242">
        <v>14</v>
      </c>
      <c r="H242" t="s">
        <v>127</v>
      </c>
      <c r="I242">
        <v>0.5</v>
      </c>
      <c r="J242">
        <v>1</v>
      </c>
      <c r="K242" t="s">
        <v>122</v>
      </c>
      <c r="L242" t="s">
        <v>119</v>
      </c>
      <c r="M242" t="s">
        <v>128</v>
      </c>
      <c r="N242" t="s">
        <v>107</v>
      </c>
      <c r="O242" t="s">
        <v>97</v>
      </c>
    </row>
    <row r="243" spans="1:15" x14ac:dyDescent="0.2">
      <c r="A243">
        <v>105</v>
      </c>
      <c r="B243">
        <v>106</v>
      </c>
      <c r="C243">
        <v>105</v>
      </c>
      <c r="D243">
        <v>104</v>
      </c>
      <c r="E243" t="s">
        <v>5</v>
      </c>
      <c r="F243" t="s">
        <v>15</v>
      </c>
      <c r="G243">
        <v>15</v>
      </c>
      <c r="H243" t="s">
        <v>129</v>
      </c>
      <c r="I243">
        <v>0</v>
      </c>
      <c r="J243">
        <v>1</v>
      </c>
      <c r="K243" t="s">
        <v>130</v>
      </c>
      <c r="L243" t="s">
        <v>131</v>
      </c>
      <c r="M243" t="s">
        <v>132</v>
      </c>
      <c r="N243" t="s">
        <v>107</v>
      </c>
      <c r="O243" t="s">
        <v>97</v>
      </c>
    </row>
    <row r="244" spans="1:15" x14ac:dyDescent="0.2">
      <c r="A244">
        <v>105</v>
      </c>
      <c r="B244">
        <v>106</v>
      </c>
      <c r="C244">
        <v>105</v>
      </c>
      <c r="D244">
        <v>104</v>
      </c>
      <c r="E244" t="s">
        <v>5</v>
      </c>
      <c r="F244" t="s">
        <v>15</v>
      </c>
      <c r="G244">
        <v>16</v>
      </c>
      <c r="H244" t="s">
        <v>133</v>
      </c>
      <c r="I244">
        <v>0</v>
      </c>
      <c r="J244">
        <v>0</v>
      </c>
      <c r="K244" t="e">
        <v>#N/A</v>
      </c>
      <c r="L244" t="e">
        <v>#N/A</v>
      </c>
      <c r="M244" t="e">
        <v>#N/A</v>
      </c>
      <c r="N244" t="e">
        <v>#N/A</v>
      </c>
      <c r="O244" t="s">
        <v>97</v>
      </c>
    </row>
    <row r="245" spans="1:15" x14ac:dyDescent="0.2">
      <c r="A245">
        <v>105</v>
      </c>
      <c r="B245">
        <v>106</v>
      </c>
      <c r="C245">
        <v>105</v>
      </c>
      <c r="D245">
        <v>104</v>
      </c>
      <c r="E245" t="s">
        <v>5</v>
      </c>
      <c r="F245" t="s">
        <v>15</v>
      </c>
      <c r="G245">
        <v>17</v>
      </c>
      <c r="H245" t="s">
        <v>134</v>
      </c>
      <c r="I245">
        <v>0.5</v>
      </c>
      <c r="J245">
        <v>1</v>
      </c>
      <c r="K245" t="s">
        <v>112</v>
      </c>
      <c r="L245" t="s">
        <v>135</v>
      </c>
      <c r="M245" t="s">
        <v>136</v>
      </c>
      <c r="N245" t="s">
        <v>107</v>
      </c>
      <c r="O245" t="s">
        <v>97</v>
      </c>
    </row>
    <row r="246" spans="1:15" x14ac:dyDescent="0.2">
      <c r="A246">
        <v>105</v>
      </c>
      <c r="B246">
        <v>106</v>
      </c>
      <c r="C246">
        <v>105</v>
      </c>
      <c r="D246">
        <v>104</v>
      </c>
      <c r="E246" t="s">
        <v>5</v>
      </c>
      <c r="F246" t="s">
        <v>15</v>
      </c>
      <c r="G246">
        <v>18</v>
      </c>
      <c r="H246" t="s">
        <v>137</v>
      </c>
      <c r="I246">
        <v>1</v>
      </c>
      <c r="J246">
        <v>1</v>
      </c>
      <c r="K246" t="s">
        <v>112</v>
      </c>
      <c r="L246" t="s">
        <v>138</v>
      </c>
      <c r="M246" t="s">
        <v>139</v>
      </c>
      <c r="N246" t="s">
        <v>107</v>
      </c>
      <c r="O246" t="s">
        <v>97</v>
      </c>
    </row>
    <row r="247" spans="1:15" x14ac:dyDescent="0.2">
      <c r="A247">
        <v>105</v>
      </c>
      <c r="B247">
        <v>106</v>
      </c>
      <c r="C247">
        <v>105</v>
      </c>
      <c r="D247">
        <v>104</v>
      </c>
      <c r="E247" t="s">
        <v>5</v>
      </c>
      <c r="F247" t="s">
        <v>15</v>
      </c>
      <c r="G247">
        <v>19</v>
      </c>
      <c r="H247" t="s">
        <v>140</v>
      </c>
      <c r="I247">
        <v>0.5</v>
      </c>
      <c r="J247">
        <v>1</v>
      </c>
      <c r="K247" t="s">
        <v>122</v>
      </c>
      <c r="L247" t="s">
        <v>141</v>
      </c>
      <c r="M247" t="s">
        <v>142</v>
      </c>
      <c r="N247" t="s">
        <v>107</v>
      </c>
      <c r="O247" t="s">
        <v>97</v>
      </c>
    </row>
    <row r="248" spans="1:15" x14ac:dyDescent="0.2">
      <c r="A248">
        <v>105</v>
      </c>
      <c r="B248">
        <v>106</v>
      </c>
      <c r="C248">
        <v>105</v>
      </c>
      <c r="D248">
        <v>104</v>
      </c>
      <c r="E248" t="s">
        <v>5</v>
      </c>
      <c r="F248" t="s">
        <v>15</v>
      </c>
      <c r="G248">
        <v>20</v>
      </c>
      <c r="H248" t="s">
        <v>143</v>
      </c>
      <c r="I248">
        <v>1</v>
      </c>
      <c r="J248">
        <v>1</v>
      </c>
      <c r="K248" t="s">
        <v>122</v>
      </c>
      <c r="L248" t="s">
        <v>144</v>
      </c>
      <c r="M248" t="s">
        <v>145</v>
      </c>
      <c r="N248" t="s">
        <v>107</v>
      </c>
      <c r="O248" t="s">
        <v>97</v>
      </c>
    </row>
    <row r="249" spans="1:15" x14ac:dyDescent="0.2">
      <c r="A249">
        <v>105</v>
      </c>
      <c r="B249">
        <v>106</v>
      </c>
      <c r="C249">
        <v>105</v>
      </c>
      <c r="D249">
        <v>104</v>
      </c>
      <c r="E249" t="s">
        <v>5</v>
      </c>
      <c r="F249" t="s">
        <v>15</v>
      </c>
      <c r="G249">
        <v>21</v>
      </c>
      <c r="H249" t="s">
        <v>146</v>
      </c>
      <c r="I249">
        <v>1</v>
      </c>
      <c r="J249">
        <v>1</v>
      </c>
      <c r="K249" t="s">
        <v>147</v>
      </c>
      <c r="L249" t="s">
        <v>148</v>
      </c>
      <c r="M249" t="s">
        <v>149</v>
      </c>
      <c r="N249" t="s">
        <v>96</v>
      </c>
      <c r="O249" t="s">
        <v>97</v>
      </c>
    </row>
    <row r="250" spans="1:15" x14ac:dyDescent="0.2">
      <c r="A250">
        <v>105</v>
      </c>
      <c r="B250">
        <v>106</v>
      </c>
      <c r="C250">
        <v>105</v>
      </c>
      <c r="D250">
        <v>104</v>
      </c>
      <c r="E250" t="s">
        <v>5</v>
      </c>
      <c r="F250" t="s">
        <v>15</v>
      </c>
      <c r="G250">
        <v>22</v>
      </c>
      <c r="H250" t="s">
        <v>150</v>
      </c>
      <c r="I250">
        <v>0</v>
      </c>
      <c r="J250">
        <v>1</v>
      </c>
      <c r="K250" t="s">
        <v>147</v>
      </c>
      <c r="L250" t="s">
        <v>151</v>
      </c>
      <c r="M250" t="s">
        <v>149</v>
      </c>
      <c r="N250" t="s">
        <v>107</v>
      </c>
      <c r="O250" t="s">
        <v>97</v>
      </c>
    </row>
    <row r="251" spans="1:15" x14ac:dyDescent="0.2">
      <c r="A251">
        <v>105</v>
      </c>
      <c r="B251">
        <v>106</v>
      </c>
      <c r="C251">
        <v>105</v>
      </c>
      <c r="D251">
        <v>104</v>
      </c>
      <c r="E251" t="s">
        <v>5</v>
      </c>
      <c r="F251" t="s">
        <v>15</v>
      </c>
      <c r="G251">
        <v>23</v>
      </c>
      <c r="H251" t="s">
        <v>152</v>
      </c>
      <c r="I251">
        <v>0</v>
      </c>
      <c r="J251">
        <v>0</v>
      </c>
      <c r="K251" t="s">
        <v>153</v>
      </c>
      <c r="L251" t="s">
        <v>154</v>
      </c>
      <c r="M251" t="s">
        <v>155</v>
      </c>
      <c r="N251" t="s">
        <v>107</v>
      </c>
      <c r="O251" t="s">
        <v>97</v>
      </c>
    </row>
    <row r="252" spans="1:15" x14ac:dyDescent="0.2">
      <c r="A252">
        <v>105</v>
      </c>
      <c r="B252">
        <v>106</v>
      </c>
      <c r="C252">
        <v>105</v>
      </c>
      <c r="D252">
        <v>104</v>
      </c>
      <c r="E252" t="s">
        <v>5</v>
      </c>
      <c r="F252" t="s">
        <v>15</v>
      </c>
      <c r="G252">
        <v>24</v>
      </c>
      <c r="H252" t="s">
        <v>156</v>
      </c>
      <c r="I252">
        <v>0.5</v>
      </c>
      <c r="J252">
        <v>0.5</v>
      </c>
      <c r="K252" t="s">
        <v>122</v>
      </c>
      <c r="L252" t="s">
        <v>157</v>
      </c>
      <c r="M252" t="s">
        <v>158</v>
      </c>
      <c r="N252" t="s">
        <v>107</v>
      </c>
      <c r="O252" t="s">
        <v>97</v>
      </c>
    </row>
    <row r="253" spans="1:15" x14ac:dyDescent="0.2">
      <c r="A253">
        <v>105</v>
      </c>
      <c r="B253">
        <v>106</v>
      </c>
      <c r="C253">
        <v>105</v>
      </c>
      <c r="D253">
        <v>104</v>
      </c>
      <c r="E253" t="s">
        <v>5</v>
      </c>
      <c r="F253" t="s">
        <v>15</v>
      </c>
      <c r="G253">
        <v>25</v>
      </c>
      <c r="H253" t="s">
        <v>156</v>
      </c>
      <c r="I253">
        <v>0.5</v>
      </c>
      <c r="J253">
        <v>0.5</v>
      </c>
      <c r="K253" t="s">
        <v>122</v>
      </c>
      <c r="L253" t="s">
        <v>157</v>
      </c>
      <c r="M253" t="s">
        <v>158</v>
      </c>
      <c r="N253" t="s">
        <v>107</v>
      </c>
      <c r="O253" t="s">
        <v>97</v>
      </c>
    </row>
    <row r="254" spans="1:15" x14ac:dyDescent="0.2">
      <c r="A254">
        <v>105</v>
      </c>
      <c r="B254">
        <v>106</v>
      </c>
      <c r="C254">
        <v>105</v>
      </c>
      <c r="D254">
        <v>104</v>
      </c>
      <c r="E254" t="s">
        <v>5</v>
      </c>
      <c r="F254" t="s">
        <v>15</v>
      </c>
      <c r="G254">
        <v>26</v>
      </c>
      <c r="H254" t="s">
        <v>152</v>
      </c>
      <c r="I254">
        <v>0</v>
      </c>
      <c r="J254">
        <v>0</v>
      </c>
      <c r="K254" t="s">
        <v>153</v>
      </c>
      <c r="L254" t="s">
        <v>154</v>
      </c>
      <c r="M254" t="s">
        <v>155</v>
      </c>
      <c r="N254" t="s">
        <v>107</v>
      </c>
      <c r="O254" t="s">
        <v>97</v>
      </c>
    </row>
    <row r="255" spans="1:15" x14ac:dyDescent="0.2">
      <c r="A255">
        <v>105</v>
      </c>
      <c r="B255">
        <v>106</v>
      </c>
      <c r="C255">
        <v>105</v>
      </c>
      <c r="D255">
        <v>104</v>
      </c>
      <c r="E255" t="s">
        <v>5</v>
      </c>
      <c r="F255" t="s">
        <v>15</v>
      </c>
      <c r="G255">
        <v>27</v>
      </c>
      <c r="H255" t="s">
        <v>159</v>
      </c>
      <c r="I255">
        <v>0</v>
      </c>
      <c r="J255" t="s">
        <v>195</v>
      </c>
      <c r="K255" t="s">
        <v>122</v>
      </c>
      <c r="L255" t="s">
        <v>160</v>
      </c>
      <c r="M255" t="s">
        <v>161</v>
      </c>
      <c r="N255" t="s">
        <v>107</v>
      </c>
      <c r="O255" t="s">
        <v>97</v>
      </c>
    </row>
    <row r="256" spans="1:15" x14ac:dyDescent="0.2">
      <c r="A256">
        <v>105</v>
      </c>
      <c r="B256">
        <v>106</v>
      </c>
      <c r="C256">
        <v>105</v>
      </c>
      <c r="D256">
        <v>104</v>
      </c>
      <c r="E256" t="s">
        <v>5</v>
      </c>
      <c r="F256" t="s">
        <v>15</v>
      </c>
      <c r="G256">
        <v>28</v>
      </c>
      <c r="H256" t="s">
        <v>159</v>
      </c>
      <c r="I256">
        <v>0</v>
      </c>
      <c r="J256" t="s">
        <v>195</v>
      </c>
      <c r="K256" t="s">
        <v>122</v>
      </c>
      <c r="L256" t="s">
        <v>160</v>
      </c>
      <c r="M256" t="s">
        <v>161</v>
      </c>
      <c r="N256" t="s">
        <v>107</v>
      </c>
      <c r="O256" t="s">
        <v>97</v>
      </c>
    </row>
    <row r="257" spans="1:15" x14ac:dyDescent="0.2">
      <c r="A257">
        <v>105</v>
      </c>
      <c r="B257">
        <v>106</v>
      </c>
      <c r="C257">
        <v>105</v>
      </c>
      <c r="D257">
        <v>104</v>
      </c>
      <c r="E257" t="s">
        <v>5</v>
      </c>
      <c r="F257" t="s">
        <v>15</v>
      </c>
      <c r="G257">
        <v>29</v>
      </c>
      <c r="H257" t="s">
        <v>152</v>
      </c>
      <c r="I257">
        <v>0</v>
      </c>
      <c r="J257">
        <v>0</v>
      </c>
      <c r="K257" t="s">
        <v>153</v>
      </c>
      <c r="L257" t="s">
        <v>154</v>
      </c>
      <c r="M257" t="s">
        <v>155</v>
      </c>
      <c r="N257" t="s">
        <v>107</v>
      </c>
      <c r="O257" t="s">
        <v>97</v>
      </c>
    </row>
    <row r="258" spans="1:15" x14ac:dyDescent="0.2">
      <c r="A258">
        <v>105</v>
      </c>
      <c r="B258">
        <v>106</v>
      </c>
      <c r="C258">
        <v>105</v>
      </c>
      <c r="D258">
        <v>104</v>
      </c>
      <c r="E258" t="s">
        <v>5</v>
      </c>
      <c r="F258" t="s">
        <v>15</v>
      </c>
      <c r="G258">
        <v>30</v>
      </c>
      <c r="H258" t="s">
        <v>162</v>
      </c>
      <c r="I258">
        <v>0</v>
      </c>
      <c r="J258">
        <v>1</v>
      </c>
      <c r="K258" t="s">
        <v>112</v>
      </c>
      <c r="L258" t="s">
        <v>163</v>
      </c>
      <c r="M258" t="s">
        <v>164</v>
      </c>
      <c r="N258" t="s">
        <v>107</v>
      </c>
      <c r="O258" t="s">
        <v>97</v>
      </c>
    </row>
    <row r="259" spans="1:15" x14ac:dyDescent="0.2">
      <c r="A259">
        <v>105</v>
      </c>
      <c r="B259">
        <v>106</v>
      </c>
      <c r="C259">
        <v>105</v>
      </c>
      <c r="D259">
        <v>104</v>
      </c>
      <c r="E259" t="s">
        <v>5</v>
      </c>
      <c r="F259" t="s">
        <v>15</v>
      </c>
      <c r="G259">
        <v>31</v>
      </c>
      <c r="H259" t="s">
        <v>162</v>
      </c>
      <c r="I259">
        <v>0</v>
      </c>
      <c r="J259">
        <v>0</v>
      </c>
      <c r="K259" t="s">
        <v>112</v>
      </c>
      <c r="L259" t="s">
        <v>163</v>
      </c>
      <c r="M259" t="s">
        <v>164</v>
      </c>
      <c r="N259" t="s">
        <v>107</v>
      </c>
      <c r="O259" t="s">
        <v>97</v>
      </c>
    </row>
    <row r="260" spans="1:15" x14ac:dyDescent="0.2">
      <c r="A260">
        <v>105</v>
      </c>
      <c r="B260">
        <v>106</v>
      </c>
      <c r="C260">
        <v>105</v>
      </c>
      <c r="D260">
        <v>104</v>
      </c>
      <c r="E260" t="s">
        <v>5</v>
      </c>
      <c r="F260" t="s">
        <v>15</v>
      </c>
      <c r="G260">
        <v>32</v>
      </c>
      <c r="H260" t="s">
        <v>162</v>
      </c>
      <c r="I260">
        <v>0</v>
      </c>
      <c r="J260">
        <v>0</v>
      </c>
      <c r="K260" t="s">
        <v>112</v>
      </c>
      <c r="L260" t="s">
        <v>163</v>
      </c>
      <c r="M260" t="s">
        <v>164</v>
      </c>
      <c r="N260" t="s">
        <v>107</v>
      </c>
      <c r="O260" t="s">
        <v>97</v>
      </c>
    </row>
    <row r="261" spans="1:15" x14ac:dyDescent="0.2">
      <c r="A261">
        <v>105</v>
      </c>
      <c r="B261">
        <v>106</v>
      </c>
      <c r="C261">
        <v>105</v>
      </c>
      <c r="D261">
        <v>104</v>
      </c>
      <c r="E261" t="s">
        <v>5</v>
      </c>
      <c r="F261" t="s">
        <v>15</v>
      </c>
      <c r="G261">
        <v>33</v>
      </c>
      <c r="H261" t="s">
        <v>152</v>
      </c>
      <c r="I261">
        <v>1</v>
      </c>
      <c r="J261">
        <v>1</v>
      </c>
      <c r="K261" t="s">
        <v>153</v>
      </c>
      <c r="L261" t="s">
        <v>154</v>
      </c>
      <c r="M261" t="s">
        <v>155</v>
      </c>
      <c r="N261" t="s">
        <v>107</v>
      </c>
      <c r="O261" t="s">
        <v>97</v>
      </c>
    </row>
    <row r="262" spans="1:15" x14ac:dyDescent="0.2">
      <c r="A262">
        <v>105</v>
      </c>
      <c r="B262">
        <v>106</v>
      </c>
      <c r="C262">
        <v>105</v>
      </c>
      <c r="D262">
        <v>104</v>
      </c>
      <c r="E262" t="s">
        <v>5</v>
      </c>
      <c r="F262" t="s">
        <v>15</v>
      </c>
      <c r="G262">
        <v>34</v>
      </c>
      <c r="H262" t="s">
        <v>152</v>
      </c>
      <c r="I262">
        <v>0</v>
      </c>
      <c r="J262">
        <v>0</v>
      </c>
      <c r="K262" t="s">
        <v>153</v>
      </c>
      <c r="L262" t="s">
        <v>154</v>
      </c>
      <c r="M262" t="s">
        <v>155</v>
      </c>
      <c r="N262" t="s">
        <v>107</v>
      </c>
      <c r="O262" t="s">
        <v>97</v>
      </c>
    </row>
    <row r="263" spans="1:15" x14ac:dyDescent="0.2">
      <c r="A263">
        <v>105</v>
      </c>
      <c r="B263">
        <v>106</v>
      </c>
      <c r="C263">
        <v>105</v>
      </c>
      <c r="D263">
        <v>104</v>
      </c>
      <c r="E263" t="s">
        <v>5</v>
      </c>
      <c r="F263" t="s">
        <v>15</v>
      </c>
      <c r="G263">
        <v>35</v>
      </c>
      <c r="H263" t="s">
        <v>165</v>
      </c>
      <c r="I263">
        <v>0</v>
      </c>
      <c r="J263">
        <v>1</v>
      </c>
      <c r="K263" t="s">
        <v>166</v>
      </c>
      <c r="L263" t="s">
        <v>167</v>
      </c>
      <c r="M263" t="s">
        <v>168</v>
      </c>
      <c r="N263" t="s">
        <v>107</v>
      </c>
      <c r="O263" t="s">
        <v>97</v>
      </c>
    </row>
    <row r="264" spans="1:15" x14ac:dyDescent="0.2">
      <c r="A264">
        <v>105</v>
      </c>
      <c r="B264">
        <v>106</v>
      </c>
      <c r="C264">
        <v>105</v>
      </c>
      <c r="D264">
        <v>104</v>
      </c>
      <c r="E264" t="s">
        <v>5</v>
      </c>
      <c r="F264" t="s">
        <v>15</v>
      </c>
      <c r="G264">
        <v>36</v>
      </c>
      <c r="H264" t="s">
        <v>169</v>
      </c>
      <c r="I264">
        <v>0</v>
      </c>
      <c r="J264">
        <v>0</v>
      </c>
      <c r="K264" t="e">
        <v>#N/A</v>
      </c>
      <c r="L264" t="e">
        <v>#N/A</v>
      </c>
      <c r="M264" t="e">
        <v>#N/A</v>
      </c>
      <c r="N264" t="e">
        <v>#N/A</v>
      </c>
      <c r="O264" t="s">
        <v>97</v>
      </c>
    </row>
    <row r="265" spans="1:15" x14ac:dyDescent="0.2">
      <c r="A265">
        <v>105</v>
      </c>
      <c r="B265">
        <v>106</v>
      </c>
      <c r="C265">
        <v>105</v>
      </c>
      <c r="D265">
        <v>104</v>
      </c>
      <c r="E265" t="s">
        <v>5</v>
      </c>
      <c r="F265" t="s">
        <v>15</v>
      </c>
      <c r="G265">
        <v>38</v>
      </c>
      <c r="H265" t="s">
        <v>170</v>
      </c>
      <c r="I265">
        <v>0</v>
      </c>
      <c r="J265">
        <v>0.5</v>
      </c>
      <c r="K265" t="s">
        <v>112</v>
      </c>
      <c r="L265" t="s">
        <v>171</v>
      </c>
      <c r="M265" t="s">
        <v>172</v>
      </c>
      <c r="N265" t="s">
        <v>96</v>
      </c>
      <c r="O265" t="s">
        <v>97</v>
      </c>
    </row>
    <row r="266" spans="1:15" x14ac:dyDescent="0.2">
      <c r="A266">
        <v>105</v>
      </c>
      <c r="B266">
        <v>106</v>
      </c>
      <c r="C266">
        <v>105</v>
      </c>
      <c r="D266">
        <v>104</v>
      </c>
      <c r="E266" t="s">
        <v>5</v>
      </c>
      <c r="F266" t="s">
        <v>15</v>
      </c>
      <c r="G266">
        <v>39</v>
      </c>
      <c r="H266" t="s">
        <v>170</v>
      </c>
      <c r="I266">
        <v>0</v>
      </c>
      <c r="J266">
        <v>0.5</v>
      </c>
      <c r="K266" t="s">
        <v>112</v>
      </c>
      <c r="L266" t="s">
        <v>171</v>
      </c>
      <c r="M266" t="s">
        <v>172</v>
      </c>
      <c r="N266" t="s">
        <v>96</v>
      </c>
      <c r="O266" t="s">
        <v>97</v>
      </c>
    </row>
    <row r="267" spans="1:15" x14ac:dyDescent="0.2">
      <c r="A267">
        <v>105</v>
      </c>
      <c r="B267">
        <v>106</v>
      </c>
      <c r="C267">
        <v>105</v>
      </c>
      <c r="D267">
        <v>104</v>
      </c>
      <c r="E267" t="s">
        <v>5</v>
      </c>
      <c r="F267" t="s">
        <v>15</v>
      </c>
      <c r="G267">
        <v>40</v>
      </c>
      <c r="H267" t="s">
        <v>170</v>
      </c>
      <c r="I267">
        <v>0</v>
      </c>
      <c r="J267">
        <v>0.5</v>
      </c>
      <c r="K267" t="s">
        <v>112</v>
      </c>
      <c r="L267" t="s">
        <v>171</v>
      </c>
      <c r="M267" t="s">
        <v>172</v>
      </c>
      <c r="N267" t="s">
        <v>96</v>
      </c>
      <c r="O267" t="s">
        <v>97</v>
      </c>
    </row>
    <row r="268" spans="1:15" x14ac:dyDescent="0.2">
      <c r="A268">
        <v>105</v>
      </c>
      <c r="B268">
        <v>106</v>
      </c>
      <c r="C268">
        <v>105</v>
      </c>
      <c r="D268">
        <v>104</v>
      </c>
      <c r="E268" t="s">
        <v>5</v>
      </c>
      <c r="F268" t="s">
        <v>15</v>
      </c>
      <c r="G268">
        <v>41</v>
      </c>
      <c r="H268" t="s">
        <v>173</v>
      </c>
      <c r="I268">
        <v>0</v>
      </c>
      <c r="J268">
        <v>1</v>
      </c>
      <c r="K268" t="s">
        <v>166</v>
      </c>
      <c r="L268" t="s">
        <v>174</v>
      </c>
      <c r="M268" t="s">
        <v>175</v>
      </c>
      <c r="N268" t="s">
        <v>107</v>
      </c>
      <c r="O268" t="s">
        <v>97</v>
      </c>
    </row>
    <row r="269" spans="1:15" x14ac:dyDescent="0.2">
      <c r="A269">
        <v>105</v>
      </c>
      <c r="B269">
        <v>106</v>
      </c>
      <c r="C269">
        <v>105</v>
      </c>
      <c r="D269">
        <v>104</v>
      </c>
      <c r="E269" t="s">
        <v>5</v>
      </c>
      <c r="F269" t="s">
        <v>15</v>
      </c>
      <c r="G269">
        <v>42</v>
      </c>
      <c r="H269" t="s">
        <v>176</v>
      </c>
      <c r="I269">
        <v>0</v>
      </c>
      <c r="J269" t="s">
        <v>198</v>
      </c>
      <c r="K269" t="s">
        <v>153</v>
      </c>
      <c r="L269" t="s">
        <v>177</v>
      </c>
      <c r="M269" t="s">
        <v>178</v>
      </c>
      <c r="N269" t="s">
        <v>107</v>
      </c>
      <c r="O269" t="s">
        <v>97</v>
      </c>
    </row>
    <row r="270" spans="1:15" x14ac:dyDescent="0.2">
      <c r="A270">
        <v>105</v>
      </c>
      <c r="B270">
        <v>106</v>
      </c>
      <c r="C270">
        <v>105</v>
      </c>
      <c r="D270">
        <v>104</v>
      </c>
      <c r="E270" t="s">
        <v>5</v>
      </c>
      <c r="F270" t="s">
        <v>15</v>
      </c>
      <c r="G270">
        <v>43</v>
      </c>
      <c r="H270" t="s">
        <v>179</v>
      </c>
      <c r="I270">
        <v>0</v>
      </c>
      <c r="J270">
        <v>0</v>
      </c>
      <c r="K270" t="s">
        <v>166</v>
      </c>
      <c r="L270" t="s">
        <v>180</v>
      </c>
      <c r="M270" t="s">
        <v>181</v>
      </c>
      <c r="N270" t="s">
        <v>107</v>
      </c>
      <c r="O270" t="s">
        <v>97</v>
      </c>
    </row>
    <row r="271" spans="1:15" x14ac:dyDescent="0.2">
      <c r="A271">
        <v>105</v>
      </c>
      <c r="B271">
        <v>106</v>
      </c>
      <c r="C271">
        <v>105</v>
      </c>
      <c r="D271">
        <v>104</v>
      </c>
      <c r="E271" t="s">
        <v>5</v>
      </c>
      <c r="F271" t="s">
        <v>15</v>
      </c>
      <c r="G271">
        <v>44</v>
      </c>
      <c r="H271" t="s">
        <v>182</v>
      </c>
      <c r="I271">
        <v>0</v>
      </c>
      <c r="J271">
        <v>1</v>
      </c>
      <c r="K271" t="s">
        <v>166</v>
      </c>
      <c r="L271" t="s">
        <v>183</v>
      </c>
      <c r="M271" t="s">
        <v>184</v>
      </c>
      <c r="N271" t="s">
        <v>107</v>
      </c>
      <c r="O271" t="s">
        <v>97</v>
      </c>
    </row>
    <row r="272" spans="1:15" x14ac:dyDescent="0.2">
      <c r="A272">
        <v>105</v>
      </c>
      <c r="B272">
        <v>106</v>
      </c>
      <c r="C272">
        <v>105</v>
      </c>
      <c r="D272">
        <v>104</v>
      </c>
      <c r="E272" t="s">
        <v>5</v>
      </c>
      <c r="F272" t="s">
        <v>15</v>
      </c>
      <c r="G272">
        <v>45</v>
      </c>
      <c r="H272" t="s">
        <v>185</v>
      </c>
      <c r="I272">
        <v>1</v>
      </c>
      <c r="J272">
        <v>1</v>
      </c>
      <c r="K272" t="s">
        <v>166</v>
      </c>
      <c r="L272" t="s">
        <v>186</v>
      </c>
      <c r="M272" t="s">
        <v>139</v>
      </c>
      <c r="N272" t="s">
        <v>107</v>
      </c>
      <c r="O272" t="s">
        <v>97</v>
      </c>
    </row>
    <row r="273" spans="1:15" x14ac:dyDescent="0.2">
      <c r="A273">
        <v>105</v>
      </c>
      <c r="B273">
        <v>106</v>
      </c>
      <c r="C273">
        <v>105</v>
      </c>
      <c r="D273">
        <v>104</v>
      </c>
      <c r="E273" t="s">
        <v>5</v>
      </c>
      <c r="F273" t="s">
        <v>15</v>
      </c>
      <c r="G273">
        <v>47</v>
      </c>
      <c r="H273" t="s">
        <v>187</v>
      </c>
      <c r="I273">
        <v>0.2</v>
      </c>
      <c r="J273">
        <v>0.2</v>
      </c>
      <c r="K273" t="s">
        <v>93</v>
      </c>
      <c r="L273" t="s">
        <v>188</v>
      </c>
      <c r="M273" t="s">
        <v>95</v>
      </c>
      <c r="N273" t="s">
        <v>96</v>
      </c>
      <c r="O273" t="s">
        <v>97</v>
      </c>
    </row>
    <row r="274" spans="1:15" x14ac:dyDescent="0.2">
      <c r="A274">
        <v>105</v>
      </c>
      <c r="B274">
        <v>106</v>
      </c>
      <c r="C274">
        <v>105</v>
      </c>
      <c r="D274">
        <v>104</v>
      </c>
      <c r="E274" t="s">
        <v>5</v>
      </c>
      <c r="F274" t="s">
        <v>15</v>
      </c>
      <c r="G274">
        <v>48</v>
      </c>
      <c r="H274" t="s">
        <v>189</v>
      </c>
      <c r="I274">
        <v>0.2</v>
      </c>
      <c r="J274">
        <v>0.2</v>
      </c>
      <c r="K274" t="s">
        <v>93</v>
      </c>
      <c r="L274" t="s">
        <v>190</v>
      </c>
      <c r="M274" t="s">
        <v>95</v>
      </c>
      <c r="N274" t="s">
        <v>96</v>
      </c>
      <c r="O274" t="s">
        <v>97</v>
      </c>
    </row>
    <row r="275" spans="1:15" x14ac:dyDescent="0.2">
      <c r="A275">
        <v>105</v>
      </c>
      <c r="B275">
        <v>106</v>
      </c>
      <c r="C275">
        <v>105</v>
      </c>
      <c r="D275">
        <v>104</v>
      </c>
      <c r="E275" t="s">
        <v>5</v>
      </c>
      <c r="F275" t="s">
        <v>15</v>
      </c>
      <c r="G275">
        <v>49</v>
      </c>
      <c r="H275" t="s">
        <v>191</v>
      </c>
      <c r="I275">
        <v>0.2</v>
      </c>
      <c r="J275">
        <v>0.2</v>
      </c>
      <c r="K275" t="s">
        <v>93</v>
      </c>
      <c r="L275" t="s">
        <v>192</v>
      </c>
      <c r="M275" t="s">
        <v>95</v>
      </c>
      <c r="N275" t="s">
        <v>96</v>
      </c>
      <c r="O275" t="s">
        <v>97</v>
      </c>
    </row>
    <row r="276" spans="1:15" x14ac:dyDescent="0.2">
      <c r="A276">
        <v>105</v>
      </c>
      <c r="B276">
        <v>106</v>
      </c>
      <c r="C276">
        <v>105</v>
      </c>
      <c r="D276">
        <v>104</v>
      </c>
      <c r="E276" t="s">
        <v>5</v>
      </c>
      <c r="F276" t="s">
        <v>15</v>
      </c>
      <c r="G276">
        <v>50</v>
      </c>
      <c r="H276" t="s">
        <v>193</v>
      </c>
      <c r="I276">
        <v>0.1</v>
      </c>
      <c r="J276">
        <v>0.1</v>
      </c>
      <c r="K276" t="s">
        <v>93</v>
      </c>
      <c r="L276" t="s">
        <v>194</v>
      </c>
      <c r="M276" t="s">
        <v>95</v>
      </c>
      <c r="N276" t="s">
        <v>96</v>
      </c>
      <c r="O276" t="s">
        <v>97</v>
      </c>
    </row>
    <row r="277" spans="1:15" x14ac:dyDescent="0.2">
      <c r="A277">
        <v>105</v>
      </c>
      <c r="B277">
        <v>106</v>
      </c>
      <c r="C277">
        <v>105</v>
      </c>
      <c r="D277">
        <v>104</v>
      </c>
      <c r="E277" t="s">
        <v>5</v>
      </c>
      <c r="F277" t="s">
        <v>15</v>
      </c>
      <c r="G277">
        <v>51</v>
      </c>
      <c r="H277" t="s">
        <v>193</v>
      </c>
      <c r="I277">
        <v>0.1</v>
      </c>
      <c r="J277">
        <v>0.1</v>
      </c>
      <c r="K277" t="s">
        <v>93</v>
      </c>
      <c r="L277" t="s">
        <v>194</v>
      </c>
      <c r="M277" t="s">
        <v>95</v>
      </c>
      <c r="N277" t="s">
        <v>96</v>
      </c>
      <c r="O277" t="s">
        <v>97</v>
      </c>
    </row>
    <row r="278" spans="1:15" x14ac:dyDescent="0.2">
      <c r="A278">
        <v>110</v>
      </c>
      <c r="B278">
        <v>111</v>
      </c>
      <c r="C278">
        <v>110</v>
      </c>
      <c r="D278">
        <v>109</v>
      </c>
      <c r="E278" t="s">
        <v>5</v>
      </c>
      <c r="F278" t="s">
        <v>16</v>
      </c>
      <c r="G278">
        <v>1</v>
      </c>
      <c r="H278" t="s">
        <v>92</v>
      </c>
      <c r="I278">
        <v>0</v>
      </c>
      <c r="J278">
        <v>0.2</v>
      </c>
      <c r="K278" t="s">
        <v>93</v>
      </c>
      <c r="L278" t="s">
        <v>94</v>
      </c>
      <c r="M278" t="s">
        <v>95</v>
      </c>
      <c r="N278" t="s">
        <v>96</v>
      </c>
      <c r="O278" t="s">
        <v>97</v>
      </c>
    </row>
    <row r="279" spans="1:15" x14ac:dyDescent="0.2">
      <c r="A279">
        <v>110</v>
      </c>
      <c r="B279">
        <v>111</v>
      </c>
      <c r="C279">
        <v>110</v>
      </c>
      <c r="D279">
        <v>109</v>
      </c>
      <c r="E279" t="s">
        <v>5</v>
      </c>
      <c r="F279" t="s">
        <v>16</v>
      </c>
      <c r="G279">
        <v>2</v>
      </c>
      <c r="H279" t="s">
        <v>98</v>
      </c>
      <c r="I279">
        <v>0.25</v>
      </c>
      <c r="J279">
        <v>0.5</v>
      </c>
      <c r="K279" t="s">
        <v>93</v>
      </c>
      <c r="L279" t="s">
        <v>99</v>
      </c>
      <c r="M279" t="s">
        <v>95</v>
      </c>
      <c r="N279" t="s">
        <v>96</v>
      </c>
      <c r="O279" t="s">
        <v>97</v>
      </c>
    </row>
    <row r="280" spans="1:15" x14ac:dyDescent="0.2">
      <c r="A280">
        <v>110</v>
      </c>
      <c r="B280">
        <v>111</v>
      </c>
      <c r="C280">
        <v>110</v>
      </c>
      <c r="D280">
        <v>109</v>
      </c>
      <c r="E280" t="s">
        <v>5</v>
      </c>
      <c r="F280" t="s">
        <v>16</v>
      </c>
      <c r="G280">
        <v>3</v>
      </c>
      <c r="H280" t="s">
        <v>100</v>
      </c>
      <c r="I280">
        <v>1</v>
      </c>
      <c r="J280">
        <v>1</v>
      </c>
      <c r="K280" t="s">
        <v>101</v>
      </c>
      <c r="L280" t="s">
        <v>102</v>
      </c>
      <c r="M280" t="s">
        <v>103</v>
      </c>
      <c r="N280" t="s">
        <v>96</v>
      </c>
      <c r="O280" t="s">
        <v>97</v>
      </c>
    </row>
    <row r="281" spans="1:15" x14ac:dyDescent="0.2">
      <c r="A281">
        <v>110</v>
      </c>
      <c r="B281">
        <v>111</v>
      </c>
      <c r="C281">
        <v>110</v>
      </c>
      <c r="D281">
        <v>109</v>
      </c>
      <c r="E281" t="s">
        <v>5</v>
      </c>
      <c r="F281" t="s">
        <v>16</v>
      </c>
      <c r="G281">
        <v>4</v>
      </c>
      <c r="H281" t="s">
        <v>104</v>
      </c>
      <c r="I281">
        <v>1</v>
      </c>
      <c r="J281">
        <v>1</v>
      </c>
      <c r="K281" t="s">
        <v>101</v>
      </c>
      <c r="L281" t="s">
        <v>105</v>
      </c>
      <c r="M281" t="s">
        <v>106</v>
      </c>
      <c r="N281" t="s">
        <v>107</v>
      </c>
      <c r="O281" t="s">
        <v>97</v>
      </c>
    </row>
    <row r="282" spans="1:15" x14ac:dyDescent="0.2">
      <c r="A282">
        <v>110</v>
      </c>
      <c r="B282">
        <v>111</v>
      </c>
      <c r="C282">
        <v>110</v>
      </c>
      <c r="D282">
        <v>109</v>
      </c>
      <c r="E282" t="s">
        <v>5</v>
      </c>
      <c r="F282" t="s">
        <v>16</v>
      </c>
      <c r="G282">
        <v>5</v>
      </c>
      <c r="H282" t="s">
        <v>108</v>
      </c>
      <c r="I282">
        <v>0</v>
      </c>
      <c r="J282">
        <v>1</v>
      </c>
      <c r="K282" t="s">
        <v>101</v>
      </c>
      <c r="L282" t="s">
        <v>109</v>
      </c>
      <c r="M282" t="s">
        <v>110</v>
      </c>
      <c r="N282" t="s">
        <v>107</v>
      </c>
      <c r="O282" t="s">
        <v>97</v>
      </c>
    </row>
    <row r="283" spans="1:15" x14ac:dyDescent="0.2">
      <c r="A283">
        <v>110</v>
      </c>
      <c r="B283">
        <v>111</v>
      </c>
      <c r="C283">
        <v>110</v>
      </c>
      <c r="D283">
        <v>109</v>
      </c>
      <c r="E283" t="s">
        <v>5</v>
      </c>
      <c r="F283" t="s">
        <v>16</v>
      </c>
      <c r="G283">
        <v>9</v>
      </c>
      <c r="H283" t="s">
        <v>111</v>
      </c>
      <c r="I283">
        <v>0</v>
      </c>
      <c r="J283">
        <v>0.5</v>
      </c>
      <c r="K283" t="s">
        <v>112</v>
      </c>
      <c r="L283" t="s">
        <v>113</v>
      </c>
      <c r="M283" t="s">
        <v>114</v>
      </c>
      <c r="N283" t="s">
        <v>96</v>
      </c>
      <c r="O283" t="s">
        <v>97</v>
      </c>
    </row>
    <row r="284" spans="1:15" x14ac:dyDescent="0.2">
      <c r="A284">
        <v>110</v>
      </c>
      <c r="B284">
        <v>111</v>
      </c>
      <c r="C284">
        <v>110</v>
      </c>
      <c r="D284">
        <v>109</v>
      </c>
      <c r="E284" t="s">
        <v>5</v>
      </c>
      <c r="F284" t="s">
        <v>16</v>
      </c>
      <c r="G284">
        <v>10</v>
      </c>
      <c r="H284" t="s">
        <v>115</v>
      </c>
      <c r="I284">
        <v>0</v>
      </c>
      <c r="J284">
        <v>0.5</v>
      </c>
      <c r="K284" t="s">
        <v>112</v>
      </c>
      <c r="L284" t="s">
        <v>116</v>
      </c>
      <c r="M284" t="s">
        <v>117</v>
      </c>
      <c r="N284" t="s">
        <v>96</v>
      </c>
      <c r="O284" t="s">
        <v>97</v>
      </c>
    </row>
    <row r="285" spans="1:15" x14ac:dyDescent="0.2">
      <c r="A285">
        <v>110</v>
      </c>
      <c r="B285">
        <v>111</v>
      </c>
      <c r="C285">
        <v>110</v>
      </c>
      <c r="D285">
        <v>109</v>
      </c>
      <c r="E285" t="s">
        <v>5</v>
      </c>
      <c r="F285" t="s">
        <v>16</v>
      </c>
      <c r="G285">
        <v>11</v>
      </c>
      <c r="H285" t="s">
        <v>118</v>
      </c>
      <c r="I285">
        <v>0.5</v>
      </c>
      <c r="J285">
        <v>1</v>
      </c>
      <c r="K285" t="s">
        <v>112</v>
      </c>
      <c r="L285" t="s">
        <v>119</v>
      </c>
      <c r="M285" t="s">
        <v>120</v>
      </c>
      <c r="N285" t="s">
        <v>107</v>
      </c>
      <c r="O285" t="s">
        <v>97</v>
      </c>
    </row>
    <row r="286" spans="1:15" x14ac:dyDescent="0.2">
      <c r="A286">
        <v>110</v>
      </c>
      <c r="B286">
        <v>111</v>
      </c>
      <c r="C286">
        <v>110</v>
      </c>
      <c r="D286">
        <v>109</v>
      </c>
      <c r="E286" t="s">
        <v>5</v>
      </c>
      <c r="F286" t="s">
        <v>16</v>
      </c>
      <c r="G286">
        <v>12</v>
      </c>
      <c r="H286" t="s">
        <v>121</v>
      </c>
      <c r="I286">
        <v>0</v>
      </c>
      <c r="J286">
        <v>0.5</v>
      </c>
      <c r="K286" t="s">
        <v>122</v>
      </c>
      <c r="L286" t="s">
        <v>113</v>
      </c>
      <c r="M286" t="s">
        <v>123</v>
      </c>
      <c r="N286" t="s">
        <v>96</v>
      </c>
      <c r="O286" t="s">
        <v>97</v>
      </c>
    </row>
    <row r="287" spans="1:15" x14ac:dyDescent="0.2">
      <c r="A287">
        <v>110</v>
      </c>
      <c r="B287">
        <v>111</v>
      </c>
      <c r="C287">
        <v>110</v>
      </c>
      <c r="D287">
        <v>109</v>
      </c>
      <c r="E287" t="s">
        <v>5</v>
      </c>
      <c r="F287" t="s">
        <v>16</v>
      </c>
      <c r="G287">
        <v>13</v>
      </c>
      <c r="H287" t="s">
        <v>124</v>
      </c>
      <c r="I287">
        <v>0</v>
      </c>
      <c r="J287">
        <v>0.5</v>
      </c>
      <c r="K287" t="s">
        <v>122</v>
      </c>
      <c r="L287" t="s">
        <v>125</v>
      </c>
      <c r="M287" t="s">
        <v>126</v>
      </c>
      <c r="N287" t="s">
        <v>96</v>
      </c>
      <c r="O287" t="s">
        <v>97</v>
      </c>
    </row>
    <row r="288" spans="1:15" x14ac:dyDescent="0.2">
      <c r="A288">
        <v>110</v>
      </c>
      <c r="B288">
        <v>111</v>
      </c>
      <c r="C288">
        <v>110</v>
      </c>
      <c r="D288">
        <v>109</v>
      </c>
      <c r="E288" t="s">
        <v>5</v>
      </c>
      <c r="F288" t="s">
        <v>16</v>
      </c>
      <c r="G288">
        <v>14</v>
      </c>
      <c r="H288" t="s">
        <v>127</v>
      </c>
      <c r="I288">
        <v>0.5</v>
      </c>
      <c r="J288">
        <v>1</v>
      </c>
      <c r="K288" t="s">
        <v>122</v>
      </c>
      <c r="L288" t="s">
        <v>119</v>
      </c>
      <c r="M288" t="s">
        <v>128</v>
      </c>
      <c r="N288" t="s">
        <v>107</v>
      </c>
      <c r="O288" t="s">
        <v>97</v>
      </c>
    </row>
    <row r="289" spans="1:15" x14ac:dyDescent="0.2">
      <c r="A289">
        <v>110</v>
      </c>
      <c r="B289">
        <v>111</v>
      </c>
      <c r="C289">
        <v>110</v>
      </c>
      <c r="D289">
        <v>109</v>
      </c>
      <c r="E289" t="s">
        <v>5</v>
      </c>
      <c r="F289" t="s">
        <v>16</v>
      </c>
      <c r="G289">
        <v>15</v>
      </c>
      <c r="H289" t="s">
        <v>129</v>
      </c>
      <c r="I289">
        <v>0</v>
      </c>
      <c r="J289">
        <v>1</v>
      </c>
      <c r="K289" t="s">
        <v>130</v>
      </c>
      <c r="L289" t="s">
        <v>131</v>
      </c>
      <c r="M289" t="s">
        <v>132</v>
      </c>
      <c r="N289" t="s">
        <v>107</v>
      </c>
      <c r="O289" t="s">
        <v>97</v>
      </c>
    </row>
    <row r="290" spans="1:15" x14ac:dyDescent="0.2">
      <c r="A290">
        <v>110</v>
      </c>
      <c r="B290">
        <v>111</v>
      </c>
      <c r="C290">
        <v>110</v>
      </c>
      <c r="D290">
        <v>109</v>
      </c>
      <c r="E290" t="s">
        <v>5</v>
      </c>
      <c r="F290" t="s">
        <v>16</v>
      </c>
      <c r="G290">
        <v>16</v>
      </c>
      <c r="H290" t="s">
        <v>133</v>
      </c>
      <c r="I290">
        <v>0</v>
      </c>
      <c r="J290">
        <v>0</v>
      </c>
      <c r="K290" t="e">
        <v>#N/A</v>
      </c>
      <c r="L290" t="e">
        <v>#N/A</v>
      </c>
      <c r="M290" t="e">
        <v>#N/A</v>
      </c>
      <c r="N290" t="e">
        <v>#N/A</v>
      </c>
      <c r="O290" t="s">
        <v>97</v>
      </c>
    </row>
    <row r="291" spans="1:15" x14ac:dyDescent="0.2">
      <c r="A291">
        <v>110</v>
      </c>
      <c r="B291">
        <v>111</v>
      </c>
      <c r="C291">
        <v>110</v>
      </c>
      <c r="D291">
        <v>109</v>
      </c>
      <c r="E291" t="s">
        <v>5</v>
      </c>
      <c r="F291" t="s">
        <v>16</v>
      </c>
      <c r="G291">
        <v>17</v>
      </c>
      <c r="H291" t="s">
        <v>134</v>
      </c>
      <c r="I291">
        <v>0.5</v>
      </c>
      <c r="J291">
        <v>1</v>
      </c>
      <c r="K291" t="s">
        <v>112</v>
      </c>
      <c r="L291" t="s">
        <v>135</v>
      </c>
      <c r="M291" t="s">
        <v>136</v>
      </c>
      <c r="N291" t="s">
        <v>107</v>
      </c>
      <c r="O291" t="s">
        <v>97</v>
      </c>
    </row>
    <row r="292" spans="1:15" x14ac:dyDescent="0.2">
      <c r="A292">
        <v>110</v>
      </c>
      <c r="B292">
        <v>111</v>
      </c>
      <c r="C292">
        <v>110</v>
      </c>
      <c r="D292">
        <v>109</v>
      </c>
      <c r="E292" t="s">
        <v>5</v>
      </c>
      <c r="F292" t="s">
        <v>16</v>
      </c>
      <c r="G292">
        <v>18</v>
      </c>
      <c r="H292" t="s">
        <v>137</v>
      </c>
      <c r="I292">
        <v>1</v>
      </c>
      <c r="J292">
        <v>1</v>
      </c>
      <c r="K292" t="s">
        <v>112</v>
      </c>
      <c r="L292" t="s">
        <v>138</v>
      </c>
      <c r="M292" t="s">
        <v>139</v>
      </c>
      <c r="N292" t="s">
        <v>107</v>
      </c>
      <c r="O292" t="s">
        <v>97</v>
      </c>
    </row>
    <row r="293" spans="1:15" x14ac:dyDescent="0.2">
      <c r="A293">
        <v>110</v>
      </c>
      <c r="B293">
        <v>111</v>
      </c>
      <c r="C293">
        <v>110</v>
      </c>
      <c r="D293">
        <v>109</v>
      </c>
      <c r="E293" t="s">
        <v>5</v>
      </c>
      <c r="F293" t="s">
        <v>16</v>
      </c>
      <c r="G293">
        <v>19</v>
      </c>
      <c r="H293" t="s">
        <v>140</v>
      </c>
      <c r="I293">
        <v>0.5</v>
      </c>
      <c r="J293">
        <v>1</v>
      </c>
      <c r="K293" t="s">
        <v>122</v>
      </c>
      <c r="L293" t="s">
        <v>141</v>
      </c>
      <c r="M293" t="s">
        <v>142</v>
      </c>
      <c r="N293" t="s">
        <v>107</v>
      </c>
      <c r="O293" t="s">
        <v>97</v>
      </c>
    </row>
    <row r="294" spans="1:15" x14ac:dyDescent="0.2">
      <c r="A294">
        <v>110</v>
      </c>
      <c r="B294">
        <v>111</v>
      </c>
      <c r="C294">
        <v>110</v>
      </c>
      <c r="D294">
        <v>109</v>
      </c>
      <c r="E294" t="s">
        <v>5</v>
      </c>
      <c r="F294" t="s">
        <v>16</v>
      </c>
      <c r="G294">
        <v>20</v>
      </c>
      <c r="H294" t="s">
        <v>143</v>
      </c>
      <c r="I294">
        <v>0</v>
      </c>
      <c r="J294">
        <v>1</v>
      </c>
      <c r="K294" t="s">
        <v>122</v>
      </c>
      <c r="L294" t="s">
        <v>144</v>
      </c>
      <c r="M294" t="s">
        <v>145</v>
      </c>
      <c r="N294" t="s">
        <v>107</v>
      </c>
      <c r="O294" t="s">
        <v>97</v>
      </c>
    </row>
    <row r="295" spans="1:15" x14ac:dyDescent="0.2">
      <c r="A295">
        <v>110</v>
      </c>
      <c r="B295">
        <v>111</v>
      </c>
      <c r="C295">
        <v>110</v>
      </c>
      <c r="D295">
        <v>109</v>
      </c>
      <c r="E295" t="s">
        <v>5</v>
      </c>
      <c r="F295" t="s">
        <v>16</v>
      </c>
      <c r="G295">
        <v>21</v>
      </c>
      <c r="H295" t="s">
        <v>146</v>
      </c>
      <c r="I295">
        <v>1</v>
      </c>
      <c r="J295">
        <v>1</v>
      </c>
      <c r="K295" t="s">
        <v>147</v>
      </c>
      <c r="L295" t="s">
        <v>148</v>
      </c>
      <c r="M295" t="s">
        <v>149</v>
      </c>
      <c r="N295" t="s">
        <v>96</v>
      </c>
      <c r="O295" t="s">
        <v>97</v>
      </c>
    </row>
    <row r="296" spans="1:15" x14ac:dyDescent="0.2">
      <c r="A296">
        <v>110</v>
      </c>
      <c r="B296">
        <v>111</v>
      </c>
      <c r="C296">
        <v>110</v>
      </c>
      <c r="D296">
        <v>109</v>
      </c>
      <c r="E296" t="s">
        <v>5</v>
      </c>
      <c r="F296" t="s">
        <v>16</v>
      </c>
      <c r="G296">
        <v>22</v>
      </c>
      <c r="H296" t="s">
        <v>150</v>
      </c>
      <c r="I296">
        <v>1</v>
      </c>
      <c r="J296">
        <v>1</v>
      </c>
      <c r="K296" t="s">
        <v>147</v>
      </c>
      <c r="L296" t="s">
        <v>151</v>
      </c>
      <c r="M296" t="s">
        <v>149</v>
      </c>
      <c r="N296" t="s">
        <v>107</v>
      </c>
      <c r="O296" t="s">
        <v>97</v>
      </c>
    </row>
    <row r="297" spans="1:15" x14ac:dyDescent="0.2">
      <c r="A297">
        <v>110</v>
      </c>
      <c r="B297">
        <v>111</v>
      </c>
      <c r="C297">
        <v>110</v>
      </c>
      <c r="D297">
        <v>109</v>
      </c>
      <c r="E297" t="s">
        <v>5</v>
      </c>
      <c r="F297" t="s">
        <v>16</v>
      </c>
      <c r="G297">
        <v>23</v>
      </c>
      <c r="H297" t="s">
        <v>152</v>
      </c>
      <c r="I297">
        <v>0</v>
      </c>
      <c r="J297">
        <v>0</v>
      </c>
      <c r="K297" t="s">
        <v>153</v>
      </c>
      <c r="L297" t="s">
        <v>154</v>
      </c>
      <c r="M297" t="s">
        <v>155</v>
      </c>
      <c r="N297" t="s">
        <v>107</v>
      </c>
      <c r="O297" t="s">
        <v>97</v>
      </c>
    </row>
    <row r="298" spans="1:15" x14ac:dyDescent="0.2">
      <c r="A298">
        <v>110</v>
      </c>
      <c r="B298">
        <v>111</v>
      </c>
      <c r="C298">
        <v>110</v>
      </c>
      <c r="D298">
        <v>109</v>
      </c>
      <c r="E298" t="s">
        <v>5</v>
      </c>
      <c r="F298" t="s">
        <v>16</v>
      </c>
      <c r="G298">
        <v>24</v>
      </c>
      <c r="H298" t="s">
        <v>156</v>
      </c>
      <c r="I298">
        <v>0.5</v>
      </c>
      <c r="J298">
        <v>0.5</v>
      </c>
      <c r="K298" t="s">
        <v>122</v>
      </c>
      <c r="L298" t="s">
        <v>157</v>
      </c>
      <c r="M298" t="s">
        <v>158</v>
      </c>
      <c r="N298" t="s">
        <v>107</v>
      </c>
      <c r="O298" t="s">
        <v>97</v>
      </c>
    </row>
    <row r="299" spans="1:15" x14ac:dyDescent="0.2">
      <c r="A299">
        <v>110</v>
      </c>
      <c r="B299">
        <v>111</v>
      </c>
      <c r="C299">
        <v>110</v>
      </c>
      <c r="D299">
        <v>109</v>
      </c>
      <c r="E299" t="s">
        <v>5</v>
      </c>
      <c r="F299" t="s">
        <v>16</v>
      </c>
      <c r="G299">
        <v>25</v>
      </c>
      <c r="H299" t="s">
        <v>156</v>
      </c>
      <c r="I299">
        <v>0.5</v>
      </c>
      <c r="J299">
        <v>0.5</v>
      </c>
      <c r="K299" t="s">
        <v>122</v>
      </c>
      <c r="L299" t="s">
        <v>157</v>
      </c>
      <c r="M299" t="s">
        <v>158</v>
      </c>
      <c r="N299" t="s">
        <v>107</v>
      </c>
      <c r="O299" t="s">
        <v>97</v>
      </c>
    </row>
    <row r="300" spans="1:15" x14ac:dyDescent="0.2">
      <c r="A300">
        <v>110</v>
      </c>
      <c r="B300">
        <v>111</v>
      </c>
      <c r="C300">
        <v>110</v>
      </c>
      <c r="D300">
        <v>109</v>
      </c>
      <c r="E300" t="s">
        <v>5</v>
      </c>
      <c r="F300" t="s">
        <v>16</v>
      </c>
      <c r="G300">
        <v>26</v>
      </c>
      <c r="H300" t="s">
        <v>152</v>
      </c>
      <c r="I300">
        <v>0</v>
      </c>
      <c r="J300">
        <v>0</v>
      </c>
      <c r="K300" t="s">
        <v>153</v>
      </c>
      <c r="L300" t="s">
        <v>154</v>
      </c>
      <c r="M300" t="s">
        <v>155</v>
      </c>
      <c r="N300" t="s">
        <v>107</v>
      </c>
      <c r="O300" t="s">
        <v>97</v>
      </c>
    </row>
    <row r="301" spans="1:15" x14ac:dyDescent="0.2">
      <c r="A301">
        <v>110</v>
      </c>
      <c r="B301">
        <v>111</v>
      </c>
      <c r="C301">
        <v>110</v>
      </c>
      <c r="D301">
        <v>109</v>
      </c>
      <c r="E301" t="s">
        <v>5</v>
      </c>
      <c r="F301" t="s">
        <v>16</v>
      </c>
      <c r="G301">
        <v>27</v>
      </c>
      <c r="H301" t="s">
        <v>159</v>
      </c>
      <c r="I301">
        <v>0.5</v>
      </c>
      <c r="J301">
        <v>0.5</v>
      </c>
      <c r="K301" t="s">
        <v>122</v>
      </c>
      <c r="L301" t="s">
        <v>160</v>
      </c>
      <c r="M301" t="s">
        <v>161</v>
      </c>
      <c r="N301" t="s">
        <v>107</v>
      </c>
      <c r="O301" t="s">
        <v>97</v>
      </c>
    </row>
    <row r="302" spans="1:15" x14ac:dyDescent="0.2">
      <c r="A302">
        <v>110</v>
      </c>
      <c r="B302">
        <v>111</v>
      </c>
      <c r="C302">
        <v>110</v>
      </c>
      <c r="D302">
        <v>109</v>
      </c>
      <c r="E302" t="s">
        <v>5</v>
      </c>
      <c r="F302" t="s">
        <v>16</v>
      </c>
      <c r="G302">
        <v>28</v>
      </c>
      <c r="H302" t="s">
        <v>159</v>
      </c>
      <c r="I302">
        <v>0</v>
      </c>
      <c r="J302">
        <v>0.5</v>
      </c>
      <c r="K302" t="s">
        <v>122</v>
      </c>
      <c r="L302" t="s">
        <v>160</v>
      </c>
      <c r="M302" t="s">
        <v>161</v>
      </c>
      <c r="N302" t="s">
        <v>107</v>
      </c>
      <c r="O302" t="s">
        <v>97</v>
      </c>
    </row>
    <row r="303" spans="1:15" x14ac:dyDescent="0.2">
      <c r="A303">
        <v>110</v>
      </c>
      <c r="B303">
        <v>111</v>
      </c>
      <c r="C303">
        <v>110</v>
      </c>
      <c r="D303">
        <v>109</v>
      </c>
      <c r="E303" t="s">
        <v>5</v>
      </c>
      <c r="F303" t="s">
        <v>16</v>
      </c>
      <c r="G303">
        <v>29</v>
      </c>
      <c r="H303" t="s">
        <v>152</v>
      </c>
      <c r="I303">
        <v>0</v>
      </c>
      <c r="J303">
        <v>0</v>
      </c>
      <c r="K303" t="s">
        <v>153</v>
      </c>
      <c r="L303" t="s">
        <v>154</v>
      </c>
      <c r="M303" t="s">
        <v>155</v>
      </c>
      <c r="N303" t="s">
        <v>107</v>
      </c>
      <c r="O303" t="s">
        <v>97</v>
      </c>
    </row>
    <row r="304" spans="1:15" x14ac:dyDescent="0.2">
      <c r="A304">
        <v>110</v>
      </c>
      <c r="B304">
        <v>111</v>
      </c>
      <c r="C304">
        <v>110</v>
      </c>
      <c r="D304">
        <v>109</v>
      </c>
      <c r="E304" t="s">
        <v>5</v>
      </c>
      <c r="F304" t="s">
        <v>16</v>
      </c>
      <c r="G304">
        <v>30</v>
      </c>
      <c r="H304" t="s">
        <v>162</v>
      </c>
      <c r="I304">
        <v>0</v>
      </c>
      <c r="J304">
        <v>1</v>
      </c>
      <c r="K304" t="s">
        <v>112</v>
      </c>
      <c r="L304" t="s">
        <v>163</v>
      </c>
      <c r="M304" t="s">
        <v>164</v>
      </c>
      <c r="N304" t="s">
        <v>107</v>
      </c>
      <c r="O304" t="s">
        <v>97</v>
      </c>
    </row>
    <row r="305" spans="1:15" x14ac:dyDescent="0.2">
      <c r="A305">
        <v>110</v>
      </c>
      <c r="B305">
        <v>111</v>
      </c>
      <c r="C305">
        <v>110</v>
      </c>
      <c r="D305">
        <v>109</v>
      </c>
      <c r="E305" t="s">
        <v>5</v>
      </c>
      <c r="F305" t="s">
        <v>16</v>
      </c>
      <c r="G305">
        <v>31</v>
      </c>
      <c r="H305" t="s">
        <v>162</v>
      </c>
      <c r="I305">
        <v>0</v>
      </c>
      <c r="J305">
        <v>0</v>
      </c>
      <c r="K305" t="s">
        <v>112</v>
      </c>
      <c r="L305" t="s">
        <v>163</v>
      </c>
      <c r="M305" t="s">
        <v>164</v>
      </c>
      <c r="N305" t="s">
        <v>107</v>
      </c>
      <c r="O305" t="s">
        <v>97</v>
      </c>
    </row>
    <row r="306" spans="1:15" x14ac:dyDescent="0.2">
      <c r="A306">
        <v>110</v>
      </c>
      <c r="B306">
        <v>111</v>
      </c>
      <c r="C306">
        <v>110</v>
      </c>
      <c r="D306">
        <v>109</v>
      </c>
      <c r="E306" t="s">
        <v>5</v>
      </c>
      <c r="F306" t="s">
        <v>16</v>
      </c>
      <c r="G306">
        <v>32</v>
      </c>
      <c r="H306" t="s">
        <v>162</v>
      </c>
      <c r="I306">
        <v>0</v>
      </c>
      <c r="J306">
        <v>0</v>
      </c>
      <c r="K306" t="s">
        <v>112</v>
      </c>
      <c r="L306" t="s">
        <v>163</v>
      </c>
      <c r="M306" t="s">
        <v>164</v>
      </c>
      <c r="N306" t="s">
        <v>107</v>
      </c>
      <c r="O306" t="s">
        <v>97</v>
      </c>
    </row>
    <row r="307" spans="1:15" x14ac:dyDescent="0.2">
      <c r="A307">
        <v>110</v>
      </c>
      <c r="B307">
        <v>111</v>
      </c>
      <c r="C307">
        <v>110</v>
      </c>
      <c r="D307">
        <v>109</v>
      </c>
      <c r="E307" t="s">
        <v>5</v>
      </c>
      <c r="F307" t="s">
        <v>16</v>
      </c>
      <c r="G307">
        <v>33</v>
      </c>
      <c r="H307" t="s">
        <v>152</v>
      </c>
      <c r="I307">
        <v>0</v>
      </c>
      <c r="J307">
        <v>1</v>
      </c>
      <c r="K307" t="s">
        <v>153</v>
      </c>
      <c r="L307" t="s">
        <v>154</v>
      </c>
      <c r="M307" t="s">
        <v>155</v>
      </c>
      <c r="N307" t="s">
        <v>107</v>
      </c>
      <c r="O307" t="s">
        <v>97</v>
      </c>
    </row>
    <row r="308" spans="1:15" x14ac:dyDescent="0.2">
      <c r="A308">
        <v>110</v>
      </c>
      <c r="B308">
        <v>111</v>
      </c>
      <c r="C308">
        <v>110</v>
      </c>
      <c r="D308">
        <v>109</v>
      </c>
      <c r="E308" t="s">
        <v>5</v>
      </c>
      <c r="F308" t="s">
        <v>16</v>
      </c>
      <c r="G308">
        <v>34</v>
      </c>
      <c r="H308" t="s">
        <v>152</v>
      </c>
      <c r="I308">
        <v>0</v>
      </c>
      <c r="J308">
        <v>0</v>
      </c>
      <c r="K308" t="s">
        <v>153</v>
      </c>
      <c r="L308" t="s">
        <v>154</v>
      </c>
      <c r="M308" t="s">
        <v>155</v>
      </c>
      <c r="N308" t="s">
        <v>107</v>
      </c>
      <c r="O308" t="s">
        <v>97</v>
      </c>
    </row>
    <row r="309" spans="1:15" x14ac:dyDescent="0.2">
      <c r="A309">
        <v>110</v>
      </c>
      <c r="B309">
        <v>111</v>
      </c>
      <c r="C309">
        <v>110</v>
      </c>
      <c r="D309">
        <v>109</v>
      </c>
      <c r="E309" t="s">
        <v>5</v>
      </c>
      <c r="F309" t="s">
        <v>16</v>
      </c>
      <c r="G309">
        <v>35</v>
      </c>
      <c r="H309" t="s">
        <v>165</v>
      </c>
      <c r="I309">
        <v>0</v>
      </c>
      <c r="J309">
        <v>1</v>
      </c>
      <c r="K309" t="s">
        <v>166</v>
      </c>
      <c r="L309" t="s">
        <v>167</v>
      </c>
      <c r="M309" t="s">
        <v>168</v>
      </c>
      <c r="N309" t="s">
        <v>107</v>
      </c>
      <c r="O309" t="s">
        <v>97</v>
      </c>
    </row>
    <row r="310" spans="1:15" x14ac:dyDescent="0.2">
      <c r="A310">
        <v>110</v>
      </c>
      <c r="B310">
        <v>111</v>
      </c>
      <c r="C310">
        <v>110</v>
      </c>
      <c r="D310">
        <v>109</v>
      </c>
      <c r="E310" t="s">
        <v>5</v>
      </c>
      <c r="F310" t="s">
        <v>16</v>
      </c>
      <c r="G310">
        <v>36</v>
      </c>
      <c r="H310" t="s">
        <v>169</v>
      </c>
      <c r="I310">
        <v>0</v>
      </c>
      <c r="J310">
        <v>0</v>
      </c>
      <c r="K310" t="e">
        <v>#N/A</v>
      </c>
      <c r="L310" t="e">
        <v>#N/A</v>
      </c>
      <c r="M310" t="e">
        <v>#N/A</v>
      </c>
      <c r="N310" t="e">
        <v>#N/A</v>
      </c>
      <c r="O310" t="s">
        <v>97</v>
      </c>
    </row>
    <row r="311" spans="1:15" x14ac:dyDescent="0.2">
      <c r="A311">
        <v>110</v>
      </c>
      <c r="B311">
        <v>111</v>
      </c>
      <c r="C311">
        <v>110</v>
      </c>
      <c r="D311">
        <v>109</v>
      </c>
      <c r="E311" t="s">
        <v>5</v>
      </c>
      <c r="F311" t="s">
        <v>16</v>
      </c>
      <c r="G311">
        <v>38</v>
      </c>
      <c r="H311" t="s">
        <v>170</v>
      </c>
      <c r="I311">
        <v>0</v>
      </c>
      <c r="J311">
        <v>0.5</v>
      </c>
      <c r="K311" t="s">
        <v>112</v>
      </c>
      <c r="L311" t="s">
        <v>171</v>
      </c>
      <c r="M311" t="s">
        <v>172</v>
      </c>
      <c r="N311" t="s">
        <v>96</v>
      </c>
      <c r="O311" t="s">
        <v>97</v>
      </c>
    </row>
    <row r="312" spans="1:15" x14ac:dyDescent="0.2">
      <c r="A312">
        <v>110</v>
      </c>
      <c r="B312">
        <v>111</v>
      </c>
      <c r="C312">
        <v>110</v>
      </c>
      <c r="D312">
        <v>109</v>
      </c>
      <c r="E312" t="s">
        <v>5</v>
      </c>
      <c r="F312" t="s">
        <v>16</v>
      </c>
      <c r="G312">
        <v>39</v>
      </c>
      <c r="H312" t="s">
        <v>170</v>
      </c>
      <c r="I312">
        <v>0</v>
      </c>
      <c r="J312">
        <v>0.5</v>
      </c>
      <c r="K312" t="s">
        <v>112</v>
      </c>
      <c r="L312" t="s">
        <v>171</v>
      </c>
      <c r="M312" t="s">
        <v>172</v>
      </c>
      <c r="N312" t="s">
        <v>96</v>
      </c>
      <c r="O312" t="s">
        <v>97</v>
      </c>
    </row>
    <row r="313" spans="1:15" x14ac:dyDescent="0.2">
      <c r="A313">
        <v>110</v>
      </c>
      <c r="B313">
        <v>111</v>
      </c>
      <c r="C313">
        <v>110</v>
      </c>
      <c r="D313">
        <v>109</v>
      </c>
      <c r="E313" t="s">
        <v>5</v>
      </c>
      <c r="F313" t="s">
        <v>16</v>
      </c>
      <c r="G313">
        <v>40</v>
      </c>
      <c r="H313" t="s">
        <v>170</v>
      </c>
      <c r="I313">
        <v>0</v>
      </c>
      <c r="J313">
        <v>0.5</v>
      </c>
      <c r="K313" t="s">
        <v>112</v>
      </c>
      <c r="L313" t="s">
        <v>171</v>
      </c>
      <c r="M313" t="s">
        <v>172</v>
      </c>
      <c r="N313" t="s">
        <v>96</v>
      </c>
      <c r="O313" t="s">
        <v>97</v>
      </c>
    </row>
    <row r="314" spans="1:15" x14ac:dyDescent="0.2">
      <c r="A314">
        <v>110</v>
      </c>
      <c r="B314">
        <v>111</v>
      </c>
      <c r="C314">
        <v>110</v>
      </c>
      <c r="D314">
        <v>109</v>
      </c>
      <c r="E314" t="s">
        <v>5</v>
      </c>
      <c r="F314" t="s">
        <v>16</v>
      </c>
      <c r="G314">
        <v>41</v>
      </c>
      <c r="H314" t="s">
        <v>173</v>
      </c>
      <c r="I314">
        <v>0.5</v>
      </c>
      <c r="J314">
        <v>1</v>
      </c>
      <c r="K314" t="s">
        <v>166</v>
      </c>
      <c r="L314" t="s">
        <v>174</v>
      </c>
      <c r="M314" t="s">
        <v>175</v>
      </c>
      <c r="N314" t="s">
        <v>107</v>
      </c>
      <c r="O314" t="s">
        <v>97</v>
      </c>
    </row>
    <row r="315" spans="1:15" x14ac:dyDescent="0.2">
      <c r="A315">
        <v>110</v>
      </c>
      <c r="B315">
        <v>111</v>
      </c>
      <c r="C315">
        <v>110</v>
      </c>
      <c r="D315">
        <v>109</v>
      </c>
      <c r="E315" t="s">
        <v>5</v>
      </c>
      <c r="F315" t="s">
        <v>16</v>
      </c>
      <c r="G315">
        <v>42</v>
      </c>
      <c r="H315" t="s">
        <v>176</v>
      </c>
      <c r="I315">
        <v>0</v>
      </c>
      <c r="J315" t="s">
        <v>198</v>
      </c>
      <c r="K315" t="s">
        <v>153</v>
      </c>
      <c r="L315" t="s">
        <v>177</v>
      </c>
      <c r="M315" t="s">
        <v>178</v>
      </c>
      <c r="N315" t="s">
        <v>107</v>
      </c>
      <c r="O315" t="s">
        <v>97</v>
      </c>
    </row>
    <row r="316" spans="1:15" x14ac:dyDescent="0.2">
      <c r="A316">
        <v>110</v>
      </c>
      <c r="B316">
        <v>111</v>
      </c>
      <c r="C316">
        <v>110</v>
      </c>
      <c r="D316">
        <v>109</v>
      </c>
      <c r="E316" t="s">
        <v>5</v>
      </c>
      <c r="F316" t="s">
        <v>16</v>
      </c>
      <c r="G316">
        <v>43</v>
      </c>
      <c r="H316" t="s">
        <v>179</v>
      </c>
      <c r="I316">
        <v>0</v>
      </c>
      <c r="J316">
        <v>0</v>
      </c>
      <c r="K316" t="s">
        <v>166</v>
      </c>
      <c r="L316" t="s">
        <v>180</v>
      </c>
      <c r="M316" t="s">
        <v>181</v>
      </c>
      <c r="N316" t="s">
        <v>107</v>
      </c>
      <c r="O316" t="s">
        <v>97</v>
      </c>
    </row>
    <row r="317" spans="1:15" x14ac:dyDescent="0.2">
      <c r="A317">
        <v>110</v>
      </c>
      <c r="B317">
        <v>111</v>
      </c>
      <c r="C317">
        <v>110</v>
      </c>
      <c r="D317">
        <v>109</v>
      </c>
      <c r="E317" t="s">
        <v>5</v>
      </c>
      <c r="F317" t="s">
        <v>16</v>
      </c>
      <c r="G317">
        <v>44</v>
      </c>
      <c r="H317" t="s">
        <v>182</v>
      </c>
      <c r="I317">
        <v>0</v>
      </c>
      <c r="J317">
        <v>1</v>
      </c>
      <c r="K317" t="s">
        <v>166</v>
      </c>
      <c r="L317" t="s">
        <v>183</v>
      </c>
      <c r="M317" t="s">
        <v>184</v>
      </c>
      <c r="N317" t="s">
        <v>107</v>
      </c>
      <c r="O317" t="s">
        <v>97</v>
      </c>
    </row>
    <row r="318" spans="1:15" x14ac:dyDescent="0.2">
      <c r="A318">
        <v>110</v>
      </c>
      <c r="B318">
        <v>111</v>
      </c>
      <c r="C318">
        <v>110</v>
      </c>
      <c r="D318">
        <v>109</v>
      </c>
      <c r="E318" t="s">
        <v>5</v>
      </c>
      <c r="F318" t="s">
        <v>16</v>
      </c>
      <c r="G318">
        <v>45</v>
      </c>
      <c r="H318" t="s">
        <v>185</v>
      </c>
      <c r="I318">
        <v>1</v>
      </c>
      <c r="J318">
        <v>1</v>
      </c>
      <c r="K318" t="s">
        <v>166</v>
      </c>
      <c r="L318" t="s">
        <v>186</v>
      </c>
      <c r="M318" t="s">
        <v>139</v>
      </c>
      <c r="N318" t="s">
        <v>107</v>
      </c>
      <c r="O318" t="s">
        <v>97</v>
      </c>
    </row>
    <row r="319" spans="1:15" x14ac:dyDescent="0.2">
      <c r="A319">
        <v>110</v>
      </c>
      <c r="B319">
        <v>111</v>
      </c>
      <c r="C319">
        <v>110</v>
      </c>
      <c r="D319">
        <v>109</v>
      </c>
      <c r="E319" t="s">
        <v>5</v>
      </c>
      <c r="F319" t="s">
        <v>16</v>
      </c>
      <c r="G319">
        <v>47</v>
      </c>
      <c r="H319" t="s">
        <v>187</v>
      </c>
      <c r="I319">
        <v>0</v>
      </c>
      <c r="J319">
        <v>0.2</v>
      </c>
      <c r="K319" t="s">
        <v>93</v>
      </c>
      <c r="L319" t="s">
        <v>188</v>
      </c>
      <c r="M319" t="s">
        <v>95</v>
      </c>
      <c r="N319" t="s">
        <v>96</v>
      </c>
      <c r="O319" t="s">
        <v>97</v>
      </c>
    </row>
    <row r="320" spans="1:15" x14ac:dyDescent="0.2">
      <c r="A320">
        <v>110</v>
      </c>
      <c r="B320">
        <v>111</v>
      </c>
      <c r="C320">
        <v>110</v>
      </c>
      <c r="D320">
        <v>109</v>
      </c>
      <c r="E320" t="s">
        <v>5</v>
      </c>
      <c r="F320" t="s">
        <v>16</v>
      </c>
      <c r="G320">
        <v>48</v>
      </c>
      <c r="H320" t="s">
        <v>189</v>
      </c>
      <c r="I320">
        <v>0</v>
      </c>
      <c r="J320">
        <v>0.2</v>
      </c>
      <c r="K320" t="s">
        <v>93</v>
      </c>
      <c r="L320" t="s">
        <v>190</v>
      </c>
      <c r="M320" t="s">
        <v>95</v>
      </c>
      <c r="N320" t="s">
        <v>96</v>
      </c>
      <c r="O320" t="s">
        <v>97</v>
      </c>
    </row>
    <row r="321" spans="1:15" x14ac:dyDescent="0.2">
      <c r="A321">
        <v>110</v>
      </c>
      <c r="B321">
        <v>111</v>
      </c>
      <c r="C321">
        <v>110</v>
      </c>
      <c r="D321">
        <v>109</v>
      </c>
      <c r="E321" t="s">
        <v>5</v>
      </c>
      <c r="F321" t="s">
        <v>16</v>
      </c>
      <c r="G321">
        <v>49</v>
      </c>
      <c r="H321" t="s">
        <v>191</v>
      </c>
      <c r="I321">
        <v>0</v>
      </c>
      <c r="J321">
        <v>0.2</v>
      </c>
      <c r="K321" t="s">
        <v>93</v>
      </c>
      <c r="L321" t="s">
        <v>192</v>
      </c>
      <c r="M321" t="s">
        <v>95</v>
      </c>
      <c r="N321" t="s">
        <v>96</v>
      </c>
      <c r="O321" t="s">
        <v>97</v>
      </c>
    </row>
    <row r="322" spans="1:15" x14ac:dyDescent="0.2">
      <c r="A322">
        <v>110</v>
      </c>
      <c r="B322">
        <v>111</v>
      </c>
      <c r="C322">
        <v>110</v>
      </c>
      <c r="D322">
        <v>109</v>
      </c>
      <c r="E322" t="s">
        <v>5</v>
      </c>
      <c r="F322" t="s">
        <v>16</v>
      </c>
      <c r="G322">
        <v>50</v>
      </c>
      <c r="H322" t="s">
        <v>193</v>
      </c>
      <c r="I322">
        <v>0.1</v>
      </c>
      <c r="J322">
        <v>0.1</v>
      </c>
      <c r="K322" t="s">
        <v>93</v>
      </c>
      <c r="L322" t="s">
        <v>194</v>
      </c>
      <c r="M322" t="s">
        <v>95</v>
      </c>
      <c r="N322" t="s">
        <v>96</v>
      </c>
      <c r="O322" t="s">
        <v>97</v>
      </c>
    </row>
    <row r="323" spans="1:15" x14ac:dyDescent="0.2">
      <c r="A323">
        <v>110</v>
      </c>
      <c r="B323">
        <v>111</v>
      </c>
      <c r="C323">
        <v>110</v>
      </c>
      <c r="D323">
        <v>109</v>
      </c>
      <c r="E323" t="s">
        <v>5</v>
      </c>
      <c r="F323" t="s">
        <v>16</v>
      </c>
      <c r="G323">
        <v>51</v>
      </c>
      <c r="H323" t="s">
        <v>193</v>
      </c>
      <c r="I323">
        <v>0.1</v>
      </c>
      <c r="J323">
        <v>0.1</v>
      </c>
      <c r="K323" t="s">
        <v>93</v>
      </c>
      <c r="L323" t="s">
        <v>194</v>
      </c>
      <c r="M323" t="s">
        <v>95</v>
      </c>
      <c r="N323" t="s">
        <v>96</v>
      </c>
      <c r="O323" t="s">
        <v>97</v>
      </c>
    </row>
    <row r="324" spans="1:15" x14ac:dyDescent="0.2">
      <c r="A324">
        <v>115</v>
      </c>
      <c r="B324">
        <v>116</v>
      </c>
      <c r="C324">
        <v>115</v>
      </c>
      <c r="D324">
        <v>114</v>
      </c>
      <c r="E324" t="s">
        <v>5</v>
      </c>
      <c r="F324" t="s">
        <v>17</v>
      </c>
      <c r="G324">
        <v>1</v>
      </c>
      <c r="H324" t="s">
        <v>92</v>
      </c>
      <c r="I324">
        <v>0</v>
      </c>
      <c r="J324">
        <v>0.2</v>
      </c>
      <c r="K324" t="s">
        <v>93</v>
      </c>
      <c r="L324" t="s">
        <v>94</v>
      </c>
      <c r="M324" t="s">
        <v>95</v>
      </c>
      <c r="N324" t="s">
        <v>96</v>
      </c>
      <c r="O324" t="s">
        <v>97</v>
      </c>
    </row>
    <row r="325" spans="1:15" x14ac:dyDescent="0.2">
      <c r="A325">
        <v>115</v>
      </c>
      <c r="B325">
        <v>116</v>
      </c>
      <c r="C325">
        <v>115</v>
      </c>
      <c r="D325">
        <v>114</v>
      </c>
      <c r="E325" t="s">
        <v>5</v>
      </c>
      <c r="F325" t="s">
        <v>17</v>
      </c>
      <c r="G325">
        <v>2</v>
      </c>
      <c r="H325" t="s">
        <v>98</v>
      </c>
      <c r="I325">
        <v>0.25</v>
      </c>
      <c r="J325">
        <v>0.5</v>
      </c>
      <c r="K325" t="s">
        <v>93</v>
      </c>
      <c r="L325" t="s">
        <v>99</v>
      </c>
      <c r="M325" t="s">
        <v>95</v>
      </c>
      <c r="N325" t="s">
        <v>96</v>
      </c>
      <c r="O325" t="s">
        <v>97</v>
      </c>
    </row>
    <row r="326" spans="1:15" x14ac:dyDescent="0.2">
      <c r="A326">
        <v>115</v>
      </c>
      <c r="B326">
        <v>116</v>
      </c>
      <c r="C326">
        <v>115</v>
      </c>
      <c r="D326">
        <v>114</v>
      </c>
      <c r="E326" t="s">
        <v>5</v>
      </c>
      <c r="F326" t="s">
        <v>17</v>
      </c>
      <c r="G326">
        <v>3</v>
      </c>
      <c r="H326" t="s">
        <v>100</v>
      </c>
      <c r="I326">
        <v>1</v>
      </c>
      <c r="J326">
        <v>1</v>
      </c>
      <c r="K326" t="s">
        <v>101</v>
      </c>
      <c r="L326" t="s">
        <v>102</v>
      </c>
      <c r="M326" t="s">
        <v>103</v>
      </c>
      <c r="N326" t="s">
        <v>96</v>
      </c>
      <c r="O326" t="s">
        <v>97</v>
      </c>
    </row>
    <row r="327" spans="1:15" x14ac:dyDescent="0.2">
      <c r="A327">
        <v>115</v>
      </c>
      <c r="B327">
        <v>116</v>
      </c>
      <c r="C327">
        <v>115</v>
      </c>
      <c r="D327">
        <v>114</v>
      </c>
      <c r="E327" t="s">
        <v>5</v>
      </c>
      <c r="F327" t="s">
        <v>17</v>
      </c>
      <c r="G327">
        <v>4</v>
      </c>
      <c r="H327" t="s">
        <v>104</v>
      </c>
      <c r="I327">
        <v>1</v>
      </c>
      <c r="J327">
        <v>1</v>
      </c>
      <c r="K327" t="s">
        <v>101</v>
      </c>
      <c r="L327" t="s">
        <v>105</v>
      </c>
      <c r="M327" t="s">
        <v>106</v>
      </c>
      <c r="N327" t="s">
        <v>107</v>
      </c>
      <c r="O327" t="s">
        <v>97</v>
      </c>
    </row>
    <row r="328" spans="1:15" x14ac:dyDescent="0.2">
      <c r="A328">
        <v>115</v>
      </c>
      <c r="B328">
        <v>116</v>
      </c>
      <c r="C328">
        <v>115</v>
      </c>
      <c r="D328">
        <v>114</v>
      </c>
      <c r="E328" t="s">
        <v>5</v>
      </c>
      <c r="F328" t="s">
        <v>17</v>
      </c>
      <c r="G328">
        <v>5</v>
      </c>
      <c r="H328" t="s">
        <v>108</v>
      </c>
      <c r="I328">
        <v>0.5</v>
      </c>
      <c r="J328">
        <v>1</v>
      </c>
      <c r="K328" t="s">
        <v>101</v>
      </c>
      <c r="L328" t="s">
        <v>109</v>
      </c>
      <c r="M328" t="s">
        <v>110</v>
      </c>
      <c r="N328" t="s">
        <v>107</v>
      </c>
      <c r="O328" t="s">
        <v>97</v>
      </c>
    </row>
    <row r="329" spans="1:15" x14ac:dyDescent="0.2">
      <c r="A329">
        <v>115</v>
      </c>
      <c r="B329">
        <v>116</v>
      </c>
      <c r="C329">
        <v>115</v>
      </c>
      <c r="D329">
        <v>114</v>
      </c>
      <c r="E329" t="s">
        <v>5</v>
      </c>
      <c r="F329" t="s">
        <v>17</v>
      </c>
      <c r="G329">
        <v>9</v>
      </c>
      <c r="H329" t="s">
        <v>111</v>
      </c>
      <c r="I329">
        <v>0.25</v>
      </c>
      <c r="J329">
        <v>0.5</v>
      </c>
      <c r="K329" t="s">
        <v>112</v>
      </c>
      <c r="L329" t="s">
        <v>113</v>
      </c>
      <c r="M329" t="s">
        <v>114</v>
      </c>
      <c r="N329" t="s">
        <v>96</v>
      </c>
      <c r="O329" t="s">
        <v>97</v>
      </c>
    </row>
    <row r="330" spans="1:15" x14ac:dyDescent="0.2">
      <c r="A330">
        <v>115</v>
      </c>
      <c r="B330">
        <v>116</v>
      </c>
      <c r="C330">
        <v>115</v>
      </c>
      <c r="D330">
        <v>114</v>
      </c>
      <c r="E330" t="s">
        <v>5</v>
      </c>
      <c r="F330" t="s">
        <v>17</v>
      </c>
      <c r="G330">
        <v>10</v>
      </c>
      <c r="H330" t="s">
        <v>115</v>
      </c>
      <c r="I330">
        <v>0</v>
      </c>
      <c r="J330">
        <v>0.5</v>
      </c>
      <c r="K330" t="s">
        <v>112</v>
      </c>
      <c r="L330" t="s">
        <v>116</v>
      </c>
      <c r="M330" t="s">
        <v>117</v>
      </c>
      <c r="N330" t="s">
        <v>96</v>
      </c>
      <c r="O330" t="s">
        <v>97</v>
      </c>
    </row>
    <row r="331" spans="1:15" x14ac:dyDescent="0.2">
      <c r="A331">
        <v>115</v>
      </c>
      <c r="B331">
        <v>116</v>
      </c>
      <c r="C331">
        <v>115</v>
      </c>
      <c r="D331">
        <v>114</v>
      </c>
      <c r="E331" t="s">
        <v>5</v>
      </c>
      <c r="F331" t="s">
        <v>17</v>
      </c>
      <c r="G331">
        <v>11</v>
      </c>
      <c r="H331" t="s">
        <v>118</v>
      </c>
      <c r="I331">
        <v>0.5</v>
      </c>
      <c r="J331">
        <v>1</v>
      </c>
      <c r="K331" t="s">
        <v>112</v>
      </c>
      <c r="L331" t="s">
        <v>119</v>
      </c>
      <c r="M331" t="s">
        <v>120</v>
      </c>
      <c r="N331" t="s">
        <v>107</v>
      </c>
      <c r="O331" t="s">
        <v>97</v>
      </c>
    </row>
    <row r="332" spans="1:15" x14ac:dyDescent="0.2">
      <c r="A332">
        <v>115</v>
      </c>
      <c r="B332">
        <v>116</v>
      </c>
      <c r="C332">
        <v>115</v>
      </c>
      <c r="D332">
        <v>114</v>
      </c>
      <c r="E332" t="s">
        <v>5</v>
      </c>
      <c r="F332" t="s">
        <v>17</v>
      </c>
      <c r="G332">
        <v>12</v>
      </c>
      <c r="H332" t="s">
        <v>121</v>
      </c>
      <c r="I332">
        <v>0</v>
      </c>
      <c r="J332">
        <v>0.5</v>
      </c>
      <c r="K332" t="s">
        <v>122</v>
      </c>
      <c r="L332" t="s">
        <v>113</v>
      </c>
      <c r="M332" t="s">
        <v>123</v>
      </c>
      <c r="N332" t="s">
        <v>96</v>
      </c>
      <c r="O332" t="s">
        <v>97</v>
      </c>
    </row>
    <row r="333" spans="1:15" x14ac:dyDescent="0.2">
      <c r="A333">
        <v>115</v>
      </c>
      <c r="B333">
        <v>116</v>
      </c>
      <c r="C333">
        <v>115</v>
      </c>
      <c r="D333">
        <v>114</v>
      </c>
      <c r="E333" t="s">
        <v>5</v>
      </c>
      <c r="F333" t="s">
        <v>17</v>
      </c>
      <c r="G333">
        <v>13</v>
      </c>
      <c r="H333" t="s">
        <v>124</v>
      </c>
      <c r="I333">
        <v>0</v>
      </c>
      <c r="J333">
        <v>0.5</v>
      </c>
      <c r="K333" t="s">
        <v>122</v>
      </c>
      <c r="L333" t="s">
        <v>125</v>
      </c>
      <c r="M333" t="s">
        <v>126</v>
      </c>
      <c r="N333" t="s">
        <v>96</v>
      </c>
      <c r="O333" t="s">
        <v>97</v>
      </c>
    </row>
    <row r="334" spans="1:15" x14ac:dyDescent="0.2">
      <c r="A334">
        <v>115</v>
      </c>
      <c r="B334">
        <v>116</v>
      </c>
      <c r="C334">
        <v>115</v>
      </c>
      <c r="D334">
        <v>114</v>
      </c>
      <c r="E334" t="s">
        <v>5</v>
      </c>
      <c r="F334" t="s">
        <v>17</v>
      </c>
      <c r="G334">
        <v>14</v>
      </c>
      <c r="H334" t="s">
        <v>127</v>
      </c>
      <c r="I334">
        <v>0.5</v>
      </c>
      <c r="J334">
        <v>1</v>
      </c>
      <c r="K334" t="s">
        <v>122</v>
      </c>
      <c r="L334" t="s">
        <v>119</v>
      </c>
      <c r="M334" t="s">
        <v>128</v>
      </c>
      <c r="N334" t="s">
        <v>107</v>
      </c>
      <c r="O334" t="s">
        <v>97</v>
      </c>
    </row>
    <row r="335" spans="1:15" x14ac:dyDescent="0.2">
      <c r="A335">
        <v>115</v>
      </c>
      <c r="B335">
        <v>116</v>
      </c>
      <c r="C335">
        <v>115</v>
      </c>
      <c r="D335">
        <v>114</v>
      </c>
      <c r="E335" t="s">
        <v>5</v>
      </c>
      <c r="F335" t="s">
        <v>17</v>
      </c>
      <c r="G335">
        <v>15</v>
      </c>
      <c r="H335" t="s">
        <v>129</v>
      </c>
      <c r="I335">
        <v>0</v>
      </c>
      <c r="J335">
        <v>1</v>
      </c>
      <c r="K335" t="s">
        <v>130</v>
      </c>
      <c r="L335" t="s">
        <v>131</v>
      </c>
      <c r="M335" t="s">
        <v>132</v>
      </c>
      <c r="N335" t="s">
        <v>107</v>
      </c>
      <c r="O335" t="s">
        <v>97</v>
      </c>
    </row>
    <row r="336" spans="1:15" x14ac:dyDescent="0.2">
      <c r="A336">
        <v>115</v>
      </c>
      <c r="B336">
        <v>116</v>
      </c>
      <c r="C336">
        <v>115</v>
      </c>
      <c r="D336">
        <v>114</v>
      </c>
      <c r="E336" t="s">
        <v>5</v>
      </c>
      <c r="F336" t="s">
        <v>17</v>
      </c>
      <c r="G336">
        <v>16</v>
      </c>
      <c r="H336" t="s">
        <v>133</v>
      </c>
      <c r="I336">
        <v>0</v>
      </c>
      <c r="J336">
        <v>0</v>
      </c>
      <c r="K336" t="e">
        <v>#N/A</v>
      </c>
      <c r="L336" t="e">
        <v>#N/A</v>
      </c>
      <c r="M336" t="e">
        <v>#N/A</v>
      </c>
      <c r="N336" t="e">
        <v>#N/A</v>
      </c>
      <c r="O336" t="s">
        <v>97</v>
      </c>
    </row>
    <row r="337" spans="1:15" x14ac:dyDescent="0.2">
      <c r="A337">
        <v>115</v>
      </c>
      <c r="B337">
        <v>116</v>
      </c>
      <c r="C337">
        <v>115</v>
      </c>
      <c r="D337">
        <v>114</v>
      </c>
      <c r="E337" t="s">
        <v>5</v>
      </c>
      <c r="F337" t="s">
        <v>17</v>
      </c>
      <c r="G337">
        <v>17</v>
      </c>
      <c r="H337" t="s">
        <v>134</v>
      </c>
      <c r="I337">
        <v>0.5</v>
      </c>
      <c r="J337">
        <v>1</v>
      </c>
      <c r="K337" t="s">
        <v>112</v>
      </c>
      <c r="L337" t="s">
        <v>135</v>
      </c>
      <c r="M337" t="s">
        <v>136</v>
      </c>
      <c r="N337" t="s">
        <v>107</v>
      </c>
      <c r="O337" t="s">
        <v>97</v>
      </c>
    </row>
    <row r="338" spans="1:15" x14ac:dyDescent="0.2">
      <c r="A338">
        <v>115</v>
      </c>
      <c r="B338">
        <v>116</v>
      </c>
      <c r="C338">
        <v>115</v>
      </c>
      <c r="D338">
        <v>114</v>
      </c>
      <c r="E338" t="s">
        <v>5</v>
      </c>
      <c r="F338" t="s">
        <v>17</v>
      </c>
      <c r="G338">
        <v>18</v>
      </c>
      <c r="H338" t="s">
        <v>137</v>
      </c>
      <c r="I338">
        <v>1</v>
      </c>
      <c r="J338">
        <v>1</v>
      </c>
      <c r="K338" t="s">
        <v>112</v>
      </c>
      <c r="L338" t="s">
        <v>138</v>
      </c>
      <c r="M338" t="s">
        <v>139</v>
      </c>
      <c r="N338" t="s">
        <v>107</v>
      </c>
      <c r="O338" t="s">
        <v>97</v>
      </c>
    </row>
    <row r="339" spans="1:15" x14ac:dyDescent="0.2">
      <c r="A339">
        <v>115</v>
      </c>
      <c r="B339">
        <v>116</v>
      </c>
      <c r="C339">
        <v>115</v>
      </c>
      <c r="D339">
        <v>114</v>
      </c>
      <c r="E339" t="s">
        <v>5</v>
      </c>
      <c r="F339" t="s">
        <v>17</v>
      </c>
      <c r="G339">
        <v>19</v>
      </c>
      <c r="H339" t="s">
        <v>140</v>
      </c>
      <c r="I339">
        <v>0.5</v>
      </c>
      <c r="J339">
        <v>1</v>
      </c>
      <c r="K339" t="s">
        <v>122</v>
      </c>
      <c r="L339" t="s">
        <v>141</v>
      </c>
      <c r="M339" t="s">
        <v>142</v>
      </c>
      <c r="N339" t="s">
        <v>107</v>
      </c>
      <c r="O339" t="s">
        <v>97</v>
      </c>
    </row>
    <row r="340" spans="1:15" x14ac:dyDescent="0.2">
      <c r="A340">
        <v>115</v>
      </c>
      <c r="B340">
        <v>116</v>
      </c>
      <c r="C340">
        <v>115</v>
      </c>
      <c r="D340">
        <v>114</v>
      </c>
      <c r="E340" t="s">
        <v>5</v>
      </c>
      <c r="F340" t="s">
        <v>17</v>
      </c>
      <c r="G340">
        <v>20</v>
      </c>
      <c r="H340" t="s">
        <v>143</v>
      </c>
      <c r="I340">
        <v>0</v>
      </c>
      <c r="J340">
        <v>1</v>
      </c>
      <c r="K340" t="s">
        <v>122</v>
      </c>
      <c r="L340" t="s">
        <v>144</v>
      </c>
      <c r="M340" t="s">
        <v>145</v>
      </c>
      <c r="N340" t="s">
        <v>107</v>
      </c>
      <c r="O340" t="s">
        <v>97</v>
      </c>
    </row>
    <row r="341" spans="1:15" x14ac:dyDescent="0.2">
      <c r="A341">
        <v>115</v>
      </c>
      <c r="B341">
        <v>116</v>
      </c>
      <c r="C341">
        <v>115</v>
      </c>
      <c r="D341">
        <v>114</v>
      </c>
      <c r="E341" t="s">
        <v>5</v>
      </c>
      <c r="F341" t="s">
        <v>17</v>
      </c>
      <c r="G341">
        <v>21</v>
      </c>
      <c r="H341" t="s">
        <v>146</v>
      </c>
      <c r="I341">
        <v>1</v>
      </c>
      <c r="J341">
        <v>1</v>
      </c>
      <c r="K341" t="s">
        <v>147</v>
      </c>
      <c r="L341" t="s">
        <v>148</v>
      </c>
      <c r="M341" t="s">
        <v>149</v>
      </c>
      <c r="N341" t="s">
        <v>96</v>
      </c>
      <c r="O341" t="s">
        <v>97</v>
      </c>
    </row>
    <row r="342" spans="1:15" x14ac:dyDescent="0.2">
      <c r="A342">
        <v>115</v>
      </c>
      <c r="B342">
        <v>116</v>
      </c>
      <c r="C342">
        <v>115</v>
      </c>
      <c r="D342">
        <v>114</v>
      </c>
      <c r="E342" t="s">
        <v>5</v>
      </c>
      <c r="F342" t="s">
        <v>17</v>
      </c>
      <c r="G342">
        <v>22</v>
      </c>
      <c r="H342" t="s">
        <v>150</v>
      </c>
      <c r="I342">
        <v>0</v>
      </c>
      <c r="J342">
        <v>1</v>
      </c>
      <c r="K342" t="s">
        <v>147</v>
      </c>
      <c r="L342" t="s">
        <v>151</v>
      </c>
      <c r="M342" t="s">
        <v>149</v>
      </c>
      <c r="N342" t="s">
        <v>107</v>
      </c>
      <c r="O342" t="s">
        <v>97</v>
      </c>
    </row>
    <row r="343" spans="1:15" x14ac:dyDescent="0.2">
      <c r="A343">
        <v>115</v>
      </c>
      <c r="B343">
        <v>116</v>
      </c>
      <c r="C343">
        <v>115</v>
      </c>
      <c r="D343">
        <v>114</v>
      </c>
      <c r="E343" t="s">
        <v>5</v>
      </c>
      <c r="F343" t="s">
        <v>17</v>
      </c>
      <c r="G343">
        <v>23</v>
      </c>
      <c r="H343" t="s">
        <v>152</v>
      </c>
      <c r="I343">
        <v>0</v>
      </c>
      <c r="J343">
        <v>0</v>
      </c>
      <c r="K343" t="s">
        <v>153</v>
      </c>
      <c r="L343" t="s">
        <v>154</v>
      </c>
      <c r="M343" t="s">
        <v>155</v>
      </c>
      <c r="N343" t="s">
        <v>107</v>
      </c>
      <c r="O343" t="s">
        <v>97</v>
      </c>
    </row>
    <row r="344" spans="1:15" x14ac:dyDescent="0.2">
      <c r="A344">
        <v>115</v>
      </c>
      <c r="B344">
        <v>116</v>
      </c>
      <c r="C344">
        <v>115</v>
      </c>
      <c r="D344">
        <v>114</v>
      </c>
      <c r="E344" t="s">
        <v>5</v>
      </c>
      <c r="F344" t="s">
        <v>17</v>
      </c>
      <c r="G344">
        <v>24</v>
      </c>
      <c r="H344" t="s">
        <v>156</v>
      </c>
      <c r="I344">
        <v>0</v>
      </c>
      <c r="J344">
        <v>0.5</v>
      </c>
      <c r="K344" t="s">
        <v>122</v>
      </c>
      <c r="L344" t="s">
        <v>157</v>
      </c>
      <c r="M344" t="s">
        <v>158</v>
      </c>
      <c r="N344" t="s">
        <v>107</v>
      </c>
      <c r="O344" t="s">
        <v>97</v>
      </c>
    </row>
    <row r="345" spans="1:15" x14ac:dyDescent="0.2">
      <c r="A345">
        <v>115</v>
      </c>
      <c r="B345">
        <v>116</v>
      </c>
      <c r="C345">
        <v>115</v>
      </c>
      <c r="D345">
        <v>114</v>
      </c>
      <c r="E345" t="s">
        <v>5</v>
      </c>
      <c r="F345" t="s">
        <v>17</v>
      </c>
      <c r="G345">
        <v>25</v>
      </c>
      <c r="H345" t="s">
        <v>156</v>
      </c>
      <c r="I345">
        <v>0</v>
      </c>
      <c r="J345">
        <v>0.5</v>
      </c>
      <c r="K345" t="s">
        <v>122</v>
      </c>
      <c r="L345" t="s">
        <v>157</v>
      </c>
      <c r="M345" t="s">
        <v>158</v>
      </c>
      <c r="N345" t="s">
        <v>107</v>
      </c>
      <c r="O345" t="s">
        <v>97</v>
      </c>
    </row>
    <row r="346" spans="1:15" x14ac:dyDescent="0.2">
      <c r="A346">
        <v>115</v>
      </c>
      <c r="B346">
        <v>116</v>
      </c>
      <c r="C346">
        <v>115</v>
      </c>
      <c r="D346">
        <v>114</v>
      </c>
      <c r="E346" t="s">
        <v>5</v>
      </c>
      <c r="F346" t="s">
        <v>17</v>
      </c>
      <c r="G346">
        <v>26</v>
      </c>
      <c r="H346" t="s">
        <v>152</v>
      </c>
      <c r="I346">
        <v>0</v>
      </c>
      <c r="J346">
        <v>0</v>
      </c>
      <c r="K346" t="s">
        <v>153</v>
      </c>
      <c r="L346" t="s">
        <v>154</v>
      </c>
      <c r="M346" t="s">
        <v>155</v>
      </c>
      <c r="N346" t="s">
        <v>107</v>
      </c>
      <c r="O346" t="s">
        <v>97</v>
      </c>
    </row>
    <row r="347" spans="1:15" x14ac:dyDescent="0.2">
      <c r="A347">
        <v>115</v>
      </c>
      <c r="B347">
        <v>116</v>
      </c>
      <c r="C347">
        <v>115</v>
      </c>
      <c r="D347">
        <v>114</v>
      </c>
      <c r="E347" t="s">
        <v>5</v>
      </c>
      <c r="F347" t="s">
        <v>17</v>
      </c>
      <c r="G347">
        <v>27</v>
      </c>
      <c r="H347" t="s">
        <v>159</v>
      </c>
      <c r="I347">
        <v>0.5</v>
      </c>
      <c r="J347">
        <v>0.5</v>
      </c>
      <c r="K347" t="s">
        <v>122</v>
      </c>
      <c r="L347" t="s">
        <v>160</v>
      </c>
      <c r="M347" t="s">
        <v>161</v>
      </c>
      <c r="N347" t="s">
        <v>107</v>
      </c>
      <c r="O347" t="s">
        <v>97</v>
      </c>
    </row>
    <row r="348" spans="1:15" x14ac:dyDescent="0.2">
      <c r="A348">
        <v>115</v>
      </c>
      <c r="B348">
        <v>116</v>
      </c>
      <c r="C348">
        <v>115</v>
      </c>
      <c r="D348">
        <v>114</v>
      </c>
      <c r="E348" t="s">
        <v>5</v>
      </c>
      <c r="F348" t="s">
        <v>17</v>
      </c>
      <c r="G348">
        <v>28</v>
      </c>
      <c r="H348" t="s">
        <v>159</v>
      </c>
      <c r="I348">
        <v>0</v>
      </c>
      <c r="J348">
        <v>0.5</v>
      </c>
      <c r="K348" t="s">
        <v>122</v>
      </c>
      <c r="L348" t="s">
        <v>160</v>
      </c>
      <c r="M348" t="s">
        <v>161</v>
      </c>
      <c r="N348" t="s">
        <v>107</v>
      </c>
      <c r="O348" t="s">
        <v>97</v>
      </c>
    </row>
    <row r="349" spans="1:15" x14ac:dyDescent="0.2">
      <c r="A349">
        <v>115</v>
      </c>
      <c r="B349">
        <v>116</v>
      </c>
      <c r="C349">
        <v>115</v>
      </c>
      <c r="D349">
        <v>114</v>
      </c>
      <c r="E349" t="s">
        <v>5</v>
      </c>
      <c r="F349" t="s">
        <v>17</v>
      </c>
      <c r="G349">
        <v>29</v>
      </c>
      <c r="H349" t="s">
        <v>152</v>
      </c>
      <c r="I349">
        <v>0</v>
      </c>
      <c r="J349">
        <v>0</v>
      </c>
      <c r="K349" t="s">
        <v>153</v>
      </c>
      <c r="L349" t="s">
        <v>154</v>
      </c>
      <c r="M349" t="s">
        <v>155</v>
      </c>
      <c r="N349" t="s">
        <v>107</v>
      </c>
      <c r="O349" t="s">
        <v>97</v>
      </c>
    </row>
    <row r="350" spans="1:15" x14ac:dyDescent="0.2">
      <c r="A350">
        <v>115</v>
      </c>
      <c r="B350">
        <v>116</v>
      </c>
      <c r="C350">
        <v>115</v>
      </c>
      <c r="D350">
        <v>114</v>
      </c>
      <c r="E350" t="s">
        <v>5</v>
      </c>
      <c r="F350" t="s">
        <v>17</v>
      </c>
      <c r="G350">
        <v>30</v>
      </c>
      <c r="H350" t="s">
        <v>162</v>
      </c>
      <c r="I350">
        <v>1</v>
      </c>
      <c r="J350">
        <v>1</v>
      </c>
      <c r="K350" t="s">
        <v>112</v>
      </c>
      <c r="L350" t="s">
        <v>163</v>
      </c>
      <c r="M350" t="s">
        <v>164</v>
      </c>
      <c r="N350" t="s">
        <v>107</v>
      </c>
      <c r="O350" t="s">
        <v>97</v>
      </c>
    </row>
    <row r="351" spans="1:15" x14ac:dyDescent="0.2">
      <c r="A351">
        <v>115</v>
      </c>
      <c r="B351">
        <v>116</v>
      </c>
      <c r="C351">
        <v>115</v>
      </c>
      <c r="D351">
        <v>114</v>
      </c>
      <c r="E351" t="s">
        <v>5</v>
      </c>
      <c r="F351" t="s">
        <v>17</v>
      </c>
      <c r="G351">
        <v>31</v>
      </c>
      <c r="H351" t="s">
        <v>162</v>
      </c>
      <c r="I351">
        <v>0</v>
      </c>
      <c r="J351">
        <v>0</v>
      </c>
      <c r="K351" t="s">
        <v>112</v>
      </c>
      <c r="L351" t="s">
        <v>163</v>
      </c>
      <c r="M351" t="s">
        <v>164</v>
      </c>
      <c r="N351" t="s">
        <v>107</v>
      </c>
      <c r="O351" t="s">
        <v>97</v>
      </c>
    </row>
    <row r="352" spans="1:15" x14ac:dyDescent="0.2">
      <c r="A352">
        <v>115</v>
      </c>
      <c r="B352">
        <v>116</v>
      </c>
      <c r="C352">
        <v>115</v>
      </c>
      <c r="D352">
        <v>114</v>
      </c>
      <c r="E352" t="s">
        <v>5</v>
      </c>
      <c r="F352" t="s">
        <v>17</v>
      </c>
      <c r="G352">
        <v>32</v>
      </c>
      <c r="H352" t="s">
        <v>162</v>
      </c>
      <c r="I352">
        <v>0</v>
      </c>
      <c r="J352">
        <v>0</v>
      </c>
      <c r="K352" t="s">
        <v>112</v>
      </c>
      <c r="L352" t="s">
        <v>163</v>
      </c>
      <c r="M352" t="s">
        <v>164</v>
      </c>
      <c r="N352" t="s">
        <v>107</v>
      </c>
      <c r="O352" t="s">
        <v>97</v>
      </c>
    </row>
    <row r="353" spans="1:15" x14ac:dyDescent="0.2">
      <c r="A353">
        <v>115</v>
      </c>
      <c r="B353">
        <v>116</v>
      </c>
      <c r="C353">
        <v>115</v>
      </c>
      <c r="D353">
        <v>114</v>
      </c>
      <c r="E353" t="s">
        <v>5</v>
      </c>
      <c r="F353" t="s">
        <v>17</v>
      </c>
      <c r="G353">
        <v>33</v>
      </c>
      <c r="H353" t="s">
        <v>152</v>
      </c>
      <c r="I353">
        <v>1</v>
      </c>
      <c r="J353">
        <v>1</v>
      </c>
      <c r="K353" t="s">
        <v>153</v>
      </c>
      <c r="L353" t="s">
        <v>154</v>
      </c>
      <c r="M353" t="s">
        <v>155</v>
      </c>
      <c r="N353" t="s">
        <v>107</v>
      </c>
      <c r="O353" t="s">
        <v>97</v>
      </c>
    </row>
    <row r="354" spans="1:15" x14ac:dyDescent="0.2">
      <c r="A354">
        <v>115</v>
      </c>
      <c r="B354">
        <v>116</v>
      </c>
      <c r="C354">
        <v>115</v>
      </c>
      <c r="D354">
        <v>114</v>
      </c>
      <c r="E354" t="s">
        <v>5</v>
      </c>
      <c r="F354" t="s">
        <v>17</v>
      </c>
      <c r="G354">
        <v>34</v>
      </c>
      <c r="H354" t="s">
        <v>152</v>
      </c>
      <c r="I354">
        <v>0</v>
      </c>
      <c r="J354">
        <v>0</v>
      </c>
      <c r="K354" t="s">
        <v>153</v>
      </c>
      <c r="L354" t="s">
        <v>154</v>
      </c>
      <c r="M354" t="s">
        <v>155</v>
      </c>
      <c r="N354" t="s">
        <v>107</v>
      </c>
      <c r="O354" t="s">
        <v>97</v>
      </c>
    </row>
    <row r="355" spans="1:15" x14ac:dyDescent="0.2">
      <c r="A355">
        <v>115</v>
      </c>
      <c r="B355">
        <v>116</v>
      </c>
      <c r="C355">
        <v>115</v>
      </c>
      <c r="D355">
        <v>114</v>
      </c>
      <c r="E355" t="s">
        <v>5</v>
      </c>
      <c r="F355" t="s">
        <v>17</v>
      </c>
      <c r="G355">
        <v>35</v>
      </c>
      <c r="H355" t="s">
        <v>165</v>
      </c>
      <c r="I355">
        <v>0</v>
      </c>
      <c r="J355">
        <v>1</v>
      </c>
      <c r="K355" t="s">
        <v>166</v>
      </c>
      <c r="L355" t="s">
        <v>167</v>
      </c>
      <c r="M355" t="s">
        <v>168</v>
      </c>
      <c r="N355" t="s">
        <v>107</v>
      </c>
      <c r="O355" t="s">
        <v>97</v>
      </c>
    </row>
    <row r="356" spans="1:15" x14ac:dyDescent="0.2">
      <c r="A356">
        <v>115</v>
      </c>
      <c r="B356">
        <v>116</v>
      </c>
      <c r="C356">
        <v>115</v>
      </c>
      <c r="D356">
        <v>114</v>
      </c>
      <c r="E356" t="s">
        <v>5</v>
      </c>
      <c r="F356" t="s">
        <v>17</v>
      </c>
      <c r="G356">
        <v>36</v>
      </c>
      <c r="H356" t="s">
        <v>169</v>
      </c>
      <c r="I356">
        <v>0</v>
      </c>
      <c r="J356">
        <v>0</v>
      </c>
      <c r="K356" t="e">
        <v>#N/A</v>
      </c>
      <c r="L356" t="e">
        <v>#N/A</v>
      </c>
      <c r="M356" t="e">
        <v>#N/A</v>
      </c>
      <c r="N356" t="e">
        <v>#N/A</v>
      </c>
      <c r="O356" t="s">
        <v>97</v>
      </c>
    </row>
    <row r="357" spans="1:15" x14ac:dyDescent="0.2">
      <c r="A357">
        <v>115</v>
      </c>
      <c r="B357">
        <v>116</v>
      </c>
      <c r="C357">
        <v>115</v>
      </c>
      <c r="D357">
        <v>114</v>
      </c>
      <c r="E357" t="s">
        <v>5</v>
      </c>
      <c r="F357" t="s">
        <v>17</v>
      </c>
      <c r="G357">
        <v>38</v>
      </c>
      <c r="H357" t="s">
        <v>170</v>
      </c>
      <c r="I357">
        <v>0.5</v>
      </c>
      <c r="J357">
        <v>0.5</v>
      </c>
      <c r="K357" t="s">
        <v>112</v>
      </c>
      <c r="L357" t="s">
        <v>171</v>
      </c>
      <c r="M357" t="s">
        <v>172</v>
      </c>
      <c r="N357" t="s">
        <v>96</v>
      </c>
      <c r="O357" t="s">
        <v>97</v>
      </c>
    </row>
    <row r="358" spans="1:15" x14ac:dyDescent="0.2">
      <c r="A358">
        <v>115</v>
      </c>
      <c r="B358">
        <v>116</v>
      </c>
      <c r="C358">
        <v>115</v>
      </c>
      <c r="D358">
        <v>114</v>
      </c>
      <c r="E358" t="s">
        <v>5</v>
      </c>
      <c r="F358" t="s">
        <v>17</v>
      </c>
      <c r="G358">
        <v>39</v>
      </c>
      <c r="H358" t="s">
        <v>170</v>
      </c>
      <c r="I358">
        <v>0</v>
      </c>
      <c r="J358">
        <v>0.5</v>
      </c>
      <c r="K358" t="s">
        <v>112</v>
      </c>
      <c r="L358" t="s">
        <v>171</v>
      </c>
      <c r="M358" t="s">
        <v>172</v>
      </c>
      <c r="N358" t="s">
        <v>96</v>
      </c>
      <c r="O358" t="s">
        <v>97</v>
      </c>
    </row>
    <row r="359" spans="1:15" x14ac:dyDescent="0.2">
      <c r="A359">
        <v>115</v>
      </c>
      <c r="B359">
        <v>116</v>
      </c>
      <c r="C359">
        <v>115</v>
      </c>
      <c r="D359">
        <v>114</v>
      </c>
      <c r="E359" t="s">
        <v>5</v>
      </c>
      <c r="F359" t="s">
        <v>17</v>
      </c>
      <c r="G359">
        <v>40</v>
      </c>
      <c r="H359" t="s">
        <v>170</v>
      </c>
      <c r="I359">
        <v>0.5</v>
      </c>
      <c r="J359">
        <v>0.5</v>
      </c>
      <c r="K359" t="s">
        <v>112</v>
      </c>
      <c r="L359" t="s">
        <v>171</v>
      </c>
      <c r="M359" t="s">
        <v>172</v>
      </c>
      <c r="N359" t="s">
        <v>96</v>
      </c>
      <c r="O359" t="s">
        <v>97</v>
      </c>
    </row>
    <row r="360" spans="1:15" x14ac:dyDescent="0.2">
      <c r="A360">
        <v>115</v>
      </c>
      <c r="B360">
        <v>116</v>
      </c>
      <c r="C360">
        <v>115</v>
      </c>
      <c r="D360">
        <v>114</v>
      </c>
      <c r="E360" t="s">
        <v>5</v>
      </c>
      <c r="F360" t="s">
        <v>17</v>
      </c>
      <c r="G360">
        <v>41</v>
      </c>
      <c r="H360" t="s">
        <v>173</v>
      </c>
      <c r="I360">
        <v>0.5</v>
      </c>
      <c r="J360">
        <v>1</v>
      </c>
      <c r="K360" t="s">
        <v>166</v>
      </c>
      <c r="L360" t="s">
        <v>174</v>
      </c>
      <c r="M360" t="s">
        <v>175</v>
      </c>
      <c r="N360" t="s">
        <v>107</v>
      </c>
      <c r="O360" t="s">
        <v>97</v>
      </c>
    </row>
    <row r="361" spans="1:15" x14ac:dyDescent="0.2">
      <c r="A361">
        <v>115</v>
      </c>
      <c r="B361">
        <v>116</v>
      </c>
      <c r="C361">
        <v>115</v>
      </c>
      <c r="D361">
        <v>114</v>
      </c>
      <c r="E361" t="s">
        <v>5</v>
      </c>
      <c r="F361" t="s">
        <v>17</v>
      </c>
      <c r="G361">
        <v>42</v>
      </c>
      <c r="H361" t="s">
        <v>176</v>
      </c>
      <c r="I361">
        <v>0.5</v>
      </c>
      <c r="J361">
        <v>1</v>
      </c>
      <c r="K361" t="s">
        <v>153</v>
      </c>
      <c r="L361" t="s">
        <v>177</v>
      </c>
      <c r="M361" t="s">
        <v>178</v>
      </c>
      <c r="N361" t="s">
        <v>107</v>
      </c>
      <c r="O361" t="s">
        <v>97</v>
      </c>
    </row>
    <row r="362" spans="1:15" x14ac:dyDescent="0.2">
      <c r="A362">
        <v>115</v>
      </c>
      <c r="B362">
        <v>116</v>
      </c>
      <c r="C362">
        <v>115</v>
      </c>
      <c r="D362">
        <v>114</v>
      </c>
      <c r="E362" t="s">
        <v>5</v>
      </c>
      <c r="F362" t="s">
        <v>17</v>
      </c>
      <c r="G362">
        <v>43</v>
      </c>
      <c r="H362" t="s">
        <v>179</v>
      </c>
      <c r="I362">
        <v>0</v>
      </c>
      <c r="J362">
        <v>0</v>
      </c>
      <c r="K362" t="s">
        <v>166</v>
      </c>
      <c r="L362" t="s">
        <v>180</v>
      </c>
      <c r="M362" t="s">
        <v>181</v>
      </c>
      <c r="N362" t="s">
        <v>107</v>
      </c>
      <c r="O362" t="s">
        <v>97</v>
      </c>
    </row>
    <row r="363" spans="1:15" x14ac:dyDescent="0.2">
      <c r="A363">
        <v>115</v>
      </c>
      <c r="B363">
        <v>116</v>
      </c>
      <c r="C363">
        <v>115</v>
      </c>
      <c r="D363">
        <v>114</v>
      </c>
      <c r="E363" t="s">
        <v>5</v>
      </c>
      <c r="F363" t="s">
        <v>17</v>
      </c>
      <c r="G363">
        <v>44</v>
      </c>
      <c r="H363" t="s">
        <v>182</v>
      </c>
      <c r="I363">
        <v>0</v>
      </c>
      <c r="J363">
        <v>1</v>
      </c>
      <c r="K363" t="s">
        <v>166</v>
      </c>
      <c r="L363" t="s">
        <v>183</v>
      </c>
      <c r="M363" t="s">
        <v>184</v>
      </c>
      <c r="N363" t="s">
        <v>107</v>
      </c>
      <c r="O363" t="s">
        <v>97</v>
      </c>
    </row>
    <row r="364" spans="1:15" x14ac:dyDescent="0.2">
      <c r="A364">
        <v>115</v>
      </c>
      <c r="B364">
        <v>116</v>
      </c>
      <c r="C364">
        <v>115</v>
      </c>
      <c r="D364">
        <v>114</v>
      </c>
      <c r="E364" t="s">
        <v>5</v>
      </c>
      <c r="F364" t="s">
        <v>17</v>
      </c>
      <c r="G364">
        <v>45</v>
      </c>
      <c r="H364" t="s">
        <v>185</v>
      </c>
      <c r="I364">
        <v>1</v>
      </c>
      <c r="J364">
        <v>1</v>
      </c>
      <c r="K364" t="s">
        <v>166</v>
      </c>
      <c r="L364" t="s">
        <v>186</v>
      </c>
      <c r="M364" t="s">
        <v>139</v>
      </c>
      <c r="N364" t="s">
        <v>107</v>
      </c>
      <c r="O364" t="s">
        <v>97</v>
      </c>
    </row>
    <row r="365" spans="1:15" x14ac:dyDescent="0.2">
      <c r="A365">
        <v>115</v>
      </c>
      <c r="B365">
        <v>116</v>
      </c>
      <c r="C365">
        <v>115</v>
      </c>
      <c r="D365">
        <v>114</v>
      </c>
      <c r="E365" t="s">
        <v>5</v>
      </c>
      <c r="F365" t="s">
        <v>17</v>
      </c>
      <c r="G365">
        <v>47</v>
      </c>
      <c r="H365" t="s">
        <v>187</v>
      </c>
      <c r="I365">
        <v>0</v>
      </c>
      <c r="J365">
        <v>0.2</v>
      </c>
      <c r="K365" t="s">
        <v>93</v>
      </c>
      <c r="L365" t="s">
        <v>188</v>
      </c>
      <c r="M365" t="s">
        <v>95</v>
      </c>
      <c r="N365" t="s">
        <v>96</v>
      </c>
      <c r="O365" t="s">
        <v>97</v>
      </c>
    </row>
    <row r="366" spans="1:15" x14ac:dyDescent="0.2">
      <c r="A366">
        <v>115</v>
      </c>
      <c r="B366">
        <v>116</v>
      </c>
      <c r="C366">
        <v>115</v>
      </c>
      <c r="D366">
        <v>114</v>
      </c>
      <c r="E366" t="s">
        <v>5</v>
      </c>
      <c r="F366" t="s">
        <v>17</v>
      </c>
      <c r="G366">
        <v>48</v>
      </c>
      <c r="H366" t="s">
        <v>189</v>
      </c>
      <c r="I366">
        <v>0.2</v>
      </c>
      <c r="J366">
        <v>0.2</v>
      </c>
      <c r="K366" t="s">
        <v>93</v>
      </c>
      <c r="L366" t="s">
        <v>190</v>
      </c>
      <c r="M366" t="s">
        <v>95</v>
      </c>
      <c r="N366" t="s">
        <v>96</v>
      </c>
      <c r="O366" t="s">
        <v>97</v>
      </c>
    </row>
    <row r="367" spans="1:15" x14ac:dyDescent="0.2">
      <c r="A367">
        <v>115</v>
      </c>
      <c r="B367">
        <v>116</v>
      </c>
      <c r="C367">
        <v>115</v>
      </c>
      <c r="D367">
        <v>114</v>
      </c>
      <c r="E367" t="s">
        <v>5</v>
      </c>
      <c r="F367" t="s">
        <v>17</v>
      </c>
      <c r="G367">
        <v>49</v>
      </c>
      <c r="H367" t="s">
        <v>191</v>
      </c>
      <c r="I367">
        <v>0</v>
      </c>
      <c r="J367">
        <v>0.2</v>
      </c>
      <c r="K367" t="s">
        <v>93</v>
      </c>
      <c r="L367" t="s">
        <v>192</v>
      </c>
      <c r="M367" t="s">
        <v>95</v>
      </c>
      <c r="N367" t="s">
        <v>96</v>
      </c>
      <c r="O367" t="s">
        <v>97</v>
      </c>
    </row>
    <row r="368" spans="1:15" x14ac:dyDescent="0.2">
      <c r="A368">
        <v>115</v>
      </c>
      <c r="B368">
        <v>116</v>
      </c>
      <c r="C368">
        <v>115</v>
      </c>
      <c r="D368">
        <v>114</v>
      </c>
      <c r="E368" t="s">
        <v>5</v>
      </c>
      <c r="F368" t="s">
        <v>17</v>
      </c>
      <c r="G368">
        <v>50</v>
      </c>
      <c r="H368" t="s">
        <v>193</v>
      </c>
      <c r="I368">
        <v>0.1</v>
      </c>
      <c r="J368">
        <v>0.1</v>
      </c>
      <c r="K368" t="s">
        <v>93</v>
      </c>
      <c r="L368" t="s">
        <v>194</v>
      </c>
      <c r="M368" t="s">
        <v>95</v>
      </c>
      <c r="N368" t="s">
        <v>96</v>
      </c>
      <c r="O368" t="s">
        <v>97</v>
      </c>
    </row>
    <row r="369" spans="1:15" x14ac:dyDescent="0.2">
      <c r="A369">
        <v>115</v>
      </c>
      <c r="B369">
        <v>116</v>
      </c>
      <c r="C369">
        <v>115</v>
      </c>
      <c r="D369">
        <v>114</v>
      </c>
      <c r="E369" t="s">
        <v>5</v>
      </c>
      <c r="F369" t="s">
        <v>17</v>
      </c>
      <c r="G369">
        <v>51</v>
      </c>
      <c r="H369" t="s">
        <v>193</v>
      </c>
      <c r="I369">
        <v>0.1</v>
      </c>
      <c r="J369">
        <v>0.1</v>
      </c>
      <c r="K369" t="s">
        <v>93</v>
      </c>
      <c r="L369" t="s">
        <v>194</v>
      </c>
      <c r="M369" t="s">
        <v>95</v>
      </c>
      <c r="N369" t="s">
        <v>96</v>
      </c>
      <c r="O369" t="s">
        <v>97</v>
      </c>
    </row>
    <row r="370" spans="1:15" x14ac:dyDescent="0.2">
      <c r="A370">
        <v>120</v>
      </c>
      <c r="B370">
        <v>121</v>
      </c>
      <c r="C370">
        <v>120</v>
      </c>
      <c r="D370">
        <v>119</v>
      </c>
      <c r="E370" t="s">
        <v>5</v>
      </c>
      <c r="F370" t="s">
        <v>18</v>
      </c>
      <c r="G370">
        <v>1</v>
      </c>
      <c r="H370" t="s">
        <v>92</v>
      </c>
      <c r="I370">
        <v>0</v>
      </c>
      <c r="J370">
        <v>0.2</v>
      </c>
      <c r="K370" t="s">
        <v>93</v>
      </c>
      <c r="L370" t="s">
        <v>94</v>
      </c>
      <c r="M370" t="s">
        <v>95</v>
      </c>
      <c r="N370" t="s">
        <v>96</v>
      </c>
      <c r="O370" t="s">
        <v>97</v>
      </c>
    </row>
    <row r="371" spans="1:15" x14ac:dyDescent="0.2">
      <c r="A371">
        <v>120</v>
      </c>
      <c r="B371">
        <v>121</v>
      </c>
      <c r="C371">
        <v>120</v>
      </c>
      <c r="D371">
        <v>119</v>
      </c>
      <c r="E371" t="s">
        <v>5</v>
      </c>
      <c r="F371" t="s">
        <v>18</v>
      </c>
      <c r="G371">
        <v>2</v>
      </c>
      <c r="H371" t="s">
        <v>98</v>
      </c>
      <c r="I371">
        <v>0.25</v>
      </c>
      <c r="J371">
        <v>0.5</v>
      </c>
      <c r="K371" t="s">
        <v>93</v>
      </c>
      <c r="L371" t="s">
        <v>99</v>
      </c>
      <c r="M371" t="s">
        <v>95</v>
      </c>
      <c r="N371" t="s">
        <v>96</v>
      </c>
      <c r="O371" t="s">
        <v>97</v>
      </c>
    </row>
    <row r="372" spans="1:15" x14ac:dyDescent="0.2">
      <c r="A372">
        <v>120</v>
      </c>
      <c r="B372">
        <v>121</v>
      </c>
      <c r="C372">
        <v>120</v>
      </c>
      <c r="D372">
        <v>119</v>
      </c>
      <c r="E372" t="s">
        <v>5</v>
      </c>
      <c r="F372" t="s">
        <v>18</v>
      </c>
      <c r="G372">
        <v>3</v>
      </c>
      <c r="H372" t="s">
        <v>100</v>
      </c>
      <c r="I372">
        <v>0.5</v>
      </c>
      <c r="J372">
        <v>1</v>
      </c>
      <c r="K372" t="s">
        <v>101</v>
      </c>
      <c r="L372" t="s">
        <v>102</v>
      </c>
      <c r="M372" t="s">
        <v>103</v>
      </c>
      <c r="N372" t="s">
        <v>96</v>
      </c>
      <c r="O372" t="s">
        <v>97</v>
      </c>
    </row>
    <row r="373" spans="1:15" x14ac:dyDescent="0.2">
      <c r="A373">
        <v>120</v>
      </c>
      <c r="B373">
        <v>121</v>
      </c>
      <c r="C373">
        <v>120</v>
      </c>
      <c r="D373">
        <v>119</v>
      </c>
      <c r="E373" t="s">
        <v>5</v>
      </c>
      <c r="F373" t="s">
        <v>18</v>
      </c>
      <c r="G373">
        <v>4</v>
      </c>
      <c r="H373" t="s">
        <v>104</v>
      </c>
      <c r="I373">
        <v>0</v>
      </c>
      <c r="J373">
        <v>1</v>
      </c>
      <c r="K373" t="s">
        <v>101</v>
      </c>
      <c r="L373" t="s">
        <v>105</v>
      </c>
      <c r="M373" t="s">
        <v>106</v>
      </c>
      <c r="N373" t="s">
        <v>107</v>
      </c>
      <c r="O373" t="s">
        <v>97</v>
      </c>
    </row>
    <row r="374" spans="1:15" x14ac:dyDescent="0.2">
      <c r="A374">
        <v>120</v>
      </c>
      <c r="B374">
        <v>121</v>
      </c>
      <c r="C374">
        <v>120</v>
      </c>
      <c r="D374">
        <v>119</v>
      </c>
      <c r="E374" t="s">
        <v>5</v>
      </c>
      <c r="F374" t="s">
        <v>18</v>
      </c>
      <c r="G374">
        <v>5</v>
      </c>
      <c r="H374" t="s">
        <v>108</v>
      </c>
      <c r="I374">
        <v>0.5</v>
      </c>
      <c r="J374">
        <v>1</v>
      </c>
      <c r="K374" t="s">
        <v>101</v>
      </c>
      <c r="L374" t="s">
        <v>109</v>
      </c>
      <c r="M374" t="s">
        <v>110</v>
      </c>
      <c r="N374" t="s">
        <v>107</v>
      </c>
      <c r="O374" t="s">
        <v>97</v>
      </c>
    </row>
    <row r="375" spans="1:15" x14ac:dyDescent="0.2">
      <c r="A375">
        <v>120</v>
      </c>
      <c r="B375">
        <v>121</v>
      </c>
      <c r="C375">
        <v>120</v>
      </c>
      <c r="D375">
        <v>119</v>
      </c>
      <c r="E375" t="s">
        <v>5</v>
      </c>
      <c r="F375" t="s">
        <v>18</v>
      </c>
      <c r="G375">
        <v>9</v>
      </c>
      <c r="H375" t="s">
        <v>111</v>
      </c>
      <c r="I375">
        <v>0.5</v>
      </c>
      <c r="J375">
        <v>0.5</v>
      </c>
      <c r="K375" t="s">
        <v>112</v>
      </c>
      <c r="L375" t="s">
        <v>113</v>
      </c>
      <c r="M375" t="s">
        <v>114</v>
      </c>
      <c r="N375" t="s">
        <v>96</v>
      </c>
      <c r="O375" t="s">
        <v>97</v>
      </c>
    </row>
    <row r="376" spans="1:15" x14ac:dyDescent="0.2">
      <c r="A376">
        <v>120</v>
      </c>
      <c r="B376">
        <v>121</v>
      </c>
      <c r="C376">
        <v>120</v>
      </c>
      <c r="D376">
        <v>119</v>
      </c>
      <c r="E376" t="s">
        <v>5</v>
      </c>
      <c r="F376" t="s">
        <v>18</v>
      </c>
      <c r="G376">
        <v>10</v>
      </c>
      <c r="H376" t="s">
        <v>115</v>
      </c>
      <c r="I376">
        <v>0</v>
      </c>
      <c r="J376">
        <v>0.5</v>
      </c>
      <c r="K376" t="s">
        <v>112</v>
      </c>
      <c r="L376" t="s">
        <v>116</v>
      </c>
      <c r="M376" t="s">
        <v>117</v>
      </c>
      <c r="N376" t="s">
        <v>96</v>
      </c>
      <c r="O376" t="s">
        <v>97</v>
      </c>
    </row>
    <row r="377" spans="1:15" x14ac:dyDescent="0.2">
      <c r="A377">
        <v>120</v>
      </c>
      <c r="B377">
        <v>121</v>
      </c>
      <c r="C377">
        <v>120</v>
      </c>
      <c r="D377">
        <v>119</v>
      </c>
      <c r="E377" t="s">
        <v>5</v>
      </c>
      <c r="F377" t="s">
        <v>18</v>
      </c>
      <c r="G377">
        <v>11</v>
      </c>
      <c r="H377" t="s">
        <v>118</v>
      </c>
      <c r="I377">
        <v>1</v>
      </c>
      <c r="J377">
        <v>1</v>
      </c>
      <c r="K377" t="s">
        <v>112</v>
      </c>
      <c r="L377" t="s">
        <v>119</v>
      </c>
      <c r="M377" t="s">
        <v>120</v>
      </c>
      <c r="N377" t="s">
        <v>107</v>
      </c>
      <c r="O377" t="s">
        <v>97</v>
      </c>
    </row>
    <row r="378" spans="1:15" x14ac:dyDescent="0.2">
      <c r="A378">
        <v>120</v>
      </c>
      <c r="B378">
        <v>121</v>
      </c>
      <c r="C378">
        <v>120</v>
      </c>
      <c r="D378">
        <v>119</v>
      </c>
      <c r="E378" t="s">
        <v>5</v>
      </c>
      <c r="F378" t="s">
        <v>18</v>
      </c>
      <c r="G378">
        <v>12</v>
      </c>
      <c r="H378" t="s">
        <v>121</v>
      </c>
      <c r="I378">
        <v>0</v>
      </c>
      <c r="J378">
        <v>0.5</v>
      </c>
      <c r="K378" t="s">
        <v>122</v>
      </c>
      <c r="L378" t="s">
        <v>113</v>
      </c>
      <c r="M378" t="s">
        <v>123</v>
      </c>
      <c r="N378" t="s">
        <v>96</v>
      </c>
      <c r="O378" t="s">
        <v>97</v>
      </c>
    </row>
    <row r="379" spans="1:15" x14ac:dyDescent="0.2">
      <c r="A379">
        <v>120</v>
      </c>
      <c r="B379">
        <v>121</v>
      </c>
      <c r="C379">
        <v>120</v>
      </c>
      <c r="D379">
        <v>119</v>
      </c>
      <c r="E379" t="s">
        <v>5</v>
      </c>
      <c r="F379" t="s">
        <v>18</v>
      </c>
      <c r="G379">
        <v>13</v>
      </c>
      <c r="H379" t="s">
        <v>124</v>
      </c>
      <c r="I379">
        <v>0</v>
      </c>
      <c r="J379">
        <v>0.5</v>
      </c>
      <c r="K379" t="s">
        <v>122</v>
      </c>
      <c r="L379" t="s">
        <v>125</v>
      </c>
      <c r="M379" t="s">
        <v>126</v>
      </c>
      <c r="N379" t="s">
        <v>96</v>
      </c>
      <c r="O379" t="s">
        <v>97</v>
      </c>
    </row>
    <row r="380" spans="1:15" x14ac:dyDescent="0.2">
      <c r="A380">
        <v>120</v>
      </c>
      <c r="B380">
        <v>121</v>
      </c>
      <c r="C380">
        <v>120</v>
      </c>
      <c r="D380">
        <v>119</v>
      </c>
      <c r="E380" t="s">
        <v>5</v>
      </c>
      <c r="F380" t="s">
        <v>18</v>
      </c>
      <c r="G380">
        <v>14</v>
      </c>
      <c r="H380" t="s">
        <v>127</v>
      </c>
      <c r="I380">
        <v>0.5</v>
      </c>
      <c r="J380">
        <v>1</v>
      </c>
      <c r="K380" t="s">
        <v>122</v>
      </c>
      <c r="L380" t="s">
        <v>119</v>
      </c>
      <c r="M380" t="s">
        <v>128</v>
      </c>
      <c r="N380" t="s">
        <v>107</v>
      </c>
      <c r="O380" t="s">
        <v>97</v>
      </c>
    </row>
    <row r="381" spans="1:15" x14ac:dyDescent="0.2">
      <c r="A381">
        <v>120</v>
      </c>
      <c r="B381">
        <v>121</v>
      </c>
      <c r="C381">
        <v>120</v>
      </c>
      <c r="D381">
        <v>119</v>
      </c>
      <c r="E381" t="s">
        <v>5</v>
      </c>
      <c r="F381" t="s">
        <v>18</v>
      </c>
      <c r="G381">
        <v>15</v>
      </c>
      <c r="H381" t="s">
        <v>129</v>
      </c>
      <c r="I381">
        <v>0</v>
      </c>
      <c r="J381">
        <v>1</v>
      </c>
      <c r="K381" t="s">
        <v>130</v>
      </c>
      <c r="L381" t="s">
        <v>131</v>
      </c>
      <c r="M381" t="s">
        <v>132</v>
      </c>
      <c r="N381" t="s">
        <v>107</v>
      </c>
      <c r="O381" t="s">
        <v>97</v>
      </c>
    </row>
    <row r="382" spans="1:15" x14ac:dyDescent="0.2">
      <c r="A382">
        <v>120</v>
      </c>
      <c r="B382">
        <v>121</v>
      </c>
      <c r="C382">
        <v>120</v>
      </c>
      <c r="D382">
        <v>119</v>
      </c>
      <c r="E382" t="s">
        <v>5</v>
      </c>
      <c r="F382" t="s">
        <v>18</v>
      </c>
      <c r="G382">
        <v>16</v>
      </c>
      <c r="H382" t="s">
        <v>133</v>
      </c>
      <c r="I382">
        <v>0</v>
      </c>
      <c r="J382">
        <v>0</v>
      </c>
      <c r="K382" t="e">
        <v>#N/A</v>
      </c>
      <c r="L382" t="e">
        <v>#N/A</v>
      </c>
      <c r="M382" t="e">
        <v>#N/A</v>
      </c>
      <c r="N382" t="e">
        <v>#N/A</v>
      </c>
      <c r="O382" t="s">
        <v>97</v>
      </c>
    </row>
    <row r="383" spans="1:15" x14ac:dyDescent="0.2">
      <c r="A383">
        <v>120</v>
      </c>
      <c r="B383">
        <v>121</v>
      </c>
      <c r="C383">
        <v>120</v>
      </c>
      <c r="D383">
        <v>119</v>
      </c>
      <c r="E383" t="s">
        <v>5</v>
      </c>
      <c r="F383" t="s">
        <v>18</v>
      </c>
      <c r="G383">
        <v>17</v>
      </c>
      <c r="H383" t="s">
        <v>134</v>
      </c>
      <c r="I383">
        <v>0.5</v>
      </c>
      <c r="J383">
        <v>1</v>
      </c>
      <c r="K383" t="s">
        <v>112</v>
      </c>
      <c r="L383" t="s">
        <v>135</v>
      </c>
      <c r="M383" t="s">
        <v>136</v>
      </c>
      <c r="N383" t="s">
        <v>107</v>
      </c>
      <c r="O383" t="s">
        <v>97</v>
      </c>
    </row>
    <row r="384" spans="1:15" x14ac:dyDescent="0.2">
      <c r="A384">
        <v>120</v>
      </c>
      <c r="B384">
        <v>121</v>
      </c>
      <c r="C384">
        <v>120</v>
      </c>
      <c r="D384">
        <v>119</v>
      </c>
      <c r="E384" t="s">
        <v>5</v>
      </c>
      <c r="F384" t="s">
        <v>18</v>
      </c>
      <c r="G384">
        <v>18</v>
      </c>
      <c r="H384" t="s">
        <v>137</v>
      </c>
      <c r="I384">
        <v>1</v>
      </c>
      <c r="J384">
        <v>1</v>
      </c>
      <c r="K384" t="s">
        <v>112</v>
      </c>
      <c r="L384" t="s">
        <v>138</v>
      </c>
      <c r="M384" t="s">
        <v>139</v>
      </c>
      <c r="N384" t="s">
        <v>107</v>
      </c>
      <c r="O384" t="s">
        <v>97</v>
      </c>
    </row>
    <row r="385" spans="1:15" x14ac:dyDescent="0.2">
      <c r="A385">
        <v>120</v>
      </c>
      <c r="B385">
        <v>121</v>
      </c>
      <c r="C385">
        <v>120</v>
      </c>
      <c r="D385">
        <v>119</v>
      </c>
      <c r="E385" t="s">
        <v>5</v>
      </c>
      <c r="F385" t="s">
        <v>18</v>
      </c>
      <c r="G385">
        <v>19</v>
      </c>
      <c r="H385" t="s">
        <v>140</v>
      </c>
      <c r="I385">
        <v>0.5</v>
      </c>
      <c r="J385">
        <v>1</v>
      </c>
      <c r="K385" t="s">
        <v>122</v>
      </c>
      <c r="L385" t="s">
        <v>141</v>
      </c>
      <c r="M385" t="s">
        <v>142</v>
      </c>
      <c r="N385" t="s">
        <v>107</v>
      </c>
      <c r="O385" t="s">
        <v>97</v>
      </c>
    </row>
    <row r="386" spans="1:15" x14ac:dyDescent="0.2">
      <c r="A386">
        <v>120</v>
      </c>
      <c r="B386">
        <v>121</v>
      </c>
      <c r="C386">
        <v>120</v>
      </c>
      <c r="D386">
        <v>119</v>
      </c>
      <c r="E386" t="s">
        <v>5</v>
      </c>
      <c r="F386" t="s">
        <v>18</v>
      </c>
      <c r="G386">
        <v>20</v>
      </c>
      <c r="H386" t="s">
        <v>143</v>
      </c>
      <c r="I386">
        <v>1</v>
      </c>
      <c r="J386">
        <v>1</v>
      </c>
      <c r="K386" t="s">
        <v>122</v>
      </c>
      <c r="L386" t="s">
        <v>144</v>
      </c>
      <c r="M386" t="s">
        <v>145</v>
      </c>
      <c r="N386" t="s">
        <v>107</v>
      </c>
      <c r="O386" t="s">
        <v>97</v>
      </c>
    </row>
    <row r="387" spans="1:15" x14ac:dyDescent="0.2">
      <c r="A387">
        <v>120</v>
      </c>
      <c r="B387">
        <v>121</v>
      </c>
      <c r="C387">
        <v>120</v>
      </c>
      <c r="D387">
        <v>119</v>
      </c>
      <c r="E387" t="s">
        <v>5</v>
      </c>
      <c r="F387" t="s">
        <v>18</v>
      </c>
      <c r="G387">
        <v>21</v>
      </c>
      <c r="H387" t="s">
        <v>146</v>
      </c>
      <c r="I387">
        <v>1</v>
      </c>
      <c r="J387">
        <v>1</v>
      </c>
      <c r="K387" t="s">
        <v>147</v>
      </c>
      <c r="L387" t="s">
        <v>148</v>
      </c>
      <c r="M387" t="s">
        <v>149</v>
      </c>
      <c r="N387" t="s">
        <v>96</v>
      </c>
      <c r="O387" t="s">
        <v>97</v>
      </c>
    </row>
    <row r="388" spans="1:15" x14ac:dyDescent="0.2">
      <c r="A388">
        <v>120</v>
      </c>
      <c r="B388">
        <v>121</v>
      </c>
      <c r="C388">
        <v>120</v>
      </c>
      <c r="D388">
        <v>119</v>
      </c>
      <c r="E388" t="s">
        <v>5</v>
      </c>
      <c r="F388" t="s">
        <v>18</v>
      </c>
      <c r="G388">
        <v>22</v>
      </c>
      <c r="H388" t="s">
        <v>150</v>
      </c>
      <c r="I388">
        <v>0</v>
      </c>
      <c r="J388">
        <v>1</v>
      </c>
      <c r="K388" t="s">
        <v>147</v>
      </c>
      <c r="L388" t="s">
        <v>151</v>
      </c>
      <c r="M388" t="s">
        <v>149</v>
      </c>
      <c r="N388" t="s">
        <v>107</v>
      </c>
      <c r="O388" t="s">
        <v>97</v>
      </c>
    </row>
    <row r="389" spans="1:15" x14ac:dyDescent="0.2">
      <c r="A389">
        <v>120</v>
      </c>
      <c r="B389">
        <v>121</v>
      </c>
      <c r="C389">
        <v>120</v>
      </c>
      <c r="D389">
        <v>119</v>
      </c>
      <c r="E389" t="s">
        <v>5</v>
      </c>
      <c r="F389" t="s">
        <v>18</v>
      </c>
      <c r="G389">
        <v>23</v>
      </c>
      <c r="H389" t="s">
        <v>152</v>
      </c>
      <c r="I389">
        <v>0</v>
      </c>
      <c r="J389">
        <v>0</v>
      </c>
      <c r="K389" t="s">
        <v>153</v>
      </c>
      <c r="L389" t="s">
        <v>154</v>
      </c>
      <c r="M389" t="s">
        <v>155</v>
      </c>
      <c r="N389" t="s">
        <v>107</v>
      </c>
      <c r="O389" t="s">
        <v>97</v>
      </c>
    </row>
    <row r="390" spans="1:15" x14ac:dyDescent="0.2">
      <c r="A390">
        <v>120</v>
      </c>
      <c r="B390">
        <v>121</v>
      </c>
      <c r="C390">
        <v>120</v>
      </c>
      <c r="D390">
        <v>119</v>
      </c>
      <c r="E390" t="s">
        <v>5</v>
      </c>
      <c r="F390" t="s">
        <v>18</v>
      </c>
      <c r="G390">
        <v>24</v>
      </c>
      <c r="H390" t="s">
        <v>156</v>
      </c>
      <c r="I390">
        <v>0.5</v>
      </c>
      <c r="J390">
        <v>0.5</v>
      </c>
      <c r="K390" t="s">
        <v>122</v>
      </c>
      <c r="L390" t="s">
        <v>157</v>
      </c>
      <c r="M390" t="s">
        <v>158</v>
      </c>
      <c r="N390" t="s">
        <v>107</v>
      </c>
      <c r="O390" t="s">
        <v>97</v>
      </c>
    </row>
    <row r="391" spans="1:15" x14ac:dyDescent="0.2">
      <c r="A391">
        <v>120</v>
      </c>
      <c r="B391">
        <v>121</v>
      </c>
      <c r="C391">
        <v>120</v>
      </c>
      <c r="D391">
        <v>119</v>
      </c>
      <c r="E391" t="s">
        <v>5</v>
      </c>
      <c r="F391" t="s">
        <v>18</v>
      </c>
      <c r="G391">
        <v>25</v>
      </c>
      <c r="H391" t="s">
        <v>156</v>
      </c>
      <c r="I391">
        <v>0</v>
      </c>
      <c r="J391">
        <v>0.5</v>
      </c>
      <c r="K391" t="s">
        <v>122</v>
      </c>
      <c r="L391" t="s">
        <v>157</v>
      </c>
      <c r="M391" t="s">
        <v>158</v>
      </c>
      <c r="N391" t="s">
        <v>107</v>
      </c>
      <c r="O391" t="s">
        <v>97</v>
      </c>
    </row>
    <row r="392" spans="1:15" x14ac:dyDescent="0.2">
      <c r="A392">
        <v>120</v>
      </c>
      <c r="B392">
        <v>121</v>
      </c>
      <c r="C392">
        <v>120</v>
      </c>
      <c r="D392">
        <v>119</v>
      </c>
      <c r="E392" t="s">
        <v>5</v>
      </c>
      <c r="F392" t="s">
        <v>18</v>
      </c>
      <c r="G392">
        <v>26</v>
      </c>
      <c r="H392" t="s">
        <v>152</v>
      </c>
      <c r="I392">
        <v>0</v>
      </c>
      <c r="J392">
        <v>0</v>
      </c>
      <c r="K392" t="s">
        <v>153</v>
      </c>
      <c r="L392" t="s">
        <v>154</v>
      </c>
      <c r="M392" t="s">
        <v>155</v>
      </c>
      <c r="N392" t="s">
        <v>107</v>
      </c>
      <c r="O392" t="s">
        <v>97</v>
      </c>
    </row>
    <row r="393" spans="1:15" x14ac:dyDescent="0.2">
      <c r="A393">
        <v>120</v>
      </c>
      <c r="B393">
        <v>121</v>
      </c>
      <c r="C393">
        <v>120</v>
      </c>
      <c r="D393">
        <v>119</v>
      </c>
      <c r="E393" t="s">
        <v>5</v>
      </c>
      <c r="F393" t="s">
        <v>18</v>
      </c>
      <c r="G393">
        <v>27</v>
      </c>
      <c r="H393" t="s">
        <v>159</v>
      </c>
      <c r="I393">
        <v>0</v>
      </c>
      <c r="J393">
        <v>0.5</v>
      </c>
      <c r="K393" t="s">
        <v>122</v>
      </c>
      <c r="L393" t="s">
        <v>160</v>
      </c>
      <c r="M393" t="s">
        <v>161</v>
      </c>
      <c r="N393" t="s">
        <v>107</v>
      </c>
      <c r="O393" t="s">
        <v>97</v>
      </c>
    </row>
    <row r="394" spans="1:15" x14ac:dyDescent="0.2">
      <c r="A394">
        <v>120</v>
      </c>
      <c r="B394">
        <v>121</v>
      </c>
      <c r="C394">
        <v>120</v>
      </c>
      <c r="D394">
        <v>119</v>
      </c>
      <c r="E394" t="s">
        <v>5</v>
      </c>
      <c r="F394" t="s">
        <v>18</v>
      </c>
      <c r="G394">
        <v>28</v>
      </c>
      <c r="H394" t="s">
        <v>159</v>
      </c>
      <c r="I394">
        <v>0</v>
      </c>
      <c r="J394">
        <v>0.5</v>
      </c>
      <c r="K394" t="s">
        <v>122</v>
      </c>
      <c r="L394" t="s">
        <v>160</v>
      </c>
      <c r="M394" t="s">
        <v>161</v>
      </c>
      <c r="N394" t="s">
        <v>107</v>
      </c>
      <c r="O394" t="s">
        <v>97</v>
      </c>
    </row>
    <row r="395" spans="1:15" x14ac:dyDescent="0.2">
      <c r="A395">
        <v>120</v>
      </c>
      <c r="B395">
        <v>121</v>
      </c>
      <c r="C395">
        <v>120</v>
      </c>
      <c r="D395">
        <v>119</v>
      </c>
      <c r="E395" t="s">
        <v>5</v>
      </c>
      <c r="F395" t="s">
        <v>18</v>
      </c>
      <c r="G395">
        <v>29</v>
      </c>
      <c r="H395" t="s">
        <v>152</v>
      </c>
      <c r="I395">
        <v>0</v>
      </c>
      <c r="J395">
        <v>0</v>
      </c>
      <c r="K395" t="s">
        <v>153</v>
      </c>
      <c r="L395" t="s">
        <v>154</v>
      </c>
      <c r="M395" t="s">
        <v>155</v>
      </c>
      <c r="N395" t="s">
        <v>107</v>
      </c>
      <c r="O395" t="s">
        <v>97</v>
      </c>
    </row>
    <row r="396" spans="1:15" x14ac:dyDescent="0.2">
      <c r="A396">
        <v>120</v>
      </c>
      <c r="B396">
        <v>121</v>
      </c>
      <c r="C396">
        <v>120</v>
      </c>
      <c r="D396">
        <v>119</v>
      </c>
      <c r="E396" t="s">
        <v>5</v>
      </c>
      <c r="F396" t="s">
        <v>18</v>
      </c>
      <c r="G396">
        <v>30</v>
      </c>
      <c r="H396" t="s">
        <v>162</v>
      </c>
      <c r="I396">
        <v>1</v>
      </c>
      <c r="J396">
        <v>1</v>
      </c>
      <c r="K396" t="s">
        <v>112</v>
      </c>
      <c r="L396" t="s">
        <v>163</v>
      </c>
      <c r="M396" t="s">
        <v>164</v>
      </c>
      <c r="N396" t="s">
        <v>107</v>
      </c>
      <c r="O396" t="s">
        <v>97</v>
      </c>
    </row>
    <row r="397" spans="1:15" x14ac:dyDescent="0.2">
      <c r="A397">
        <v>120</v>
      </c>
      <c r="B397">
        <v>121</v>
      </c>
      <c r="C397">
        <v>120</v>
      </c>
      <c r="D397">
        <v>119</v>
      </c>
      <c r="E397" t="s">
        <v>5</v>
      </c>
      <c r="F397" t="s">
        <v>18</v>
      </c>
      <c r="G397">
        <v>31</v>
      </c>
      <c r="H397" t="s">
        <v>162</v>
      </c>
      <c r="I397">
        <v>0</v>
      </c>
      <c r="J397">
        <v>0</v>
      </c>
      <c r="K397" t="s">
        <v>112</v>
      </c>
      <c r="L397" t="s">
        <v>163</v>
      </c>
      <c r="M397" t="s">
        <v>164</v>
      </c>
      <c r="N397" t="s">
        <v>107</v>
      </c>
      <c r="O397" t="s">
        <v>97</v>
      </c>
    </row>
    <row r="398" spans="1:15" x14ac:dyDescent="0.2">
      <c r="A398">
        <v>120</v>
      </c>
      <c r="B398">
        <v>121</v>
      </c>
      <c r="C398">
        <v>120</v>
      </c>
      <c r="D398">
        <v>119</v>
      </c>
      <c r="E398" t="s">
        <v>5</v>
      </c>
      <c r="F398" t="s">
        <v>18</v>
      </c>
      <c r="G398">
        <v>32</v>
      </c>
      <c r="H398" t="s">
        <v>162</v>
      </c>
      <c r="I398">
        <v>0</v>
      </c>
      <c r="J398">
        <v>0</v>
      </c>
      <c r="K398" t="s">
        <v>112</v>
      </c>
      <c r="L398" t="s">
        <v>163</v>
      </c>
      <c r="M398" t="s">
        <v>164</v>
      </c>
      <c r="N398" t="s">
        <v>107</v>
      </c>
      <c r="O398" t="s">
        <v>97</v>
      </c>
    </row>
    <row r="399" spans="1:15" x14ac:dyDescent="0.2">
      <c r="A399">
        <v>120</v>
      </c>
      <c r="B399">
        <v>121</v>
      </c>
      <c r="C399">
        <v>120</v>
      </c>
      <c r="D399">
        <v>119</v>
      </c>
      <c r="E399" t="s">
        <v>5</v>
      </c>
      <c r="F399" t="s">
        <v>18</v>
      </c>
      <c r="G399">
        <v>33</v>
      </c>
      <c r="H399" t="s">
        <v>152</v>
      </c>
      <c r="I399">
        <v>1</v>
      </c>
      <c r="J399">
        <v>1</v>
      </c>
      <c r="K399" t="s">
        <v>153</v>
      </c>
      <c r="L399" t="s">
        <v>154</v>
      </c>
      <c r="M399" t="s">
        <v>155</v>
      </c>
      <c r="N399" t="s">
        <v>107</v>
      </c>
      <c r="O399" t="s">
        <v>97</v>
      </c>
    </row>
    <row r="400" spans="1:15" x14ac:dyDescent="0.2">
      <c r="A400">
        <v>120</v>
      </c>
      <c r="B400">
        <v>121</v>
      </c>
      <c r="C400">
        <v>120</v>
      </c>
      <c r="D400">
        <v>119</v>
      </c>
      <c r="E400" t="s">
        <v>5</v>
      </c>
      <c r="F400" t="s">
        <v>18</v>
      </c>
      <c r="G400">
        <v>34</v>
      </c>
      <c r="H400" t="s">
        <v>152</v>
      </c>
      <c r="I400">
        <v>0</v>
      </c>
      <c r="J400">
        <v>0</v>
      </c>
      <c r="K400" t="s">
        <v>153</v>
      </c>
      <c r="L400" t="s">
        <v>154</v>
      </c>
      <c r="M400" t="s">
        <v>155</v>
      </c>
      <c r="N400" t="s">
        <v>107</v>
      </c>
      <c r="O400" t="s">
        <v>97</v>
      </c>
    </row>
    <row r="401" spans="1:15" x14ac:dyDescent="0.2">
      <c r="A401">
        <v>120</v>
      </c>
      <c r="B401">
        <v>121</v>
      </c>
      <c r="C401">
        <v>120</v>
      </c>
      <c r="D401">
        <v>119</v>
      </c>
      <c r="E401" t="s">
        <v>5</v>
      </c>
      <c r="F401" t="s">
        <v>18</v>
      </c>
      <c r="G401">
        <v>35</v>
      </c>
      <c r="H401" t="s">
        <v>165</v>
      </c>
      <c r="I401">
        <v>0</v>
      </c>
      <c r="J401">
        <v>1</v>
      </c>
      <c r="K401" t="s">
        <v>166</v>
      </c>
      <c r="L401" t="s">
        <v>167</v>
      </c>
      <c r="M401" t="s">
        <v>168</v>
      </c>
      <c r="N401" t="s">
        <v>107</v>
      </c>
      <c r="O401" t="s">
        <v>97</v>
      </c>
    </row>
    <row r="402" spans="1:15" x14ac:dyDescent="0.2">
      <c r="A402">
        <v>120</v>
      </c>
      <c r="B402">
        <v>121</v>
      </c>
      <c r="C402">
        <v>120</v>
      </c>
      <c r="D402">
        <v>119</v>
      </c>
      <c r="E402" t="s">
        <v>5</v>
      </c>
      <c r="F402" t="s">
        <v>18</v>
      </c>
      <c r="G402">
        <v>36</v>
      </c>
      <c r="H402" t="s">
        <v>169</v>
      </c>
      <c r="I402">
        <v>0</v>
      </c>
      <c r="J402">
        <v>0</v>
      </c>
      <c r="K402" t="e">
        <v>#N/A</v>
      </c>
      <c r="L402" t="e">
        <v>#N/A</v>
      </c>
      <c r="M402" t="e">
        <v>#N/A</v>
      </c>
      <c r="N402" t="e">
        <v>#N/A</v>
      </c>
      <c r="O402" t="s">
        <v>97</v>
      </c>
    </row>
    <row r="403" spans="1:15" x14ac:dyDescent="0.2">
      <c r="A403">
        <v>120</v>
      </c>
      <c r="B403">
        <v>121</v>
      </c>
      <c r="C403">
        <v>120</v>
      </c>
      <c r="D403">
        <v>119</v>
      </c>
      <c r="E403" t="s">
        <v>5</v>
      </c>
      <c r="F403" t="s">
        <v>18</v>
      </c>
      <c r="G403">
        <v>38</v>
      </c>
      <c r="H403" t="s">
        <v>170</v>
      </c>
      <c r="I403">
        <v>0.5</v>
      </c>
      <c r="J403">
        <v>0.5</v>
      </c>
      <c r="K403" t="s">
        <v>112</v>
      </c>
      <c r="L403" t="s">
        <v>171</v>
      </c>
      <c r="M403" t="s">
        <v>172</v>
      </c>
      <c r="N403" t="s">
        <v>96</v>
      </c>
      <c r="O403" t="s">
        <v>97</v>
      </c>
    </row>
    <row r="404" spans="1:15" x14ac:dyDescent="0.2">
      <c r="A404">
        <v>120</v>
      </c>
      <c r="B404">
        <v>121</v>
      </c>
      <c r="C404">
        <v>120</v>
      </c>
      <c r="D404">
        <v>119</v>
      </c>
      <c r="E404" t="s">
        <v>5</v>
      </c>
      <c r="F404" t="s">
        <v>18</v>
      </c>
      <c r="G404">
        <v>39</v>
      </c>
      <c r="H404" t="s">
        <v>170</v>
      </c>
      <c r="I404">
        <v>0</v>
      </c>
      <c r="J404">
        <v>0.5</v>
      </c>
      <c r="K404" t="s">
        <v>112</v>
      </c>
      <c r="L404" t="s">
        <v>171</v>
      </c>
      <c r="M404" t="s">
        <v>172</v>
      </c>
      <c r="N404" t="s">
        <v>96</v>
      </c>
      <c r="O404" t="s">
        <v>97</v>
      </c>
    </row>
    <row r="405" spans="1:15" x14ac:dyDescent="0.2">
      <c r="A405">
        <v>120</v>
      </c>
      <c r="B405">
        <v>121</v>
      </c>
      <c r="C405">
        <v>120</v>
      </c>
      <c r="D405">
        <v>119</v>
      </c>
      <c r="E405" t="s">
        <v>5</v>
      </c>
      <c r="F405" t="s">
        <v>18</v>
      </c>
      <c r="G405">
        <v>40</v>
      </c>
      <c r="H405" t="s">
        <v>170</v>
      </c>
      <c r="I405">
        <v>0.5</v>
      </c>
      <c r="J405">
        <v>0.5</v>
      </c>
      <c r="K405" t="s">
        <v>112</v>
      </c>
      <c r="L405" t="s">
        <v>171</v>
      </c>
      <c r="M405" t="s">
        <v>172</v>
      </c>
      <c r="N405" t="s">
        <v>96</v>
      </c>
      <c r="O405" t="s">
        <v>97</v>
      </c>
    </row>
    <row r="406" spans="1:15" x14ac:dyDescent="0.2">
      <c r="A406">
        <v>120</v>
      </c>
      <c r="B406">
        <v>121</v>
      </c>
      <c r="C406">
        <v>120</v>
      </c>
      <c r="D406">
        <v>119</v>
      </c>
      <c r="E406" t="s">
        <v>5</v>
      </c>
      <c r="F406" t="s">
        <v>18</v>
      </c>
      <c r="G406">
        <v>41</v>
      </c>
      <c r="H406" t="s">
        <v>173</v>
      </c>
      <c r="I406">
        <v>0</v>
      </c>
      <c r="J406">
        <v>1</v>
      </c>
      <c r="K406" t="s">
        <v>166</v>
      </c>
      <c r="L406" t="s">
        <v>174</v>
      </c>
      <c r="M406" t="s">
        <v>175</v>
      </c>
      <c r="N406" t="s">
        <v>107</v>
      </c>
      <c r="O406" t="s">
        <v>97</v>
      </c>
    </row>
    <row r="407" spans="1:15" x14ac:dyDescent="0.2">
      <c r="A407">
        <v>120</v>
      </c>
      <c r="B407">
        <v>121</v>
      </c>
      <c r="C407">
        <v>120</v>
      </c>
      <c r="D407">
        <v>119</v>
      </c>
      <c r="E407" t="s">
        <v>5</v>
      </c>
      <c r="F407" t="s">
        <v>18</v>
      </c>
      <c r="G407">
        <v>42</v>
      </c>
      <c r="H407" t="s">
        <v>176</v>
      </c>
      <c r="I407">
        <v>0</v>
      </c>
      <c r="J407" t="s">
        <v>198</v>
      </c>
      <c r="K407" t="s">
        <v>153</v>
      </c>
      <c r="L407" t="s">
        <v>177</v>
      </c>
      <c r="M407" t="s">
        <v>178</v>
      </c>
      <c r="N407" t="s">
        <v>107</v>
      </c>
      <c r="O407" t="s">
        <v>97</v>
      </c>
    </row>
    <row r="408" spans="1:15" x14ac:dyDescent="0.2">
      <c r="A408">
        <v>120</v>
      </c>
      <c r="B408">
        <v>121</v>
      </c>
      <c r="C408">
        <v>120</v>
      </c>
      <c r="D408">
        <v>119</v>
      </c>
      <c r="E408" t="s">
        <v>5</v>
      </c>
      <c r="F408" t="s">
        <v>18</v>
      </c>
      <c r="G408">
        <v>43</v>
      </c>
      <c r="H408" t="s">
        <v>179</v>
      </c>
      <c r="I408">
        <v>0</v>
      </c>
      <c r="J408">
        <v>0</v>
      </c>
      <c r="K408" t="s">
        <v>166</v>
      </c>
      <c r="L408" t="s">
        <v>180</v>
      </c>
      <c r="M408" t="s">
        <v>181</v>
      </c>
      <c r="N408" t="s">
        <v>107</v>
      </c>
      <c r="O408" t="s">
        <v>97</v>
      </c>
    </row>
    <row r="409" spans="1:15" x14ac:dyDescent="0.2">
      <c r="A409">
        <v>120</v>
      </c>
      <c r="B409">
        <v>121</v>
      </c>
      <c r="C409">
        <v>120</v>
      </c>
      <c r="D409">
        <v>119</v>
      </c>
      <c r="E409" t="s">
        <v>5</v>
      </c>
      <c r="F409" t="s">
        <v>18</v>
      </c>
      <c r="G409">
        <v>44</v>
      </c>
      <c r="H409" t="s">
        <v>182</v>
      </c>
      <c r="I409">
        <v>0</v>
      </c>
      <c r="J409">
        <v>1</v>
      </c>
      <c r="K409" t="s">
        <v>166</v>
      </c>
      <c r="L409" t="s">
        <v>183</v>
      </c>
      <c r="M409" t="s">
        <v>184</v>
      </c>
      <c r="N409" t="s">
        <v>107</v>
      </c>
      <c r="O409" t="s">
        <v>97</v>
      </c>
    </row>
    <row r="410" spans="1:15" x14ac:dyDescent="0.2">
      <c r="A410">
        <v>120</v>
      </c>
      <c r="B410">
        <v>121</v>
      </c>
      <c r="C410">
        <v>120</v>
      </c>
      <c r="D410">
        <v>119</v>
      </c>
      <c r="E410" t="s">
        <v>5</v>
      </c>
      <c r="F410" t="s">
        <v>18</v>
      </c>
      <c r="G410">
        <v>45</v>
      </c>
      <c r="H410" t="s">
        <v>185</v>
      </c>
      <c r="I410">
        <v>1</v>
      </c>
      <c r="J410">
        <v>1</v>
      </c>
      <c r="K410" t="s">
        <v>166</v>
      </c>
      <c r="L410" t="s">
        <v>186</v>
      </c>
      <c r="M410" t="s">
        <v>139</v>
      </c>
      <c r="N410" t="s">
        <v>107</v>
      </c>
      <c r="O410" t="s">
        <v>97</v>
      </c>
    </row>
    <row r="411" spans="1:15" x14ac:dyDescent="0.2">
      <c r="A411">
        <v>120</v>
      </c>
      <c r="B411">
        <v>121</v>
      </c>
      <c r="C411">
        <v>120</v>
      </c>
      <c r="D411">
        <v>119</v>
      </c>
      <c r="E411" t="s">
        <v>5</v>
      </c>
      <c r="F411" t="s">
        <v>18</v>
      </c>
      <c r="G411">
        <v>47</v>
      </c>
      <c r="H411" t="s">
        <v>187</v>
      </c>
      <c r="I411">
        <v>0</v>
      </c>
      <c r="J411">
        <v>0.2</v>
      </c>
      <c r="K411" t="s">
        <v>93</v>
      </c>
      <c r="L411" t="s">
        <v>188</v>
      </c>
      <c r="M411" t="s">
        <v>95</v>
      </c>
      <c r="N411" t="s">
        <v>96</v>
      </c>
      <c r="O411" t="s">
        <v>97</v>
      </c>
    </row>
    <row r="412" spans="1:15" x14ac:dyDescent="0.2">
      <c r="A412">
        <v>120</v>
      </c>
      <c r="B412">
        <v>121</v>
      </c>
      <c r="C412">
        <v>120</v>
      </c>
      <c r="D412">
        <v>119</v>
      </c>
      <c r="E412" t="s">
        <v>5</v>
      </c>
      <c r="F412" t="s">
        <v>18</v>
      </c>
      <c r="G412">
        <v>48</v>
      </c>
      <c r="H412" t="s">
        <v>189</v>
      </c>
      <c r="I412">
        <v>0</v>
      </c>
      <c r="J412">
        <v>0.2</v>
      </c>
      <c r="K412" t="s">
        <v>93</v>
      </c>
      <c r="L412" t="s">
        <v>190</v>
      </c>
      <c r="M412" t="s">
        <v>95</v>
      </c>
      <c r="N412" t="s">
        <v>96</v>
      </c>
      <c r="O412" t="s">
        <v>97</v>
      </c>
    </row>
    <row r="413" spans="1:15" x14ac:dyDescent="0.2">
      <c r="A413">
        <v>120</v>
      </c>
      <c r="B413">
        <v>121</v>
      </c>
      <c r="C413">
        <v>120</v>
      </c>
      <c r="D413">
        <v>119</v>
      </c>
      <c r="E413" t="s">
        <v>5</v>
      </c>
      <c r="F413" t="s">
        <v>18</v>
      </c>
      <c r="G413">
        <v>49</v>
      </c>
      <c r="H413" t="s">
        <v>191</v>
      </c>
      <c r="I413">
        <v>0.2</v>
      </c>
      <c r="J413">
        <v>0.2</v>
      </c>
      <c r="K413" t="s">
        <v>93</v>
      </c>
      <c r="L413" t="s">
        <v>192</v>
      </c>
      <c r="M413" t="s">
        <v>95</v>
      </c>
      <c r="N413" t="s">
        <v>96</v>
      </c>
      <c r="O413" t="s">
        <v>97</v>
      </c>
    </row>
    <row r="414" spans="1:15" x14ac:dyDescent="0.2">
      <c r="A414">
        <v>120</v>
      </c>
      <c r="B414">
        <v>121</v>
      </c>
      <c r="C414">
        <v>120</v>
      </c>
      <c r="D414">
        <v>119</v>
      </c>
      <c r="E414" t="s">
        <v>5</v>
      </c>
      <c r="F414" t="s">
        <v>18</v>
      </c>
      <c r="G414">
        <v>50</v>
      </c>
      <c r="H414" t="s">
        <v>193</v>
      </c>
      <c r="I414">
        <v>0.1</v>
      </c>
      <c r="J414">
        <v>0.1</v>
      </c>
      <c r="K414" t="s">
        <v>93</v>
      </c>
      <c r="L414" t="s">
        <v>194</v>
      </c>
      <c r="M414" t="s">
        <v>95</v>
      </c>
      <c r="N414" t="s">
        <v>96</v>
      </c>
      <c r="O414" t="s">
        <v>97</v>
      </c>
    </row>
    <row r="415" spans="1:15" x14ac:dyDescent="0.2">
      <c r="A415">
        <v>120</v>
      </c>
      <c r="B415">
        <v>121</v>
      </c>
      <c r="C415">
        <v>120</v>
      </c>
      <c r="D415">
        <v>119</v>
      </c>
      <c r="E415" t="s">
        <v>5</v>
      </c>
      <c r="F415" t="s">
        <v>18</v>
      </c>
      <c r="G415">
        <v>51</v>
      </c>
      <c r="H415" t="s">
        <v>193</v>
      </c>
      <c r="I415">
        <v>0.1</v>
      </c>
      <c r="J415">
        <v>0.1</v>
      </c>
      <c r="K415" t="s">
        <v>93</v>
      </c>
      <c r="L415" t="s">
        <v>194</v>
      </c>
      <c r="M415" t="s">
        <v>95</v>
      </c>
      <c r="N415" t="s">
        <v>96</v>
      </c>
      <c r="O415" t="s">
        <v>97</v>
      </c>
    </row>
    <row r="416" spans="1:15" x14ac:dyDescent="0.2">
      <c r="A416">
        <v>125</v>
      </c>
      <c r="B416">
        <v>126</v>
      </c>
      <c r="C416">
        <v>125</v>
      </c>
      <c r="D416">
        <v>124</v>
      </c>
      <c r="E416" t="s">
        <v>5</v>
      </c>
      <c r="F416" t="s">
        <v>19</v>
      </c>
      <c r="G416">
        <v>1</v>
      </c>
      <c r="H416" t="s">
        <v>92</v>
      </c>
      <c r="I416">
        <v>0</v>
      </c>
      <c r="J416">
        <v>0.2</v>
      </c>
      <c r="K416" t="s">
        <v>93</v>
      </c>
      <c r="L416" t="s">
        <v>94</v>
      </c>
      <c r="M416" t="s">
        <v>95</v>
      </c>
      <c r="N416" t="s">
        <v>96</v>
      </c>
      <c r="O416" t="s">
        <v>97</v>
      </c>
    </row>
    <row r="417" spans="1:15" x14ac:dyDescent="0.2">
      <c r="A417">
        <v>125</v>
      </c>
      <c r="B417">
        <v>126</v>
      </c>
      <c r="C417">
        <v>125</v>
      </c>
      <c r="D417">
        <v>124</v>
      </c>
      <c r="E417" t="s">
        <v>5</v>
      </c>
      <c r="F417" t="s">
        <v>19</v>
      </c>
      <c r="G417">
        <v>2</v>
      </c>
      <c r="H417" t="s">
        <v>98</v>
      </c>
      <c r="I417">
        <v>0.25</v>
      </c>
      <c r="J417">
        <v>0.5</v>
      </c>
      <c r="K417" t="s">
        <v>93</v>
      </c>
      <c r="L417" t="s">
        <v>99</v>
      </c>
      <c r="M417" t="s">
        <v>95</v>
      </c>
      <c r="N417" t="s">
        <v>96</v>
      </c>
      <c r="O417" t="s">
        <v>97</v>
      </c>
    </row>
    <row r="418" spans="1:15" x14ac:dyDescent="0.2">
      <c r="A418">
        <v>125</v>
      </c>
      <c r="B418">
        <v>126</v>
      </c>
      <c r="C418">
        <v>125</v>
      </c>
      <c r="D418">
        <v>124</v>
      </c>
      <c r="E418" t="s">
        <v>5</v>
      </c>
      <c r="F418" t="s">
        <v>19</v>
      </c>
      <c r="G418">
        <v>3</v>
      </c>
      <c r="H418" t="s">
        <v>100</v>
      </c>
      <c r="I418">
        <v>1</v>
      </c>
      <c r="J418">
        <v>1</v>
      </c>
      <c r="K418" t="s">
        <v>101</v>
      </c>
      <c r="L418" t="s">
        <v>102</v>
      </c>
      <c r="M418" t="s">
        <v>103</v>
      </c>
      <c r="N418" t="s">
        <v>96</v>
      </c>
      <c r="O418" t="s">
        <v>97</v>
      </c>
    </row>
    <row r="419" spans="1:15" x14ac:dyDescent="0.2">
      <c r="A419">
        <v>125</v>
      </c>
      <c r="B419">
        <v>126</v>
      </c>
      <c r="C419">
        <v>125</v>
      </c>
      <c r="D419">
        <v>124</v>
      </c>
      <c r="E419" t="s">
        <v>5</v>
      </c>
      <c r="F419" t="s">
        <v>19</v>
      </c>
      <c r="G419">
        <v>4</v>
      </c>
      <c r="H419" t="s">
        <v>104</v>
      </c>
      <c r="I419">
        <v>1</v>
      </c>
      <c r="J419">
        <v>1</v>
      </c>
      <c r="K419" t="s">
        <v>101</v>
      </c>
      <c r="L419" t="s">
        <v>105</v>
      </c>
      <c r="M419" t="s">
        <v>106</v>
      </c>
      <c r="N419" t="s">
        <v>107</v>
      </c>
      <c r="O419" t="s">
        <v>97</v>
      </c>
    </row>
    <row r="420" spans="1:15" x14ac:dyDescent="0.2">
      <c r="A420">
        <v>125</v>
      </c>
      <c r="B420">
        <v>126</v>
      </c>
      <c r="C420">
        <v>125</v>
      </c>
      <c r="D420">
        <v>124</v>
      </c>
      <c r="E420" t="s">
        <v>5</v>
      </c>
      <c r="F420" t="s">
        <v>19</v>
      </c>
      <c r="G420">
        <v>5</v>
      </c>
      <c r="H420" t="s">
        <v>108</v>
      </c>
      <c r="I420">
        <v>0</v>
      </c>
      <c r="J420">
        <v>1</v>
      </c>
      <c r="K420" t="s">
        <v>101</v>
      </c>
      <c r="L420" t="s">
        <v>109</v>
      </c>
      <c r="M420" t="s">
        <v>110</v>
      </c>
      <c r="N420" t="s">
        <v>107</v>
      </c>
      <c r="O420" t="s">
        <v>97</v>
      </c>
    </row>
    <row r="421" spans="1:15" x14ac:dyDescent="0.2">
      <c r="A421">
        <v>125</v>
      </c>
      <c r="B421">
        <v>126</v>
      </c>
      <c r="C421">
        <v>125</v>
      </c>
      <c r="D421">
        <v>124</v>
      </c>
      <c r="E421" t="s">
        <v>5</v>
      </c>
      <c r="F421" t="s">
        <v>19</v>
      </c>
      <c r="G421">
        <v>9</v>
      </c>
      <c r="H421" t="s">
        <v>111</v>
      </c>
      <c r="I421">
        <v>0.25</v>
      </c>
      <c r="J421">
        <v>0.5</v>
      </c>
      <c r="K421" t="s">
        <v>112</v>
      </c>
      <c r="L421" t="s">
        <v>113</v>
      </c>
      <c r="M421" t="s">
        <v>114</v>
      </c>
      <c r="N421" t="s">
        <v>96</v>
      </c>
      <c r="O421" t="s">
        <v>97</v>
      </c>
    </row>
    <row r="422" spans="1:15" x14ac:dyDescent="0.2">
      <c r="A422">
        <v>125</v>
      </c>
      <c r="B422">
        <v>126</v>
      </c>
      <c r="C422">
        <v>125</v>
      </c>
      <c r="D422">
        <v>124</v>
      </c>
      <c r="E422" t="s">
        <v>5</v>
      </c>
      <c r="F422" t="s">
        <v>19</v>
      </c>
      <c r="G422">
        <v>10</v>
      </c>
      <c r="H422" t="s">
        <v>115</v>
      </c>
      <c r="I422">
        <v>0.25</v>
      </c>
      <c r="J422">
        <v>0.5</v>
      </c>
      <c r="K422" t="s">
        <v>112</v>
      </c>
      <c r="L422" t="s">
        <v>116</v>
      </c>
      <c r="M422" t="s">
        <v>117</v>
      </c>
      <c r="N422" t="s">
        <v>96</v>
      </c>
      <c r="O422" t="s">
        <v>97</v>
      </c>
    </row>
    <row r="423" spans="1:15" x14ac:dyDescent="0.2">
      <c r="A423">
        <v>125</v>
      </c>
      <c r="B423">
        <v>126</v>
      </c>
      <c r="C423">
        <v>125</v>
      </c>
      <c r="D423">
        <v>124</v>
      </c>
      <c r="E423" t="s">
        <v>5</v>
      </c>
      <c r="F423" t="s">
        <v>19</v>
      </c>
      <c r="G423">
        <v>11</v>
      </c>
      <c r="H423" t="s">
        <v>118</v>
      </c>
      <c r="I423">
        <v>0.5</v>
      </c>
      <c r="J423">
        <v>1</v>
      </c>
      <c r="K423" t="s">
        <v>112</v>
      </c>
      <c r="L423" t="s">
        <v>119</v>
      </c>
      <c r="M423" t="s">
        <v>120</v>
      </c>
      <c r="N423" t="s">
        <v>107</v>
      </c>
      <c r="O423" t="s">
        <v>97</v>
      </c>
    </row>
    <row r="424" spans="1:15" x14ac:dyDescent="0.2">
      <c r="A424">
        <v>125</v>
      </c>
      <c r="B424">
        <v>126</v>
      </c>
      <c r="C424">
        <v>125</v>
      </c>
      <c r="D424">
        <v>124</v>
      </c>
      <c r="E424" t="s">
        <v>5</v>
      </c>
      <c r="F424" t="s">
        <v>19</v>
      </c>
      <c r="G424">
        <v>12</v>
      </c>
      <c r="H424" t="s">
        <v>121</v>
      </c>
      <c r="I424">
        <v>0.5</v>
      </c>
      <c r="J424">
        <v>0.5</v>
      </c>
      <c r="K424" t="s">
        <v>122</v>
      </c>
      <c r="L424" t="s">
        <v>113</v>
      </c>
      <c r="M424" t="s">
        <v>123</v>
      </c>
      <c r="N424" t="s">
        <v>96</v>
      </c>
      <c r="O424" t="s">
        <v>97</v>
      </c>
    </row>
    <row r="425" spans="1:15" x14ac:dyDescent="0.2">
      <c r="A425">
        <v>125</v>
      </c>
      <c r="B425">
        <v>126</v>
      </c>
      <c r="C425">
        <v>125</v>
      </c>
      <c r="D425">
        <v>124</v>
      </c>
      <c r="E425" t="s">
        <v>5</v>
      </c>
      <c r="F425" t="s">
        <v>19</v>
      </c>
      <c r="G425">
        <v>13</v>
      </c>
      <c r="H425" t="s">
        <v>124</v>
      </c>
      <c r="I425">
        <v>0</v>
      </c>
      <c r="J425">
        <v>0.5</v>
      </c>
      <c r="K425" t="s">
        <v>122</v>
      </c>
      <c r="L425" t="s">
        <v>125</v>
      </c>
      <c r="M425" t="s">
        <v>126</v>
      </c>
      <c r="N425" t="s">
        <v>96</v>
      </c>
      <c r="O425" t="s">
        <v>97</v>
      </c>
    </row>
    <row r="426" spans="1:15" x14ac:dyDescent="0.2">
      <c r="A426">
        <v>125</v>
      </c>
      <c r="B426">
        <v>126</v>
      </c>
      <c r="C426">
        <v>125</v>
      </c>
      <c r="D426">
        <v>124</v>
      </c>
      <c r="E426" t="s">
        <v>5</v>
      </c>
      <c r="F426" t="s">
        <v>19</v>
      </c>
      <c r="G426">
        <v>14</v>
      </c>
      <c r="H426" t="s">
        <v>127</v>
      </c>
      <c r="I426">
        <v>1</v>
      </c>
      <c r="J426">
        <v>1</v>
      </c>
      <c r="K426" t="s">
        <v>122</v>
      </c>
      <c r="L426" t="s">
        <v>119</v>
      </c>
      <c r="M426" t="s">
        <v>128</v>
      </c>
      <c r="N426" t="s">
        <v>107</v>
      </c>
      <c r="O426" t="s">
        <v>97</v>
      </c>
    </row>
    <row r="427" spans="1:15" x14ac:dyDescent="0.2">
      <c r="A427">
        <v>125</v>
      </c>
      <c r="B427">
        <v>126</v>
      </c>
      <c r="C427">
        <v>125</v>
      </c>
      <c r="D427">
        <v>124</v>
      </c>
      <c r="E427" t="s">
        <v>5</v>
      </c>
      <c r="F427" t="s">
        <v>19</v>
      </c>
      <c r="G427">
        <v>15</v>
      </c>
      <c r="H427" t="s">
        <v>129</v>
      </c>
      <c r="I427">
        <v>1</v>
      </c>
      <c r="J427">
        <v>1</v>
      </c>
      <c r="K427" t="s">
        <v>130</v>
      </c>
      <c r="L427" t="s">
        <v>131</v>
      </c>
      <c r="M427" t="s">
        <v>132</v>
      </c>
      <c r="N427" t="s">
        <v>107</v>
      </c>
      <c r="O427" t="s">
        <v>97</v>
      </c>
    </row>
    <row r="428" spans="1:15" x14ac:dyDescent="0.2">
      <c r="A428">
        <v>125</v>
      </c>
      <c r="B428">
        <v>126</v>
      </c>
      <c r="C428">
        <v>125</v>
      </c>
      <c r="D428">
        <v>124</v>
      </c>
      <c r="E428" t="s">
        <v>5</v>
      </c>
      <c r="F428" t="s">
        <v>19</v>
      </c>
      <c r="G428">
        <v>16</v>
      </c>
      <c r="H428" t="s">
        <v>133</v>
      </c>
      <c r="I428">
        <v>0</v>
      </c>
      <c r="J428">
        <v>0</v>
      </c>
      <c r="K428" t="e">
        <v>#N/A</v>
      </c>
      <c r="L428" t="e">
        <v>#N/A</v>
      </c>
      <c r="M428" t="e">
        <v>#N/A</v>
      </c>
      <c r="N428" t="e">
        <v>#N/A</v>
      </c>
      <c r="O428" t="s">
        <v>97</v>
      </c>
    </row>
    <row r="429" spans="1:15" x14ac:dyDescent="0.2">
      <c r="A429">
        <v>125</v>
      </c>
      <c r="B429">
        <v>126</v>
      </c>
      <c r="C429">
        <v>125</v>
      </c>
      <c r="D429">
        <v>124</v>
      </c>
      <c r="E429" t="s">
        <v>5</v>
      </c>
      <c r="F429" t="s">
        <v>19</v>
      </c>
      <c r="G429">
        <v>17</v>
      </c>
      <c r="H429" t="s">
        <v>134</v>
      </c>
      <c r="I429">
        <v>1</v>
      </c>
      <c r="J429">
        <v>1</v>
      </c>
      <c r="K429" t="s">
        <v>112</v>
      </c>
      <c r="L429" t="s">
        <v>135</v>
      </c>
      <c r="M429" t="s">
        <v>136</v>
      </c>
      <c r="N429" t="s">
        <v>107</v>
      </c>
      <c r="O429" t="s">
        <v>97</v>
      </c>
    </row>
    <row r="430" spans="1:15" x14ac:dyDescent="0.2">
      <c r="A430">
        <v>125</v>
      </c>
      <c r="B430">
        <v>126</v>
      </c>
      <c r="C430">
        <v>125</v>
      </c>
      <c r="D430">
        <v>124</v>
      </c>
      <c r="E430" t="s">
        <v>5</v>
      </c>
      <c r="F430" t="s">
        <v>19</v>
      </c>
      <c r="G430">
        <v>18</v>
      </c>
      <c r="H430" t="s">
        <v>137</v>
      </c>
      <c r="I430">
        <v>1</v>
      </c>
      <c r="J430">
        <v>1</v>
      </c>
      <c r="K430" t="s">
        <v>112</v>
      </c>
      <c r="L430" t="s">
        <v>138</v>
      </c>
      <c r="M430" t="s">
        <v>139</v>
      </c>
      <c r="N430" t="s">
        <v>107</v>
      </c>
      <c r="O430" t="s">
        <v>97</v>
      </c>
    </row>
    <row r="431" spans="1:15" x14ac:dyDescent="0.2">
      <c r="A431">
        <v>125</v>
      </c>
      <c r="B431">
        <v>126</v>
      </c>
      <c r="C431">
        <v>125</v>
      </c>
      <c r="D431">
        <v>124</v>
      </c>
      <c r="E431" t="s">
        <v>5</v>
      </c>
      <c r="F431" t="s">
        <v>19</v>
      </c>
      <c r="G431">
        <v>19</v>
      </c>
      <c r="H431" t="s">
        <v>140</v>
      </c>
      <c r="I431">
        <v>1</v>
      </c>
      <c r="J431">
        <v>1</v>
      </c>
      <c r="K431" t="s">
        <v>122</v>
      </c>
      <c r="L431" t="s">
        <v>141</v>
      </c>
      <c r="M431" t="s">
        <v>142</v>
      </c>
      <c r="N431" t="s">
        <v>107</v>
      </c>
      <c r="O431" t="s">
        <v>97</v>
      </c>
    </row>
    <row r="432" spans="1:15" x14ac:dyDescent="0.2">
      <c r="A432">
        <v>125</v>
      </c>
      <c r="B432">
        <v>126</v>
      </c>
      <c r="C432">
        <v>125</v>
      </c>
      <c r="D432">
        <v>124</v>
      </c>
      <c r="E432" t="s">
        <v>5</v>
      </c>
      <c r="F432" t="s">
        <v>19</v>
      </c>
      <c r="G432">
        <v>20</v>
      </c>
      <c r="H432" t="s">
        <v>143</v>
      </c>
      <c r="I432">
        <v>1</v>
      </c>
      <c r="J432">
        <v>1</v>
      </c>
      <c r="K432" t="s">
        <v>122</v>
      </c>
      <c r="L432" t="s">
        <v>144</v>
      </c>
      <c r="M432" t="s">
        <v>145</v>
      </c>
      <c r="N432" t="s">
        <v>107</v>
      </c>
      <c r="O432" t="s">
        <v>97</v>
      </c>
    </row>
    <row r="433" spans="1:15" x14ac:dyDescent="0.2">
      <c r="A433">
        <v>125</v>
      </c>
      <c r="B433">
        <v>126</v>
      </c>
      <c r="C433">
        <v>125</v>
      </c>
      <c r="D433">
        <v>124</v>
      </c>
      <c r="E433" t="s">
        <v>5</v>
      </c>
      <c r="F433" t="s">
        <v>19</v>
      </c>
      <c r="G433">
        <v>21</v>
      </c>
      <c r="H433" t="s">
        <v>146</v>
      </c>
      <c r="I433">
        <v>0.5</v>
      </c>
      <c r="J433">
        <v>1</v>
      </c>
      <c r="K433" t="s">
        <v>147</v>
      </c>
      <c r="L433" t="s">
        <v>148</v>
      </c>
      <c r="M433" t="s">
        <v>149</v>
      </c>
      <c r="N433" t="s">
        <v>96</v>
      </c>
      <c r="O433" t="s">
        <v>97</v>
      </c>
    </row>
    <row r="434" spans="1:15" x14ac:dyDescent="0.2">
      <c r="A434">
        <v>125</v>
      </c>
      <c r="B434">
        <v>126</v>
      </c>
      <c r="C434">
        <v>125</v>
      </c>
      <c r="D434">
        <v>124</v>
      </c>
      <c r="E434" t="s">
        <v>5</v>
      </c>
      <c r="F434" t="s">
        <v>19</v>
      </c>
      <c r="G434">
        <v>22</v>
      </c>
      <c r="H434" t="s">
        <v>150</v>
      </c>
      <c r="I434">
        <v>0</v>
      </c>
      <c r="J434">
        <v>1</v>
      </c>
      <c r="K434" t="s">
        <v>147</v>
      </c>
      <c r="L434" t="s">
        <v>151</v>
      </c>
      <c r="M434" t="s">
        <v>149</v>
      </c>
      <c r="N434" t="s">
        <v>107</v>
      </c>
      <c r="O434" t="s">
        <v>97</v>
      </c>
    </row>
    <row r="435" spans="1:15" x14ac:dyDescent="0.2">
      <c r="A435">
        <v>125</v>
      </c>
      <c r="B435">
        <v>126</v>
      </c>
      <c r="C435">
        <v>125</v>
      </c>
      <c r="D435">
        <v>124</v>
      </c>
      <c r="E435" t="s">
        <v>5</v>
      </c>
      <c r="F435" t="s">
        <v>19</v>
      </c>
      <c r="G435">
        <v>23</v>
      </c>
      <c r="H435" t="s">
        <v>152</v>
      </c>
      <c r="I435">
        <v>0</v>
      </c>
      <c r="J435">
        <v>0</v>
      </c>
      <c r="K435" t="s">
        <v>153</v>
      </c>
      <c r="L435" t="s">
        <v>154</v>
      </c>
      <c r="M435" t="s">
        <v>155</v>
      </c>
      <c r="N435" t="s">
        <v>107</v>
      </c>
      <c r="O435" t="s">
        <v>97</v>
      </c>
    </row>
    <row r="436" spans="1:15" x14ac:dyDescent="0.2">
      <c r="A436">
        <v>125</v>
      </c>
      <c r="B436">
        <v>126</v>
      </c>
      <c r="C436">
        <v>125</v>
      </c>
      <c r="D436">
        <v>124</v>
      </c>
      <c r="E436" t="s">
        <v>5</v>
      </c>
      <c r="F436" t="s">
        <v>19</v>
      </c>
      <c r="G436">
        <v>24</v>
      </c>
      <c r="H436" t="s">
        <v>156</v>
      </c>
      <c r="I436">
        <v>0.5</v>
      </c>
      <c r="J436">
        <v>0.5</v>
      </c>
      <c r="K436" t="s">
        <v>122</v>
      </c>
      <c r="L436" t="s">
        <v>157</v>
      </c>
      <c r="M436" t="s">
        <v>158</v>
      </c>
      <c r="N436" t="s">
        <v>107</v>
      </c>
      <c r="O436" t="s">
        <v>97</v>
      </c>
    </row>
    <row r="437" spans="1:15" x14ac:dyDescent="0.2">
      <c r="A437">
        <v>125</v>
      </c>
      <c r="B437">
        <v>126</v>
      </c>
      <c r="C437">
        <v>125</v>
      </c>
      <c r="D437">
        <v>124</v>
      </c>
      <c r="E437" t="s">
        <v>5</v>
      </c>
      <c r="F437" t="s">
        <v>19</v>
      </c>
      <c r="G437">
        <v>25</v>
      </c>
      <c r="H437" t="s">
        <v>156</v>
      </c>
      <c r="I437">
        <v>0.5</v>
      </c>
      <c r="J437">
        <v>0.5</v>
      </c>
      <c r="K437" t="s">
        <v>122</v>
      </c>
      <c r="L437" t="s">
        <v>157</v>
      </c>
      <c r="M437" t="s">
        <v>158</v>
      </c>
      <c r="N437" t="s">
        <v>107</v>
      </c>
      <c r="O437" t="s">
        <v>97</v>
      </c>
    </row>
    <row r="438" spans="1:15" x14ac:dyDescent="0.2">
      <c r="A438">
        <v>125</v>
      </c>
      <c r="B438">
        <v>126</v>
      </c>
      <c r="C438">
        <v>125</v>
      </c>
      <c r="D438">
        <v>124</v>
      </c>
      <c r="E438" t="s">
        <v>5</v>
      </c>
      <c r="F438" t="s">
        <v>19</v>
      </c>
      <c r="G438">
        <v>26</v>
      </c>
      <c r="H438" t="s">
        <v>152</v>
      </c>
      <c r="I438">
        <v>0</v>
      </c>
      <c r="J438">
        <v>0</v>
      </c>
      <c r="K438" t="s">
        <v>153</v>
      </c>
      <c r="L438" t="s">
        <v>154</v>
      </c>
      <c r="M438" t="s">
        <v>155</v>
      </c>
      <c r="N438" t="s">
        <v>107</v>
      </c>
      <c r="O438" t="s">
        <v>97</v>
      </c>
    </row>
    <row r="439" spans="1:15" x14ac:dyDescent="0.2">
      <c r="A439">
        <v>125</v>
      </c>
      <c r="B439">
        <v>126</v>
      </c>
      <c r="C439">
        <v>125</v>
      </c>
      <c r="D439">
        <v>124</v>
      </c>
      <c r="E439" t="s">
        <v>5</v>
      </c>
      <c r="F439" t="s">
        <v>19</v>
      </c>
      <c r="G439">
        <v>27</v>
      </c>
      <c r="H439" t="s">
        <v>159</v>
      </c>
      <c r="I439">
        <v>0.5</v>
      </c>
      <c r="J439">
        <v>0.5</v>
      </c>
      <c r="K439" t="s">
        <v>122</v>
      </c>
      <c r="L439" t="s">
        <v>160</v>
      </c>
      <c r="M439" t="s">
        <v>161</v>
      </c>
      <c r="N439" t="s">
        <v>107</v>
      </c>
      <c r="O439" t="s">
        <v>97</v>
      </c>
    </row>
    <row r="440" spans="1:15" x14ac:dyDescent="0.2">
      <c r="A440">
        <v>125</v>
      </c>
      <c r="B440">
        <v>126</v>
      </c>
      <c r="C440">
        <v>125</v>
      </c>
      <c r="D440">
        <v>124</v>
      </c>
      <c r="E440" t="s">
        <v>5</v>
      </c>
      <c r="F440" t="s">
        <v>19</v>
      </c>
      <c r="G440">
        <v>28</v>
      </c>
      <c r="H440" t="s">
        <v>159</v>
      </c>
      <c r="I440">
        <v>0</v>
      </c>
      <c r="J440">
        <v>0.5</v>
      </c>
      <c r="K440" t="s">
        <v>122</v>
      </c>
      <c r="L440" t="s">
        <v>160</v>
      </c>
      <c r="M440" t="s">
        <v>161</v>
      </c>
      <c r="N440" t="s">
        <v>107</v>
      </c>
      <c r="O440" t="s">
        <v>97</v>
      </c>
    </row>
    <row r="441" spans="1:15" x14ac:dyDescent="0.2">
      <c r="A441">
        <v>125</v>
      </c>
      <c r="B441">
        <v>126</v>
      </c>
      <c r="C441">
        <v>125</v>
      </c>
      <c r="D441">
        <v>124</v>
      </c>
      <c r="E441" t="s">
        <v>5</v>
      </c>
      <c r="F441" t="s">
        <v>19</v>
      </c>
      <c r="G441">
        <v>29</v>
      </c>
      <c r="H441" t="s">
        <v>152</v>
      </c>
      <c r="I441">
        <v>0</v>
      </c>
      <c r="J441">
        <v>0</v>
      </c>
      <c r="K441" t="s">
        <v>153</v>
      </c>
      <c r="L441" t="s">
        <v>154</v>
      </c>
      <c r="M441" t="s">
        <v>155</v>
      </c>
      <c r="N441" t="s">
        <v>107</v>
      </c>
      <c r="O441" t="s">
        <v>97</v>
      </c>
    </row>
    <row r="442" spans="1:15" x14ac:dyDescent="0.2">
      <c r="A442">
        <v>125</v>
      </c>
      <c r="B442">
        <v>126</v>
      </c>
      <c r="C442">
        <v>125</v>
      </c>
      <c r="D442">
        <v>124</v>
      </c>
      <c r="E442" t="s">
        <v>5</v>
      </c>
      <c r="F442" t="s">
        <v>19</v>
      </c>
      <c r="G442">
        <v>30</v>
      </c>
      <c r="H442" t="s">
        <v>162</v>
      </c>
      <c r="I442">
        <v>1</v>
      </c>
      <c r="J442">
        <v>1</v>
      </c>
      <c r="K442" t="s">
        <v>112</v>
      </c>
      <c r="L442" t="s">
        <v>163</v>
      </c>
      <c r="M442" t="s">
        <v>164</v>
      </c>
      <c r="N442" t="s">
        <v>107</v>
      </c>
      <c r="O442" t="s">
        <v>97</v>
      </c>
    </row>
    <row r="443" spans="1:15" x14ac:dyDescent="0.2">
      <c r="A443">
        <v>125</v>
      </c>
      <c r="B443">
        <v>126</v>
      </c>
      <c r="C443">
        <v>125</v>
      </c>
      <c r="D443">
        <v>124</v>
      </c>
      <c r="E443" t="s">
        <v>5</v>
      </c>
      <c r="F443" t="s">
        <v>19</v>
      </c>
      <c r="G443">
        <v>31</v>
      </c>
      <c r="H443" t="s">
        <v>162</v>
      </c>
      <c r="I443">
        <v>0</v>
      </c>
      <c r="J443">
        <v>0</v>
      </c>
      <c r="K443" t="s">
        <v>112</v>
      </c>
      <c r="L443" t="s">
        <v>163</v>
      </c>
      <c r="M443" t="s">
        <v>164</v>
      </c>
      <c r="N443" t="s">
        <v>107</v>
      </c>
      <c r="O443" t="s">
        <v>97</v>
      </c>
    </row>
    <row r="444" spans="1:15" x14ac:dyDescent="0.2">
      <c r="A444">
        <v>125</v>
      </c>
      <c r="B444">
        <v>126</v>
      </c>
      <c r="C444">
        <v>125</v>
      </c>
      <c r="D444">
        <v>124</v>
      </c>
      <c r="E444" t="s">
        <v>5</v>
      </c>
      <c r="F444" t="s">
        <v>19</v>
      </c>
      <c r="G444">
        <v>32</v>
      </c>
      <c r="H444" t="s">
        <v>162</v>
      </c>
      <c r="I444">
        <v>0</v>
      </c>
      <c r="J444">
        <v>0</v>
      </c>
      <c r="K444" t="s">
        <v>112</v>
      </c>
      <c r="L444" t="s">
        <v>163</v>
      </c>
      <c r="M444" t="s">
        <v>164</v>
      </c>
      <c r="N444" t="s">
        <v>107</v>
      </c>
      <c r="O444" t="s">
        <v>97</v>
      </c>
    </row>
    <row r="445" spans="1:15" x14ac:dyDescent="0.2">
      <c r="A445">
        <v>125</v>
      </c>
      <c r="B445">
        <v>126</v>
      </c>
      <c r="C445">
        <v>125</v>
      </c>
      <c r="D445">
        <v>124</v>
      </c>
      <c r="E445" t="s">
        <v>5</v>
      </c>
      <c r="F445" t="s">
        <v>19</v>
      </c>
      <c r="G445">
        <v>33</v>
      </c>
      <c r="H445" t="s">
        <v>152</v>
      </c>
      <c r="I445">
        <v>1</v>
      </c>
      <c r="J445">
        <v>1</v>
      </c>
      <c r="K445" t="s">
        <v>153</v>
      </c>
      <c r="L445" t="s">
        <v>154</v>
      </c>
      <c r="M445" t="s">
        <v>155</v>
      </c>
      <c r="N445" t="s">
        <v>107</v>
      </c>
      <c r="O445" t="s">
        <v>97</v>
      </c>
    </row>
    <row r="446" spans="1:15" x14ac:dyDescent="0.2">
      <c r="A446">
        <v>125</v>
      </c>
      <c r="B446">
        <v>126</v>
      </c>
      <c r="C446">
        <v>125</v>
      </c>
      <c r="D446">
        <v>124</v>
      </c>
      <c r="E446" t="s">
        <v>5</v>
      </c>
      <c r="F446" t="s">
        <v>19</v>
      </c>
      <c r="G446">
        <v>34</v>
      </c>
      <c r="H446" t="s">
        <v>152</v>
      </c>
      <c r="I446">
        <v>0</v>
      </c>
      <c r="J446">
        <v>0</v>
      </c>
      <c r="K446" t="s">
        <v>153</v>
      </c>
      <c r="L446" t="s">
        <v>154</v>
      </c>
      <c r="M446" t="s">
        <v>155</v>
      </c>
      <c r="N446" t="s">
        <v>107</v>
      </c>
      <c r="O446" t="s">
        <v>97</v>
      </c>
    </row>
    <row r="447" spans="1:15" x14ac:dyDescent="0.2">
      <c r="A447">
        <v>125</v>
      </c>
      <c r="B447">
        <v>126</v>
      </c>
      <c r="C447">
        <v>125</v>
      </c>
      <c r="D447">
        <v>124</v>
      </c>
      <c r="E447" t="s">
        <v>5</v>
      </c>
      <c r="F447" t="s">
        <v>19</v>
      </c>
      <c r="G447">
        <v>35</v>
      </c>
      <c r="H447" t="s">
        <v>165</v>
      </c>
      <c r="I447">
        <v>0</v>
      </c>
      <c r="J447">
        <v>1</v>
      </c>
      <c r="K447" t="s">
        <v>166</v>
      </c>
      <c r="L447" t="s">
        <v>167</v>
      </c>
      <c r="M447" t="s">
        <v>168</v>
      </c>
      <c r="N447" t="s">
        <v>107</v>
      </c>
      <c r="O447" t="s">
        <v>97</v>
      </c>
    </row>
    <row r="448" spans="1:15" x14ac:dyDescent="0.2">
      <c r="A448">
        <v>125</v>
      </c>
      <c r="B448">
        <v>126</v>
      </c>
      <c r="C448">
        <v>125</v>
      </c>
      <c r="D448">
        <v>124</v>
      </c>
      <c r="E448" t="s">
        <v>5</v>
      </c>
      <c r="F448" t="s">
        <v>19</v>
      </c>
      <c r="G448">
        <v>36</v>
      </c>
      <c r="H448" t="s">
        <v>169</v>
      </c>
      <c r="I448">
        <v>0</v>
      </c>
      <c r="J448">
        <v>0</v>
      </c>
      <c r="K448" t="e">
        <v>#N/A</v>
      </c>
      <c r="L448" t="e">
        <v>#N/A</v>
      </c>
      <c r="M448" t="e">
        <v>#N/A</v>
      </c>
      <c r="N448" t="e">
        <v>#N/A</v>
      </c>
      <c r="O448" t="s">
        <v>97</v>
      </c>
    </row>
    <row r="449" spans="1:15" x14ac:dyDescent="0.2">
      <c r="A449">
        <v>125</v>
      </c>
      <c r="B449">
        <v>126</v>
      </c>
      <c r="C449">
        <v>125</v>
      </c>
      <c r="D449">
        <v>124</v>
      </c>
      <c r="E449" t="s">
        <v>5</v>
      </c>
      <c r="F449" t="s">
        <v>19</v>
      </c>
      <c r="G449">
        <v>38</v>
      </c>
      <c r="H449" t="s">
        <v>170</v>
      </c>
      <c r="I449">
        <v>0.5</v>
      </c>
      <c r="J449">
        <v>0.5</v>
      </c>
      <c r="K449" t="s">
        <v>112</v>
      </c>
      <c r="L449" t="s">
        <v>171</v>
      </c>
      <c r="M449" t="s">
        <v>172</v>
      </c>
      <c r="N449" t="s">
        <v>96</v>
      </c>
      <c r="O449" t="s">
        <v>97</v>
      </c>
    </row>
    <row r="450" spans="1:15" x14ac:dyDescent="0.2">
      <c r="A450">
        <v>125</v>
      </c>
      <c r="B450">
        <v>126</v>
      </c>
      <c r="C450">
        <v>125</v>
      </c>
      <c r="D450">
        <v>124</v>
      </c>
      <c r="E450" t="s">
        <v>5</v>
      </c>
      <c r="F450" t="s">
        <v>19</v>
      </c>
      <c r="G450">
        <v>39</v>
      </c>
      <c r="H450" t="s">
        <v>170</v>
      </c>
      <c r="I450">
        <v>0</v>
      </c>
      <c r="J450">
        <v>0.5</v>
      </c>
      <c r="K450" t="s">
        <v>112</v>
      </c>
      <c r="L450" t="s">
        <v>171</v>
      </c>
      <c r="M450" t="s">
        <v>172</v>
      </c>
      <c r="N450" t="s">
        <v>96</v>
      </c>
      <c r="O450" t="s">
        <v>97</v>
      </c>
    </row>
    <row r="451" spans="1:15" x14ac:dyDescent="0.2">
      <c r="A451">
        <v>125</v>
      </c>
      <c r="B451">
        <v>126</v>
      </c>
      <c r="C451">
        <v>125</v>
      </c>
      <c r="D451">
        <v>124</v>
      </c>
      <c r="E451" t="s">
        <v>5</v>
      </c>
      <c r="F451" t="s">
        <v>19</v>
      </c>
      <c r="G451">
        <v>40</v>
      </c>
      <c r="H451" t="s">
        <v>170</v>
      </c>
      <c r="I451">
        <v>0.5</v>
      </c>
      <c r="J451">
        <v>0.5</v>
      </c>
      <c r="K451" t="s">
        <v>112</v>
      </c>
      <c r="L451" t="s">
        <v>171</v>
      </c>
      <c r="M451" t="s">
        <v>172</v>
      </c>
      <c r="N451" t="s">
        <v>96</v>
      </c>
      <c r="O451" t="s">
        <v>97</v>
      </c>
    </row>
    <row r="452" spans="1:15" x14ac:dyDescent="0.2">
      <c r="A452">
        <v>125</v>
      </c>
      <c r="B452">
        <v>126</v>
      </c>
      <c r="C452">
        <v>125</v>
      </c>
      <c r="D452">
        <v>124</v>
      </c>
      <c r="E452" t="s">
        <v>5</v>
      </c>
      <c r="F452" t="s">
        <v>19</v>
      </c>
      <c r="G452">
        <v>41</v>
      </c>
      <c r="H452" t="s">
        <v>173</v>
      </c>
      <c r="I452">
        <v>0</v>
      </c>
      <c r="J452">
        <v>1</v>
      </c>
      <c r="K452" t="s">
        <v>166</v>
      </c>
      <c r="L452" t="s">
        <v>174</v>
      </c>
      <c r="M452" t="s">
        <v>175</v>
      </c>
      <c r="N452" t="s">
        <v>107</v>
      </c>
      <c r="O452" t="s">
        <v>97</v>
      </c>
    </row>
    <row r="453" spans="1:15" x14ac:dyDescent="0.2">
      <c r="A453">
        <v>125</v>
      </c>
      <c r="B453">
        <v>126</v>
      </c>
      <c r="C453">
        <v>125</v>
      </c>
      <c r="D453">
        <v>124</v>
      </c>
      <c r="E453" t="s">
        <v>5</v>
      </c>
      <c r="F453" t="s">
        <v>19</v>
      </c>
      <c r="G453">
        <v>42</v>
      </c>
      <c r="H453" t="s">
        <v>176</v>
      </c>
      <c r="I453">
        <v>0</v>
      </c>
      <c r="J453" t="s">
        <v>198</v>
      </c>
      <c r="K453" t="s">
        <v>153</v>
      </c>
      <c r="L453" t="s">
        <v>177</v>
      </c>
      <c r="M453" t="s">
        <v>178</v>
      </c>
      <c r="N453" t="s">
        <v>107</v>
      </c>
      <c r="O453" t="s">
        <v>97</v>
      </c>
    </row>
    <row r="454" spans="1:15" x14ac:dyDescent="0.2">
      <c r="A454">
        <v>125</v>
      </c>
      <c r="B454">
        <v>126</v>
      </c>
      <c r="C454">
        <v>125</v>
      </c>
      <c r="D454">
        <v>124</v>
      </c>
      <c r="E454" t="s">
        <v>5</v>
      </c>
      <c r="F454" t="s">
        <v>19</v>
      </c>
      <c r="G454">
        <v>43</v>
      </c>
      <c r="H454" t="s">
        <v>179</v>
      </c>
      <c r="I454">
        <v>0</v>
      </c>
      <c r="J454">
        <v>0</v>
      </c>
      <c r="K454" t="s">
        <v>166</v>
      </c>
      <c r="L454" t="s">
        <v>180</v>
      </c>
      <c r="M454" t="s">
        <v>181</v>
      </c>
      <c r="N454" t="s">
        <v>107</v>
      </c>
      <c r="O454" t="s">
        <v>97</v>
      </c>
    </row>
    <row r="455" spans="1:15" x14ac:dyDescent="0.2">
      <c r="A455">
        <v>125</v>
      </c>
      <c r="B455">
        <v>126</v>
      </c>
      <c r="C455">
        <v>125</v>
      </c>
      <c r="D455">
        <v>124</v>
      </c>
      <c r="E455" t="s">
        <v>5</v>
      </c>
      <c r="F455" t="s">
        <v>19</v>
      </c>
      <c r="G455">
        <v>44</v>
      </c>
      <c r="H455" t="s">
        <v>182</v>
      </c>
      <c r="I455">
        <v>0</v>
      </c>
      <c r="J455">
        <v>1</v>
      </c>
      <c r="K455" t="s">
        <v>166</v>
      </c>
      <c r="L455" t="s">
        <v>183</v>
      </c>
      <c r="M455" t="s">
        <v>184</v>
      </c>
      <c r="N455" t="s">
        <v>107</v>
      </c>
      <c r="O455" t="s">
        <v>97</v>
      </c>
    </row>
    <row r="456" spans="1:15" x14ac:dyDescent="0.2">
      <c r="A456">
        <v>125</v>
      </c>
      <c r="B456">
        <v>126</v>
      </c>
      <c r="C456">
        <v>125</v>
      </c>
      <c r="D456">
        <v>124</v>
      </c>
      <c r="E456" t="s">
        <v>5</v>
      </c>
      <c r="F456" t="s">
        <v>19</v>
      </c>
      <c r="G456">
        <v>45</v>
      </c>
      <c r="H456" t="s">
        <v>185</v>
      </c>
      <c r="I456">
        <v>1</v>
      </c>
      <c r="J456">
        <v>1</v>
      </c>
      <c r="K456" t="s">
        <v>166</v>
      </c>
      <c r="L456" t="s">
        <v>186</v>
      </c>
      <c r="M456" t="s">
        <v>139</v>
      </c>
      <c r="N456" t="s">
        <v>107</v>
      </c>
      <c r="O456" t="s">
        <v>97</v>
      </c>
    </row>
    <row r="457" spans="1:15" x14ac:dyDescent="0.2">
      <c r="A457">
        <v>125</v>
      </c>
      <c r="B457">
        <v>126</v>
      </c>
      <c r="C457">
        <v>125</v>
      </c>
      <c r="D457">
        <v>124</v>
      </c>
      <c r="E457" t="s">
        <v>5</v>
      </c>
      <c r="F457" t="s">
        <v>19</v>
      </c>
      <c r="G457">
        <v>47</v>
      </c>
      <c r="H457" t="s">
        <v>187</v>
      </c>
      <c r="I457">
        <v>0</v>
      </c>
      <c r="J457">
        <v>0.2</v>
      </c>
      <c r="K457" t="s">
        <v>93</v>
      </c>
      <c r="L457" t="s">
        <v>188</v>
      </c>
      <c r="M457" t="s">
        <v>95</v>
      </c>
      <c r="N457" t="s">
        <v>96</v>
      </c>
      <c r="O457" t="s">
        <v>97</v>
      </c>
    </row>
    <row r="458" spans="1:15" x14ac:dyDescent="0.2">
      <c r="A458">
        <v>125</v>
      </c>
      <c r="B458">
        <v>126</v>
      </c>
      <c r="C458">
        <v>125</v>
      </c>
      <c r="D458">
        <v>124</v>
      </c>
      <c r="E458" t="s">
        <v>5</v>
      </c>
      <c r="F458" t="s">
        <v>19</v>
      </c>
      <c r="G458">
        <v>48</v>
      </c>
      <c r="H458" t="s">
        <v>189</v>
      </c>
      <c r="I458">
        <v>0.2</v>
      </c>
      <c r="J458">
        <v>0.2</v>
      </c>
      <c r="K458" t="s">
        <v>93</v>
      </c>
      <c r="L458" t="s">
        <v>190</v>
      </c>
      <c r="M458" t="s">
        <v>95</v>
      </c>
      <c r="N458" t="s">
        <v>96</v>
      </c>
      <c r="O458" t="s">
        <v>97</v>
      </c>
    </row>
    <row r="459" spans="1:15" x14ac:dyDescent="0.2">
      <c r="A459">
        <v>125</v>
      </c>
      <c r="B459">
        <v>126</v>
      </c>
      <c r="C459">
        <v>125</v>
      </c>
      <c r="D459">
        <v>124</v>
      </c>
      <c r="E459" t="s">
        <v>5</v>
      </c>
      <c r="F459" t="s">
        <v>19</v>
      </c>
      <c r="G459">
        <v>49</v>
      </c>
      <c r="H459" t="s">
        <v>191</v>
      </c>
      <c r="I459">
        <v>0</v>
      </c>
      <c r="J459">
        <v>0.2</v>
      </c>
      <c r="K459" t="s">
        <v>93</v>
      </c>
      <c r="L459" t="s">
        <v>192</v>
      </c>
      <c r="M459" t="s">
        <v>95</v>
      </c>
      <c r="N459" t="s">
        <v>96</v>
      </c>
      <c r="O459" t="s">
        <v>97</v>
      </c>
    </row>
    <row r="460" spans="1:15" x14ac:dyDescent="0.2">
      <c r="A460">
        <v>125</v>
      </c>
      <c r="B460">
        <v>126</v>
      </c>
      <c r="C460">
        <v>125</v>
      </c>
      <c r="D460">
        <v>124</v>
      </c>
      <c r="E460" t="s">
        <v>5</v>
      </c>
      <c r="F460" t="s">
        <v>19</v>
      </c>
      <c r="G460">
        <v>50</v>
      </c>
      <c r="H460" t="s">
        <v>193</v>
      </c>
      <c r="I460">
        <v>0.1</v>
      </c>
      <c r="J460">
        <v>0.1</v>
      </c>
      <c r="K460" t="s">
        <v>93</v>
      </c>
      <c r="L460" t="s">
        <v>194</v>
      </c>
      <c r="M460" t="s">
        <v>95</v>
      </c>
      <c r="N460" t="s">
        <v>96</v>
      </c>
      <c r="O460" t="s">
        <v>97</v>
      </c>
    </row>
    <row r="461" spans="1:15" x14ac:dyDescent="0.2">
      <c r="A461">
        <v>125</v>
      </c>
      <c r="B461">
        <v>126</v>
      </c>
      <c r="C461">
        <v>125</v>
      </c>
      <c r="D461">
        <v>124</v>
      </c>
      <c r="E461" t="s">
        <v>5</v>
      </c>
      <c r="F461" t="s">
        <v>19</v>
      </c>
      <c r="G461">
        <v>51</v>
      </c>
      <c r="H461" t="s">
        <v>193</v>
      </c>
      <c r="I461">
        <v>0.1</v>
      </c>
      <c r="J461">
        <v>0.1</v>
      </c>
      <c r="K461" t="s">
        <v>93</v>
      </c>
      <c r="L461" t="s">
        <v>194</v>
      </c>
      <c r="M461" t="s">
        <v>95</v>
      </c>
      <c r="N461" t="s">
        <v>96</v>
      </c>
      <c r="O461" t="s">
        <v>97</v>
      </c>
    </row>
    <row r="462" spans="1:15" x14ac:dyDescent="0.2">
      <c r="A462">
        <v>130</v>
      </c>
      <c r="B462">
        <v>131</v>
      </c>
      <c r="C462">
        <v>130</v>
      </c>
      <c r="D462">
        <v>129</v>
      </c>
      <c r="E462" t="s">
        <v>5</v>
      </c>
      <c r="F462" t="s">
        <v>20</v>
      </c>
      <c r="G462">
        <v>1</v>
      </c>
      <c r="H462" t="s">
        <v>92</v>
      </c>
      <c r="I462">
        <v>0</v>
      </c>
      <c r="J462">
        <v>0.2</v>
      </c>
      <c r="K462" t="s">
        <v>93</v>
      </c>
      <c r="L462" t="s">
        <v>94</v>
      </c>
      <c r="M462" t="s">
        <v>95</v>
      </c>
      <c r="N462" t="s">
        <v>96</v>
      </c>
      <c r="O462" t="s">
        <v>97</v>
      </c>
    </row>
    <row r="463" spans="1:15" x14ac:dyDescent="0.2">
      <c r="A463">
        <v>130</v>
      </c>
      <c r="B463">
        <v>131</v>
      </c>
      <c r="C463">
        <v>130</v>
      </c>
      <c r="D463">
        <v>129</v>
      </c>
      <c r="E463" t="s">
        <v>5</v>
      </c>
      <c r="F463" t="s">
        <v>20</v>
      </c>
      <c r="G463">
        <v>2</v>
      </c>
      <c r="H463" t="s">
        <v>98</v>
      </c>
      <c r="I463">
        <v>0.25</v>
      </c>
      <c r="J463">
        <v>0.5</v>
      </c>
      <c r="K463" t="s">
        <v>93</v>
      </c>
      <c r="L463" t="s">
        <v>99</v>
      </c>
      <c r="M463" t="s">
        <v>95</v>
      </c>
      <c r="N463" t="s">
        <v>96</v>
      </c>
      <c r="O463" t="s">
        <v>97</v>
      </c>
    </row>
    <row r="464" spans="1:15" x14ac:dyDescent="0.2">
      <c r="A464">
        <v>130</v>
      </c>
      <c r="B464">
        <v>131</v>
      </c>
      <c r="C464">
        <v>130</v>
      </c>
      <c r="D464">
        <v>129</v>
      </c>
      <c r="E464" t="s">
        <v>5</v>
      </c>
      <c r="F464" t="s">
        <v>20</v>
      </c>
      <c r="G464">
        <v>3</v>
      </c>
      <c r="H464" t="s">
        <v>100</v>
      </c>
      <c r="I464">
        <v>1</v>
      </c>
      <c r="J464">
        <v>1</v>
      </c>
      <c r="K464" t="s">
        <v>101</v>
      </c>
      <c r="L464" t="s">
        <v>102</v>
      </c>
      <c r="M464" t="s">
        <v>103</v>
      </c>
      <c r="N464" t="s">
        <v>96</v>
      </c>
      <c r="O464" t="s">
        <v>97</v>
      </c>
    </row>
    <row r="465" spans="1:15" x14ac:dyDescent="0.2">
      <c r="A465">
        <v>130</v>
      </c>
      <c r="B465">
        <v>131</v>
      </c>
      <c r="C465">
        <v>130</v>
      </c>
      <c r="D465">
        <v>129</v>
      </c>
      <c r="E465" t="s">
        <v>5</v>
      </c>
      <c r="F465" t="s">
        <v>20</v>
      </c>
      <c r="G465">
        <v>4</v>
      </c>
      <c r="H465" t="s">
        <v>104</v>
      </c>
      <c r="I465">
        <v>1</v>
      </c>
      <c r="J465">
        <v>1</v>
      </c>
      <c r="K465" t="s">
        <v>101</v>
      </c>
      <c r="L465" t="s">
        <v>105</v>
      </c>
      <c r="M465" t="s">
        <v>106</v>
      </c>
      <c r="N465" t="s">
        <v>107</v>
      </c>
      <c r="O465" t="s">
        <v>97</v>
      </c>
    </row>
    <row r="466" spans="1:15" x14ac:dyDescent="0.2">
      <c r="A466">
        <v>130</v>
      </c>
      <c r="B466">
        <v>131</v>
      </c>
      <c r="C466">
        <v>130</v>
      </c>
      <c r="D466">
        <v>129</v>
      </c>
      <c r="E466" t="s">
        <v>5</v>
      </c>
      <c r="F466" t="s">
        <v>20</v>
      </c>
      <c r="G466">
        <v>5</v>
      </c>
      <c r="H466" t="s">
        <v>108</v>
      </c>
      <c r="I466">
        <v>0</v>
      </c>
      <c r="J466">
        <v>1</v>
      </c>
      <c r="K466" t="s">
        <v>101</v>
      </c>
      <c r="L466" t="s">
        <v>109</v>
      </c>
      <c r="M466" t="s">
        <v>110</v>
      </c>
      <c r="N466" t="s">
        <v>107</v>
      </c>
      <c r="O466" t="s">
        <v>97</v>
      </c>
    </row>
    <row r="467" spans="1:15" x14ac:dyDescent="0.2">
      <c r="A467">
        <v>130</v>
      </c>
      <c r="B467">
        <v>131</v>
      </c>
      <c r="C467">
        <v>130</v>
      </c>
      <c r="D467">
        <v>129</v>
      </c>
      <c r="E467" t="s">
        <v>5</v>
      </c>
      <c r="F467" t="s">
        <v>20</v>
      </c>
      <c r="G467">
        <v>9</v>
      </c>
      <c r="H467" t="s">
        <v>111</v>
      </c>
      <c r="I467">
        <v>0.5</v>
      </c>
      <c r="J467">
        <v>0.5</v>
      </c>
      <c r="K467" t="s">
        <v>112</v>
      </c>
      <c r="L467" t="s">
        <v>113</v>
      </c>
      <c r="M467" t="s">
        <v>114</v>
      </c>
      <c r="N467" t="s">
        <v>96</v>
      </c>
      <c r="O467" t="s">
        <v>97</v>
      </c>
    </row>
    <row r="468" spans="1:15" x14ac:dyDescent="0.2">
      <c r="A468">
        <v>130</v>
      </c>
      <c r="B468">
        <v>131</v>
      </c>
      <c r="C468">
        <v>130</v>
      </c>
      <c r="D468">
        <v>129</v>
      </c>
      <c r="E468" t="s">
        <v>5</v>
      </c>
      <c r="F468" t="s">
        <v>20</v>
      </c>
      <c r="G468">
        <v>10</v>
      </c>
      <c r="H468" t="s">
        <v>115</v>
      </c>
      <c r="I468">
        <v>0.5</v>
      </c>
      <c r="J468">
        <v>0.5</v>
      </c>
      <c r="K468" t="s">
        <v>112</v>
      </c>
      <c r="L468" t="s">
        <v>116</v>
      </c>
      <c r="M468" t="s">
        <v>117</v>
      </c>
      <c r="N468" t="s">
        <v>96</v>
      </c>
      <c r="O468" t="s">
        <v>97</v>
      </c>
    </row>
    <row r="469" spans="1:15" x14ac:dyDescent="0.2">
      <c r="A469">
        <v>130</v>
      </c>
      <c r="B469">
        <v>131</v>
      </c>
      <c r="C469">
        <v>130</v>
      </c>
      <c r="D469">
        <v>129</v>
      </c>
      <c r="E469" t="s">
        <v>5</v>
      </c>
      <c r="F469" t="s">
        <v>20</v>
      </c>
      <c r="G469">
        <v>11</v>
      </c>
      <c r="H469" t="s">
        <v>118</v>
      </c>
      <c r="I469">
        <v>1</v>
      </c>
      <c r="J469">
        <v>1</v>
      </c>
      <c r="K469" t="s">
        <v>112</v>
      </c>
      <c r="L469" t="s">
        <v>119</v>
      </c>
      <c r="M469" t="s">
        <v>120</v>
      </c>
      <c r="N469" t="s">
        <v>107</v>
      </c>
      <c r="O469" t="s">
        <v>97</v>
      </c>
    </row>
    <row r="470" spans="1:15" x14ac:dyDescent="0.2">
      <c r="A470">
        <v>130</v>
      </c>
      <c r="B470">
        <v>131</v>
      </c>
      <c r="C470">
        <v>130</v>
      </c>
      <c r="D470">
        <v>129</v>
      </c>
      <c r="E470" t="s">
        <v>5</v>
      </c>
      <c r="F470" t="s">
        <v>20</v>
      </c>
      <c r="G470">
        <v>12</v>
      </c>
      <c r="H470" t="s">
        <v>121</v>
      </c>
      <c r="I470">
        <v>0</v>
      </c>
      <c r="J470">
        <v>0.5</v>
      </c>
      <c r="K470" t="s">
        <v>122</v>
      </c>
      <c r="L470" t="s">
        <v>113</v>
      </c>
      <c r="M470" t="s">
        <v>123</v>
      </c>
      <c r="N470" t="s">
        <v>96</v>
      </c>
      <c r="O470" t="s">
        <v>97</v>
      </c>
    </row>
    <row r="471" spans="1:15" x14ac:dyDescent="0.2">
      <c r="A471">
        <v>130</v>
      </c>
      <c r="B471">
        <v>131</v>
      </c>
      <c r="C471">
        <v>130</v>
      </c>
      <c r="D471">
        <v>129</v>
      </c>
      <c r="E471" t="s">
        <v>5</v>
      </c>
      <c r="F471" t="s">
        <v>20</v>
      </c>
      <c r="G471">
        <v>13</v>
      </c>
      <c r="H471" t="s">
        <v>124</v>
      </c>
      <c r="I471">
        <v>0</v>
      </c>
      <c r="J471">
        <v>0.5</v>
      </c>
      <c r="K471" t="s">
        <v>122</v>
      </c>
      <c r="L471" t="s">
        <v>125</v>
      </c>
      <c r="M471" t="s">
        <v>126</v>
      </c>
      <c r="N471" t="s">
        <v>96</v>
      </c>
      <c r="O471" t="s">
        <v>97</v>
      </c>
    </row>
    <row r="472" spans="1:15" x14ac:dyDescent="0.2">
      <c r="A472">
        <v>130</v>
      </c>
      <c r="B472">
        <v>131</v>
      </c>
      <c r="C472">
        <v>130</v>
      </c>
      <c r="D472">
        <v>129</v>
      </c>
      <c r="E472" t="s">
        <v>5</v>
      </c>
      <c r="F472" t="s">
        <v>20</v>
      </c>
      <c r="G472">
        <v>14</v>
      </c>
      <c r="H472" t="s">
        <v>127</v>
      </c>
      <c r="I472">
        <v>0.5</v>
      </c>
      <c r="J472">
        <v>1</v>
      </c>
      <c r="K472" t="s">
        <v>122</v>
      </c>
      <c r="L472" t="s">
        <v>119</v>
      </c>
      <c r="M472" t="s">
        <v>128</v>
      </c>
      <c r="N472" t="s">
        <v>107</v>
      </c>
      <c r="O472" t="s">
        <v>97</v>
      </c>
    </row>
    <row r="473" spans="1:15" x14ac:dyDescent="0.2">
      <c r="A473">
        <v>130</v>
      </c>
      <c r="B473">
        <v>131</v>
      </c>
      <c r="C473">
        <v>130</v>
      </c>
      <c r="D473">
        <v>129</v>
      </c>
      <c r="E473" t="s">
        <v>5</v>
      </c>
      <c r="F473" t="s">
        <v>20</v>
      </c>
      <c r="G473">
        <v>15</v>
      </c>
      <c r="H473" t="s">
        <v>129</v>
      </c>
      <c r="I473">
        <v>0</v>
      </c>
      <c r="J473">
        <v>1</v>
      </c>
      <c r="K473" t="s">
        <v>130</v>
      </c>
      <c r="L473" t="s">
        <v>131</v>
      </c>
      <c r="M473" t="s">
        <v>132</v>
      </c>
      <c r="N473" t="s">
        <v>107</v>
      </c>
      <c r="O473" t="s">
        <v>97</v>
      </c>
    </row>
    <row r="474" spans="1:15" x14ac:dyDescent="0.2">
      <c r="A474">
        <v>130</v>
      </c>
      <c r="B474">
        <v>131</v>
      </c>
      <c r="C474">
        <v>130</v>
      </c>
      <c r="D474">
        <v>129</v>
      </c>
      <c r="E474" t="s">
        <v>5</v>
      </c>
      <c r="F474" t="s">
        <v>20</v>
      </c>
      <c r="G474">
        <v>16</v>
      </c>
      <c r="H474" t="s">
        <v>133</v>
      </c>
      <c r="I474">
        <v>0</v>
      </c>
      <c r="J474">
        <v>0</v>
      </c>
      <c r="K474" t="e">
        <v>#N/A</v>
      </c>
      <c r="L474" t="e">
        <v>#N/A</v>
      </c>
      <c r="M474" t="e">
        <v>#N/A</v>
      </c>
      <c r="N474" t="e">
        <v>#N/A</v>
      </c>
      <c r="O474" t="s">
        <v>97</v>
      </c>
    </row>
    <row r="475" spans="1:15" x14ac:dyDescent="0.2">
      <c r="A475">
        <v>130</v>
      </c>
      <c r="B475">
        <v>131</v>
      </c>
      <c r="C475">
        <v>130</v>
      </c>
      <c r="D475">
        <v>129</v>
      </c>
      <c r="E475" t="s">
        <v>5</v>
      </c>
      <c r="F475" t="s">
        <v>20</v>
      </c>
      <c r="G475">
        <v>17</v>
      </c>
      <c r="H475" t="s">
        <v>134</v>
      </c>
      <c r="I475">
        <v>1</v>
      </c>
      <c r="J475">
        <v>1</v>
      </c>
      <c r="K475" t="s">
        <v>112</v>
      </c>
      <c r="L475" t="s">
        <v>135</v>
      </c>
      <c r="M475" t="s">
        <v>136</v>
      </c>
      <c r="N475" t="s">
        <v>107</v>
      </c>
      <c r="O475" t="s">
        <v>97</v>
      </c>
    </row>
    <row r="476" spans="1:15" x14ac:dyDescent="0.2">
      <c r="A476">
        <v>130</v>
      </c>
      <c r="B476">
        <v>131</v>
      </c>
      <c r="C476">
        <v>130</v>
      </c>
      <c r="D476">
        <v>129</v>
      </c>
      <c r="E476" t="s">
        <v>5</v>
      </c>
      <c r="F476" t="s">
        <v>20</v>
      </c>
      <c r="G476">
        <v>18</v>
      </c>
      <c r="H476" t="s">
        <v>137</v>
      </c>
      <c r="I476">
        <v>1</v>
      </c>
      <c r="J476">
        <v>1</v>
      </c>
      <c r="K476" t="s">
        <v>112</v>
      </c>
      <c r="L476" t="s">
        <v>138</v>
      </c>
      <c r="M476" t="s">
        <v>139</v>
      </c>
      <c r="N476" t="s">
        <v>107</v>
      </c>
      <c r="O476" t="s">
        <v>97</v>
      </c>
    </row>
    <row r="477" spans="1:15" x14ac:dyDescent="0.2">
      <c r="A477">
        <v>130</v>
      </c>
      <c r="B477">
        <v>131</v>
      </c>
      <c r="C477">
        <v>130</v>
      </c>
      <c r="D477">
        <v>129</v>
      </c>
      <c r="E477" t="s">
        <v>5</v>
      </c>
      <c r="F477" t="s">
        <v>20</v>
      </c>
      <c r="G477">
        <v>19</v>
      </c>
      <c r="H477" t="s">
        <v>140</v>
      </c>
      <c r="I477">
        <v>0</v>
      </c>
      <c r="J477">
        <v>1</v>
      </c>
      <c r="K477" t="s">
        <v>122</v>
      </c>
      <c r="L477" t="s">
        <v>141</v>
      </c>
      <c r="M477" t="s">
        <v>142</v>
      </c>
      <c r="N477" t="s">
        <v>107</v>
      </c>
      <c r="O477" t="s">
        <v>97</v>
      </c>
    </row>
    <row r="478" spans="1:15" x14ac:dyDescent="0.2">
      <c r="A478">
        <v>130</v>
      </c>
      <c r="B478">
        <v>131</v>
      </c>
      <c r="C478">
        <v>130</v>
      </c>
      <c r="D478">
        <v>129</v>
      </c>
      <c r="E478" t="s">
        <v>5</v>
      </c>
      <c r="F478" t="s">
        <v>20</v>
      </c>
      <c r="G478">
        <v>20</v>
      </c>
      <c r="H478" t="s">
        <v>143</v>
      </c>
      <c r="I478">
        <v>0</v>
      </c>
      <c r="J478">
        <v>1</v>
      </c>
      <c r="K478" t="s">
        <v>122</v>
      </c>
      <c r="L478" t="s">
        <v>144</v>
      </c>
      <c r="M478" t="s">
        <v>145</v>
      </c>
      <c r="N478" t="s">
        <v>107</v>
      </c>
      <c r="O478" t="s">
        <v>97</v>
      </c>
    </row>
    <row r="479" spans="1:15" x14ac:dyDescent="0.2">
      <c r="A479">
        <v>130</v>
      </c>
      <c r="B479">
        <v>131</v>
      </c>
      <c r="C479">
        <v>130</v>
      </c>
      <c r="D479">
        <v>129</v>
      </c>
      <c r="E479" t="s">
        <v>5</v>
      </c>
      <c r="F479" t="s">
        <v>20</v>
      </c>
      <c r="G479">
        <v>21</v>
      </c>
      <c r="H479" t="s">
        <v>146</v>
      </c>
      <c r="I479">
        <v>1</v>
      </c>
      <c r="J479">
        <v>1</v>
      </c>
      <c r="K479" t="s">
        <v>147</v>
      </c>
      <c r="L479" t="s">
        <v>148</v>
      </c>
      <c r="M479" t="s">
        <v>149</v>
      </c>
      <c r="N479" t="s">
        <v>96</v>
      </c>
      <c r="O479" t="s">
        <v>97</v>
      </c>
    </row>
    <row r="480" spans="1:15" x14ac:dyDescent="0.2">
      <c r="A480">
        <v>130</v>
      </c>
      <c r="B480">
        <v>131</v>
      </c>
      <c r="C480">
        <v>130</v>
      </c>
      <c r="D480">
        <v>129</v>
      </c>
      <c r="E480" t="s">
        <v>5</v>
      </c>
      <c r="F480" t="s">
        <v>20</v>
      </c>
      <c r="G480">
        <v>22</v>
      </c>
      <c r="H480" t="s">
        <v>150</v>
      </c>
      <c r="I480">
        <v>0</v>
      </c>
      <c r="J480">
        <v>1</v>
      </c>
      <c r="K480" t="s">
        <v>147</v>
      </c>
      <c r="L480" t="s">
        <v>151</v>
      </c>
      <c r="M480" t="s">
        <v>149</v>
      </c>
      <c r="N480" t="s">
        <v>107</v>
      </c>
      <c r="O480" t="s">
        <v>97</v>
      </c>
    </row>
    <row r="481" spans="1:15" x14ac:dyDescent="0.2">
      <c r="A481">
        <v>130</v>
      </c>
      <c r="B481">
        <v>131</v>
      </c>
      <c r="C481">
        <v>130</v>
      </c>
      <c r="D481">
        <v>129</v>
      </c>
      <c r="E481" t="s">
        <v>5</v>
      </c>
      <c r="F481" t="s">
        <v>20</v>
      </c>
      <c r="G481">
        <v>23</v>
      </c>
      <c r="H481" t="s">
        <v>152</v>
      </c>
      <c r="I481">
        <v>0</v>
      </c>
      <c r="J481">
        <v>0</v>
      </c>
      <c r="K481" t="s">
        <v>153</v>
      </c>
      <c r="L481" t="s">
        <v>154</v>
      </c>
      <c r="M481" t="s">
        <v>155</v>
      </c>
      <c r="N481" t="s">
        <v>107</v>
      </c>
      <c r="O481" t="s">
        <v>97</v>
      </c>
    </row>
    <row r="482" spans="1:15" x14ac:dyDescent="0.2">
      <c r="A482">
        <v>130</v>
      </c>
      <c r="B482">
        <v>131</v>
      </c>
      <c r="C482">
        <v>130</v>
      </c>
      <c r="D482">
        <v>129</v>
      </c>
      <c r="E482" t="s">
        <v>5</v>
      </c>
      <c r="F482" t="s">
        <v>20</v>
      </c>
      <c r="G482">
        <v>24</v>
      </c>
      <c r="H482" t="s">
        <v>156</v>
      </c>
      <c r="I482">
        <v>0.5</v>
      </c>
      <c r="J482">
        <v>0.5</v>
      </c>
      <c r="K482" t="s">
        <v>122</v>
      </c>
      <c r="L482" t="s">
        <v>157</v>
      </c>
      <c r="M482" t="s">
        <v>158</v>
      </c>
      <c r="N482" t="s">
        <v>107</v>
      </c>
      <c r="O482" t="s">
        <v>97</v>
      </c>
    </row>
    <row r="483" spans="1:15" x14ac:dyDescent="0.2">
      <c r="A483">
        <v>130</v>
      </c>
      <c r="B483">
        <v>131</v>
      </c>
      <c r="C483">
        <v>130</v>
      </c>
      <c r="D483">
        <v>129</v>
      </c>
      <c r="E483" t="s">
        <v>5</v>
      </c>
      <c r="F483" t="s">
        <v>20</v>
      </c>
      <c r="G483">
        <v>25</v>
      </c>
      <c r="H483" t="s">
        <v>156</v>
      </c>
      <c r="I483">
        <v>0.5</v>
      </c>
      <c r="J483">
        <v>0.5</v>
      </c>
      <c r="K483" t="s">
        <v>122</v>
      </c>
      <c r="L483" t="s">
        <v>157</v>
      </c>
      <c r="M483" t="s">
        <v>158</v>
      </c>
      <c r="N483" t="s">
        <v>107</v>
      </c>
      <c r="O483" t="s">
        <v>97</v>
      </c>
    </row>
    <row r="484" spans="1:15" x14ac:dyDescent="0.2">
      <c r="A484">
        <v>130</v>
      </c>
      <c r="B484">
        <v>131</v>
      </c>
      <c r="C484">
        <v>130</v>
      </c>
      <c r="D484">
        <v>129</v>
      </c>
      <c r="E484" t="s">
        <v>5</v>
      </c>
      <c r="F484" t="s">
        <v>20</v>
      </c>
      <c r="G484">
        <v>26</v>
      </c>
      <c r="H484" t="s">
        <v>152</v>
      </c>
      <c r="I484">
        <v>0</v>
      </c>
      <c r="J484">
        <v>0</v>
      </c>
      <c r="K484" t="s">
        <v>153</v>
      </c>
      <c r="L484" t="s">
        <v>154</v>
      </c>
      <c r="M484" t="s">
        <v>155</v>
      </c>
      <c r="N484" t="s">
        <v>107</v>
      </c>
      <c r="O484" t="s">
        <v>97</v>
      </c>
    </row>
    <row r="485" spans="1:15" x14ac:dyDescent="0.2">
      <c r="A485">
        <v>130</v>
      </c>
      <c r="B485">
        <v>131</v>
      </c>
      <c r="C485">
        <v>130</v>
      </c>
      <c r="D485">
        <v>129</v>
      </c>
      <c r="E485" t="s">
        <v>5</v>
      </c>
      <c r="F485" t="s">
        <v>20</v>
      </c>
      <c r="G485">
        <v>27</v>
      </c>
      <c r="H485" t="s">
        <v>159</v>
      </c>
      <c r="I485">
        <v>0</v>
      </c>
      <c r="J485">
        <v>0.5</v>
      </c>
      <c r="K485" t="s">
        <v>122</v>
      </c>
      <c r="L485" t="s">
        <v>160</v>
      </c>
      <c r="M485" t="s">
        <v>161</v>
      </c>
      <c r="N485" t="s">
        <v>107</v>
      </c>
      <c r="O485" t="s">
        <v>97</v>
      </c>
    </row>
    <row r="486" spans="1:15" x14ac:dyDescent="0.2">
      <c r="A486">
        <v>130</v>
      </c>
      <c r="B486">
        <v>131</v>
      </c>
      <c r="C486">
        <v>130</v>
      </c>
      <c r="D486">
        <v>129</v>
      </c>
      <c r="E486" t="s">
        <v>5</v>
      </c>
      <c r="F486" t="s">
        <v>20</v>
      </c>
      <c r="G486">
        <v>28</v>
      </c>
      <c r="H486" t="s">
        <v>159</v>
      </c>
      <c r="I486">
        <v>0</v>
      </c>
      <c r="J486">
        <v>0.5</v>
      </c>
      <c r="K486" t="s">
        <v>122</v>
      </c>
      <c r="L486" t="s">
        <v>160</v>
      </c>
      <c r="M486" t="s">
        <v>161</v>
      </c>
      <c r="N486" t="s">
        <v>107</v>
      </c>
      <c r="O486" t="s">
        <v>97</v>
      </c>
    </row>
    <row r="487" spans="1:15" x14ac:dyDescent="0.2">
      <c r="A487">
        <v>130</v>
      </c>
      <c r="B487">
        <v>131</v>
      </c>
      <c r="C487">
        <v>130</v>
      </c>
      <c r="D487">
        <v>129</v>
      </c>
      <c r="E487" t="s">
        <v>5</v>
      </c>
      <c r="F487" t="s">
        <v>20</v>
      </c>
      <c r="G487">
        <v>29</v>
      </c>
      <c r="H487" t="s">
        <v>152</v>
      </c>
      <c r="I487">
        <v>0</v>
      </c>
      <c r="J487">
        <v>0</v>
      </c>
      <c r="K487" t="s">
        <v>153</v>
      </c>
      <c r="L487" t="s">
        <v>154</v>
      </c>
      <c r="M487" t="s">
        <v>155</v>
      </c>
      <c r="N487" t="s">
        <v>107</v>
      </c>
      <c r="O487" t="s">
        <v>97</v>
      </c>
    </row>
    <row r="488" spans="1:15" x14ac:dyDescent="0.2">
      <c r="A488">
        <v>130</v>
      </c>
      <c r="B488">
        <v>131</v>
      </c>
      <c r="C488">
        <v>130</v>
      </c>
      <c r="D488">
        <v>129</v>
      </c>
      <c r="E488" t="s">
        <v>5</v>
      </c>
      <c r="F488" t="s">
        <v>20</v>
      </c>
      <c r="G488">
        <v>30</v>
      </c>
      <c r="H488" t="s">
        <v>162</v>
      </c>
      <c r="I488">
        <v>1</v>
      </c>
      <c r="J488">
        <v>1</v>
      </c>
      <c r="K488" t="s">
        <v>112</v>
      </c>
      <c r="L488" t="s">
        <v>163</v>
      </c>
      <c r="M488" t="s">
        <v>164</v>
      </c>
      <c r="N488" t="s">
        <v>107</v>
      </c>
      <c r="O488" t="s">
        <v>97</v>
      </c>
    </row>
    <row r="489" spans="1:15" x14ac:dyDescent="0.2">
      <c r="A489">
        <v>130</v>
      </c>
      <c r="B489">
        <v>131</v>
      </c>
      <c r="C489">
        <v>130</v>
      </c>
      <c r="D489">
        <v>129</v>
      </c>
      <c r="E489" t="s">
        <v>5</v>
      </c>
      <c r="F489" t="s">
        <v>20</v>
      </c>
      <c r="G489">
        <v>31</v>
      </c>
      <c r="H489" t="s">
        <v>162</v>
      </c>
      <c r="I489">
        <v>0</v>
      </c>
      <c r="J489">
        <v>0</v>
      </c>
      <c r="K489" t="s">
        <v>112</v>
      </c>
      <c r="L489" t="s">
        <v>163</v>
      </c>
      <c r="M489" t="s">
        <v>164</v>
      </c>
      <c r="N489" t="s">
        <v>107</v>
      </c>
      <c r="O489" t="s">
        <v>97</v>
      </c>
    </row>
    <row r="490" spans="1:15" x14ac:dyDescent="0.2">
      <c r="A490">
        <v>130</v>
      </c>
      <c r="B490">
        <v>131</v>
      </c>
      <c r="C490">
        <v>130</v>
      </c>
      <c r="D490">
        <v>129</v>
      </c>
      <c r="E490" t="s">
        <v>5</v>
      </c>
      <c r="F490" t="s">
        <v>20</v>
      </c>
      <c r="G490">
        <v>32</v>
      </c>
      <c r="H490" t="s">
        <v>162</v>
      </c>
      <c r="I490">
        <v>0</v>
      </c>
      <c r="J490">
        <v>0</v>
      </c>
      <c r="K490" t="s">
        <v>112</v>
      </c>
      <c r="L490" t="s">
        <v>163</v>
      </c>
      <c r="M490" t="s">
        <v>164</v>
      </c>
      <c r="N490" t="s">
        <v>107</v>
      </c>
      <c r="O490" t="s">
        <v>97</v>
      </c>
    </row>
    <row r="491" spans="1:15" x14ac:dyDescent="0.2">
      <c r="A491">
        <v>130</v>
      </c>
      <c r="B491">
        <v>131</v>
      </c>
      <c r="C491">
        <v>130</v>
      </c>
      <c r="D491">
        <v>129</v>
      </c>
      <c r="E491" t="s">
        <v>5</v>
      </c>
      <c r="F491" t="s">
        <v>20</v>
      </c>
      <c r="G491">
        <v>33</v>
      </c>
      <c r="H491" t="s">
        <v>152</v>
      </c>
      <c r="I491">
        <v>1</v>
      </c>
      <c r="J491">
        <v>1</v>
      </c>
      <c r="K491" t="s">
        <v>153</v>
      </c>
      <c r="L491" t="s">
        <v>154</v>
      </c>
      <c r="M491" t="s">
        <v>155</v>
      </c>
      <c r="N491" t="s">
        <v>107</v>
      </c>
      <c r="O491" t="s">
        <v>97</v>
      </c>
    </row>
    <row r="492" spans="1:15" x14ac:dyDescent="0.2">
      <c r="A492">
        <v>130</v>
      </c>
      <c r="B492">
        <v>131</v>
      </c>
      <c r="C492">
        <v>130</v>
      </c>
      <c r="D492">
        <v>129</v>
      </c>
      <c r="E492" t="s">
        <v>5</v>
      </c>
      <c r="F492" t="s">
        <v>20</v>
      </c>
      <c r="G492">
        <v>34</v>
      </c>
      <c r="H492" t="s">
        <v>152</v>
      </c>
      <c r="I492">
        <v>0</v>
      </c>
      <c r="J492">
        <v>0</v>
      </c>
      <c r="K492" t="s">
        <v>153</v>
      </c>
      <c r="L492" t="s">
        <v>154</v>
      </c>
      <c r="M492" t="s">
        <v>155</v>
      </c>
      <c r="N492" t="s">
        <v>107</v>
      </c>
      <c r="O492" t="s">
        <v>97</v>
      </c>
    </row>
    <row r="493" spans="1:15" x14ac:dyDescent="0.2">
      <c r="A493">
        <v>130</v>
      </c>
      <c r="B493">
        <v>131</v>
      </c>
      <c r="C493">
        <v>130</v>
      </c>
      <c r="D493">
        <v>129</v>
      </c>
      <c r="E493" t="s">
        <v>5</v>
      </c>
      <c r="F493" t="s">
        <v>20</v>
      </c>
      <c r="G493">
        <v>35</v>
      </c>
      <c r="H493" t="s">
        <v>165</v>
      </c>
      <c r="I493">
        <v>0</v>
      </c>
      <c r="J493">
        <v>1</v>
      </c>
      <c r="K493" t="s">
        <v>166</v>
      </c>
      <c r="L493" t="s">
        <v>167</v>
      </c>
      <c r="M493" t="s">
        <v>168</v>
      </c>
      <c r="N493" t="s">
        <v>107</v>
      </c>
      <c r="O493" t="s">
        <v>97</v>
      </c>
    </row>
    <row r="494" spans="1:15" x14ac:dyDescent="0.2">
      <c r="A494">
        <v>130</v>
      </c>
      <c r="B494">
        <v>131</v>
      </c>
      <c r="C494">
        <v>130</v>
      </c>
      <c r="D494">
        <v>129</v>
      </c>
      <c r="E494" t="s">
        <v>5</v>
      </c>
      <c r="F494" t="s">
        <v>20</v>
      </c>
      <c r="G494">
        <v>36</v>
      </c>
      <c r="H494" t="s">
        <v>169</v>
      </c>
      <c r="I494">
        <v>0</v>
      </c>
      <c r="J494">
        <v>0</v>
      </c>
      <c r="K494" t="e">
        <v>#N/A</v>
      </c>
      <c r="L494" t="e">
        <v>#N/A</v>
      </c>
      <c r="M494" t="e">
        <v>#N/A</v>
      </c>
      <c r="N494" t="e">
        <v>#N/A</v>
      </c>
      <c r="O494" t="s">
        <v>97</v>
      </c>
    </row>
    <row r="495" spans="1:15" x14ac:dyDescent="0.2">
      <c r="A495">
        <v>130</v>
      </c>
      <c r="B495">
        <v>131</v>
      </c>
      <c r="C495">
        <v>130</v>
      </c>
      <c r="D495">
        <v>129</v>
      </c>
      <c r="E495" t="s">
        <v>5</v>
      </c>
      <c r="F495" t="s">
        <v>20</v>
      </c>
      <c r="G495">
        <v>38</v>
      </c>
      <c r="H495" t="s">
        <v>170</v>
      </c>
      <c r="I495">
        <v>0.5</v>
      </c>
      <c r="J495">
        <v>0.5</v>
      </c>
      <c r="K495" t="s">
        <v>112</v>
      </c>
      <c r="L495" t="s">
        <v>171</v>
      </c>
      <c r="M495" t="s">
        <v>172</v>
      </c>
      <c r="N495" t="s">
        <v>96</v>
      </c>
      <c r="O495" t="s">
        <v>97</v>
      </c>
    </row>
    <row r="496" spans="1:15" x14ac:dyDescent="0.2">
      <c r="A496">
        <v>130</v>
      </c>
      <c r="B496">
        <v>131</v>
      </c>
      <c r="C496">
        <v>130</v>
      </c>
      <c r="D496">
        <v>129</v>
      </c>
      <c r="E496" t="s">
        <v>5</v>
      </c>
      <c r="F496" t="s">
        <v>20</v>
      </c>
      <c r="G496">
        <v>39</v>
      </c>
      <c r="H496" t="s">
        <v>170</v>
      </c>
      <c r="I496">
        <v>0.5</v>
      </c>
      <c r="J496">
        <v>0.5</v>
      </c>
      <c r="K496" t="s">
        <v>112</v>
      </c>
      <c r="L496" t="s">
        <v>171</v>
      </c>
      <c r="M496" t="s">
        <v>172</v>
      </c>
      <c r="N496" t="s">
        <v>96</v>
      </c>
      <c r="O496" t="s">
        <v>97</v>
      </c>
    </row>
    <row r="497" spans="1:15" x14ac:dyDescent="0.2">
      <c r="A497">
        <v>130</v>
      </c>
      <c r="B497">
        <v>131</v>
      </c>
      <c r="C497">
        <v>130</v>
      </c>
      <c r="D497">
        <v>129</v>
      </c>
      <c r="E497" t="s">
        <v>5</v>
      </c>
      <c r="F497" t="s">
        <v>20</v>
      </c>
      <c r="G497">
        <v>40</v>
      </c>
      <c r="H497" t="s">
        <v>170</v>
      </c>
      <c r="I497">
        <v>0.5</v>
      </c>
      <c r="J497">
        <v>0.5</v>
      </c>
      <c r="K497" t="s">
        <v>112</v>
      </c>
      <c r="L497" t="s">
        <v>171</v>
      </c>
      <c r="M497" t="s">
        <v>172</v>
      </c>
      <c r="N497" t="s">
        <v>96</v>
      </c>
      <c r="O497" t="s">
        <v>97</v>
      </c>
    </row>
    <row r="498" spans="1:15" x14ac:dyDescent="0.2">
      <c r="A498">
        <v>130</v>
      </c>
      <c r="B498">
        <v>131</v>
      </c>
      <c r="C498">
        <v>130</v>
      </c>
      <c r="D498">
        <v>129</v>
      </c>
      <c r="E498" t="s">
        <v>5</v>
      </c>
      <c r="F498" t="s">
        <v>20</v>
      </c>
      <c r="G498">
        <v>41</v>
      </c>
      <c r="H498" t="s">
        <v>173</v>
      </c>
      <c r="I498">
        <v>0</v>
      </c>
      <c r="J498">
        <v>1</v>
      </c>
      <c r="K498" t="s">
        <v>166</v>
      </c>
      <c r="L498" t="s">
        <v>174</v>
      </c>
      <c r="M498" t="s">
        <v>175</v>
      </c>
      <c r="N498" t="s">
        <v>107</v>
      </c>
      <c r="O498" t="s">
        <v>97</v>
      </c>
    </row>
    <row r="499" spans="1:15" x14ac:dyDescent="0.2">
      <c r="A499">
        <v>130</v>
      </c>
      <c r="B499">
        <v>131</v>
      </c>
      <c r="C499">
        <v>130</v>
      </c>
      <c r="D499">
        <v>129</v>
      </c>
      <c r="E499" t="s">
        <v>5</v>
      </c>
      <c r="F499" t="s">
        <v>20</v>
      </c>
      <c r="G499">
        <v>42</v>
      </c>
      <c r="H499" t="s">
        <v>176</v>
      </c>
      <c r="I499">
        <v>0</v>
      </c>
      <c r="J499" t="s">
        <v>198</v>
      </c>
      <c r="K499" t="s">
        <v>153</v>
      </c>
      <c r="L499" t="s">
        <v>177</v>
      </c>
      <c r="M499" t="s">
        <v>178</v>
      </c>
      <c r="N499" t="s">
        <v>107</v>
      </c>
      <c r="O499" t="s">
        <v>97</v>
      </c>
    </row>
    <row r="500" spans="1:15" x14ac:dyDescent="0.2">
      <c r="A500">
        <v>130</v>
      </c>
      <c r="B500">
        <v>131</v>
      </c>
      <c r="C500">
        <v>130</v>
      </c>
      <c r="D500">
        <v>129</v>
      </c>
      <c r="E500" t="s">
        <v>5</v>
      </c>
      <c r="F500" t="s">
        <v>20</v>
      </c>
      <c r="G500">
        <v>43</v>
      </c>
      <c r="H500" t="s">
        <v>179</v>
      </c>
      <c r="I500">
        <v>0</v>
      </c>
      <c r="J500">
        <v>0</v>
      </c>
      <c r="K500" t="s">
        <v>166</v>
      </c>
      <c r="L500" t="s">
        <v>180</v>
      </c>
      <c r="M500" t="s">
        <v>181</v>
      </c>
      <c r="N500" t="s">
        <v>107</v>
      </c>
      <c r="O500" t="s">
        <v>97</v>
      </c>
    </row>
    <row r="501" spans="1:15" x14ac:dyDescent="0.2">
      <c r="A501">
        <v>130</v>
      </c>
      <c r="B501">
        <v>131</v>
      </c>
      <c r="C501">
        <v>130</v>
      </c>
      <c r="D501">
        <v>129</v>
      </c>
      <c r="E501" t="s">
        <v>5</v>
      </c>
      <c r="F501" t="s">
        <v>20</v>
      </c>
      <c r="G501">
        <v>44</v>
      </c>
      <c r="H501" t="s">
        <v>182</v>
      </c>
      <c r="I501">
        <v>0</v>
      </c>
      <c r="J501">
        <v>1</v>
      </c>
      <c r="K501" t="s">
        <v>166</v>
      </c>
      <c r="L501" t="s">
        <v>183</v>
      </c>
      <c r="M501" t="s">
        <v>184</v>
      </c>
      <c r="N501" t="s">
        <v>107</v>
      </c>
      <c r="O501" t="s">
        <v>97</v>
      </c>
    </row>
    <row r="502" spans="1:15" x14ac:dyDescent="0.2">
      <c r="A502">
        <v>130</v>
      </c>
      <c r="B502">
        <v>131</v>
      </c>
      <c r="C502">
        <v>130</v>
      </c>
      <c r="D502">
        <v>129</v>
      </c>
      <c r="E502" t="s">
        <v>5</v>
      </c>
      <c r="F502" t="s">
        <v>20</v>
      </c>
      <c r="G502">
        <v>45</v>
      </c>
      <c r="H502" t="s">
        <v>185</v>
      </c>
      <c r="I502">
        <v>1</v>
      </c>
      <c r="J502">
        <v>1</v>
      </c>
      <c r="K502" t="s">
        <v>166</v>
      </c>
      <c r="L502" t="s">
        <v>186</v>
      </c>
      <c r="M502" t="s">
        <v>139</v>
      </c>
      <c r="N502" t="s">
        <v>107</v>
      </c>
      <c r="O502" t="s">
        <v>97</v>
      </c>
    </row>
    <row r="503" spans="1:15" x14ac:dyDescent="0.2">
      <c r="A503">
        <v>130</v>
      </c>
      <c r="B503">
        <v>131</v>
      </c>
      <c r="C503">
        <v>130</v>
      </c>
      <c r="D503">
        <v>129</v>
      </c>
      <c r="E503" t="s">
        <v>5</v>
      </c>
      <c r="F503" t="s">
        <v>20</v>
      </c>
      <c r="G503">
        <v>47</v>
      </c>
      <c r="H503" t="s">
        <v>187</v>
      </c>
      <c r="I503">
        <v>0</v>
      </c>
      <c r="J503">
        <v>0.2</v>
      </c>
      <c r="K503" t="s">
        <v>93</v>
      </c>
      <c r="L503" t="s">
        <v>188</v>
      </c>
      <c r="M503" t="s">
        <v>95</v>
      </c>
      <c r="N503" t="s">
        <v>96</v>
      </c>
      <c r="O503" t="s">
        <v>97</v>
      </c>
    </row>
    <row r="504" spans="1:15" x14ac:dyDescent="0.2">
      <c r="A504">
        <v>130</v>
      </c>
      <c r="B504">
        <v>131</v>
      </c>
      <c r="C504">
        <v>130</v>
      </c>
      <c r="D504">
        <v>129</v>
      </c>
      <c r="E504" t="s">
        <v>5</v>
      </c>
      <c r="F504" t="s">
        <v>20</v>
      </c>
      <c r="G504">
        <v>48</v>
      </c>
      <c r="H504" t="s">
        <v>189</v>
      </c>
      <c r="I504">
        <v>0.2</v>
      </c>
      <c r="J504">
        <v>0.2</v>
      </c>
      <c r="K504" t="s">
        <v>93</v>
      </c>
      <c r="L504" t="s">
        <v>190</v>
      </c>
      <c r="M504" t="s">
        <v>95</v>
      </c>
      <c r="N504" t="s">
        <v>96</v>
      </c>
      <c r="O504" t="s">
        <v>97</v>
      </c>
    </row>
    <row r="505" spans="1:15" x14ac:dyDescent="0.2">
      <c r="A505">
        <v>130</v>
      </c>
      <c r="B505">
        <v>131</v>
      </c>
      <c r="C505">
        <v>130</v>
      </c>
      <c r="D505">
        <v>129</v>
      </c>
      <c r="E505" t="s">
        <v>5</v>
      </c>
      <c r="F505" t="s">
        <v>20</v>
      </c>
      <c r="G505">
        <v>49</v>
      </c>
      <c r="H505" t="s">
        <v>191</v>
      </c>
      <c r="I505">
        <v>0</v>
      </c>
      <c r="J505">
        <v>0.2</v>
      </c>
      <c r="K505" t="s">
        <v>93</v>
      </c>
      <c r="L505" t="s">
        <v>192</v>
      </c>
      <c r="M505" t="s">
        <v>95</v>
      </c>
      <c r="N505" t="s">
        <v>96</v>
      </c>
      <c r="O505" t="s">
        <v>97</v>
      </c>
    </row>
    <row r="506" spans="1:15" x14ac:dyDescent="0.2">
      <c r="A506">
        <v>130</v>
      </c>
      <c r="B506">
        <v>131</v>
      </c>
      <c r="C506">
        <v>130</v>
      </c>
      <c r="D506">
        <v>129</v>
      </c>
      <c r="E506" t="s">
        <v>5</v>
      </c>
      <c r="F506" t="s">
        <v>20</v>
      </c>
      <c r="G506">
        <v>50</v>
      </c>
      <c r="H506" t="s">
        <v>193</v>
      </c>
      <c r="I506">
        <v>0.1</v>
      </c>
      <c r="J506">
        <v>0.1</v>
      </c>
      <c r="K506" t="s">
        <v>93</v>
      </c>
      <c r="L506" t="s">
        <v>194</v>
      </c>
      <c r="M506" t="s">
        <v>95</v>
      </c>
      <c r="N506" t="s">
        <v>96</v>
      </c>
      <c r="O506" t="s">
        <v>97</v>
      </c>
    </row>
    <row r="507" spans="1:15" x14ac:dyDescent="0.2">
      <c r="A507">
        <v>130</v>
      </c>
      <c r="B507">
        <v>131</v>
      </c>
      <c r="C507">
        <v>130</v>
      </c>
      <c r="D507">
        <v>129</v>
      </c>
      <c r="E507" t="s">
        <v>5</v>
      </c>
      <c r="F507" t="s">
        <v>20</v>
      </c>
      <c r="G507">
        <v>51</v>
      </c>
      <c r="H507" t="s">
        <v>193</v>
      </c>
      <c r="I507">
        <v>0.1</v>
      </c>
      <c r="J507">
        <v>0.1</v>
      </c>
      <c r="K507" t="s">
        <v>93</v>
      </c>
      <c r="L507" t="s">
        <v>194</v>
      </c>
      <c r="M507" t="s">
        <v>95</v>
      </c>
      <c r="N507" t="s">
        <v>96</v>
      </c>
      <c r="O507" t="s">
        <v>97</v>
      </c>
    </row>
    <row r="508" spans="1:15" x14ac:dyDescent="0.2">
      <c r="A508">
        <v>135</v>
      </c>
      <c r="B508">
        <v>136</v>
      </c>
      <c r="C508">
        <v>135</v>
      </c>
      <c r="D508">
        <v>134</v>
      </c>
      <c r="E508" t="s">
        <v>5</v>
      </c>
      <c r="F508" t="s">
        <v>21</v>
      </c>
      <c r="G508">
        <v>1</v>
      </c>
      <c r="H508" t="s">
        <v>92</v>
      </c>
      <c r="I508">
        <v>0</v>
      </c>
      <c r="J508">
        <v>0.2</v>
      </c>
      <c r="K508" t="s">
        <v>93</v>
      </c>
      <c r="L508" t="s">
        <v>94</v>
      </c>
      <c r="M508" t="s">
        <v>95</v>
      </c>
      <c r="N508" t="s">
        <v>96</v>
      </c>
      <c r="O508" t="s">
        <v>97</v>
      </c>
    </row>
    <row r="509" spans="1:15" x14ac:dyDescent="0.2">
      <c r="A509">
        <v>135</v>
      </c>
      <c r="B509">
        <v>136</v>
      </c>
      <c r="C509">
        <v>135</v>
      </c>
      <c r="D509">
        <v>134</v>
      </c>
      <c r="E509" t="s">
        <v>5</v>
      </c>
      <c r="F509" t="s">
        <v>21</v>
      </c>
      <c r="G509">
        <v>2</v>
      </c>
      <c r="H509" t="s">
        <v>98</v>
      </c>
      <c r="I509">
        <v>0.25</v>
      </c>
      <c r="J509">
        <v>0.5</v>
      </c>
      <c r="K509" t="s">
        <v>93</v>
      </c>
      <c r="L509" t="s">
        <v>99</v>
      </c>
      <c r="M509" t="s">
        <v>95</v>
      </c>
      <c r="N509" t="s">
        <v>96</v>
      </c>
      <c r="O509" t="s">
        <v>97</v>
      </c>
    </row>
    <row r="510" spans="1:15" x14ac:dyDescent="0.2">
      <c r="A510">
        <v>135</v>
      </c>
      <c r="B510">
        <v>136</v>
      </c>
      <c r="C510">
        <v>135</v>
      </c>
      <c r="D510">
        <v>134</v>
      </c>
      <c r="E510" t="s">
        <v>5</v>
      </c>
      <c r="F510" t="s">
        <v>21</v>
      </c>
      <c r="G510">
        <v>3</v>
      </c>
      <c r="H510" t="s">
        <v>100</v>
      </c>
      <c r="I510">
        <v>1</v>
      </c>
      <c r="J510">
        <v>1</v>
      </c>
      <c r="K510" t="s">
        <v>101</v>
      </c>
      <c r="L510" t="s">
        <v>102</v>
      </c>
      <c r="M510" t="s">
        <v>103</v>
      </c>
      <c r="N510" t="s">
        <v>96</v>
      </c>
      <c r="O510" t="s">
        <v>97</v>
      </c>
    </row>
    <row r="511" spans="1:15" x14ac:dyDescent="0.2">
      <c r="A511">
        <v>135</v>
      </c>
      <c r="B511">
        <v>136</v>
      </c>
      <c r="C511">
        <v>135</v>
      </c>
      <c r="D511">
        <v>134</v>
      </c>
      <c r="E511" t="s">
        <v>5</v>
      </c>
      <c r="F511" t="s">
        <v>21</v>
      </c>
      <c r="G511">
        <v>4</v>
      </c>
      <c r="H511" t="s">
        <v>104</v>
      </c>
      <c r="I511">
        <v>1</v>
      </c>
      <c r="J511">
        <v>1</v>
      </c>
      <c r="K511" t="s">
        <v>101</v>
      </c>
      <c r="L511" t="s">
        <v>105</v>
      </c>
      <c r="M511" t="s">
        <v>106</v>
      </c>
      <c r="N511" t="s">
        <v>107</v>
      </c>
      <c r="O511" t="s">
        <v>97</v>
      </c>
    </row>
    <row r="512" spans="1:15" x14ac:dyDescent="0.2">
      <c r="A512">
        <v>135</v>
      </c>
      <c r="B512">
        <v>136</v>
      </c>
      <c r="C512">
        <v>135</v>
      </c>
      <c r="D512">
        <v>134</v>
      </c>
      <c r="E512" t="s">
        <v>5</v>
      </c>
      <c r="F512" t="s">
        <v>21</v>
      </c>
      <c r="G512">
        <v>5</v>
      </c>
      <c r="H512" t="s">
        <v>108</v>
      </c>
      <c r="I512">
        <v>0</v>
      </c>
      <c r="J512">
        <v>1</v>
      </c>
      <c r="K512" t="s">
        <v>101</v>
      </c>
      <c r="L512" t="s">
        <v>109</v>
      </c>
      <c r="M512" t="s">
        <v>110</v>
      </c>
      <c r="N512" t="s">
        <v>107</v>
      </c>
      <c r="O512" t="s">
        <v>97</v>
      </c>
    </row>
    <row r="513" spans="1:15" x14ac:dyDescent="0.2">
      <c r="A513">
        <v>135</v>
      </c>
      <c r="B513">
        <v>136</v>
      </c>
      <c r="C513">
        <v>135</v>
      </c>
      <c r="D513">
        <v>134</v>
      </c>
      <c r="E513" t="s">
        <v>5</v>
      </c>
      <c r="F513" t="s">
        <v>21</v>
      </c>
      <c r="G513">
        <v>9</v>
      </c>
      <c r="H513" t="s">
        <v>111</v>
      </c>
      <c r="I513">
        <v>0.25</v>
      </c>
      <c r="J513">
        <v>0.5</v>
      </c>
      <c r="K513" t="s">
        <v>112</v>
      </c>
      <c r="L513" t="s">
        <v>113</v>
      </c>
      <c r="M513" t="s">
        <v>114</v>
      </c>
      <c r="N513" t="s">
        <v>96</v>
      </c>
      <c r="O513" t="s">
        <v>97</v>
      </c>
    </row>
    <row r="514" spans="1:15" x14ac:dyDescent="0.2">
      <c r="A514">
        <v>135</v>
      </c>
      <c r="B514">
        <v>136</v>
      </c>
      <c r="C514">
        <v>135</v>
      </c>
      <c r="D514">
        <v>134</v>
      </c>
      <c r="E514" t="s">
        <v>5</v>
      </c>
      <c r="F514" t="s">
        <v>21</v>
      </c>
      <c r="G514">
        <v>10</v>
      </c>
      <c r="H514" t="s">
        <v>115</v>
      </c>
      <c r="I514">
        <v>0.25</v>
      </c>
      <c r="J514">
        <v>0.5</v>
      </c>
      <c r="K514" t="s">
        <v>112</v>
      </c>
      <c r="L514" t="s">
        <v>116</v>
      </c>
      <c r="M514" t="s">
        <v>117</v>
      </c>
      <c r="N514" t="s">
        <v>96</v>
      </c>
      <c r="O514" t="s">
        <v>97</v>
      </c>
    </row>
    <row r="515" spans="1:15" x14ac:dyDescent="0.2">
      <c r="A515">
        <v>135</v>
      </c>
      <c r="B515">
        <v>136</v>
      </c>
      <c r="C515">
        <v>135</v>
      </c>
      <c r="D515">
        <v>134</v>
      </c>
      <c r="E515" t="s">
        <v>5</v>
      </c>
      <c r="F515" t="s">
        <v>21</v>
      </c>
      <c r="G515">
        <v>11</v>
      </c>
      <c r="H515" t="s">
        <v>118</v>
      </c>
      <c r="I515">
        <v>0.5</v>
      </c>
      <c r="J515">
        <v>1</v>
      </c>
      <c r="K515" t="s">
        <v>112</v>
      </c>
      <c r="L515" t="s">
        <v>119</v>
      </c>
      <c r="M515" t="s">
        <v>120</v>
      </c>
      <c r="N515" t="s">
        <v>107</v>
      </c>
      <c r="O515" t="s">
        <v>97</v>
      </c>
    </row>
    <row r="516" spans="1:15" x14ac:dyDescent="0.2">
      <c r="A516">
        <v>135</v>
      </c>
      <c r="B516">
        <v>136</v>
      </c>
      <c r="C516">
        <v>135</v>
      </c>
      <c r="D516">
        <v>134</v>
      </c>
      <c r="E516" t="s">
        <v>5</v>
      </c>
      <c r="F516" t="s">
        <v>21</v>
      </c>
      <c r="G516">
        <v>12</v>
      </c>
      <c r="H516" t="s">
        <v>121</v>
      </c>
      <c r="I516">
        <v>0.5</v>
      </c>
      <c r="J516">
        <v>0.5</v>
      </c>
      <c r="K516" t="s">
        <v>122</v>
      </c>
      <c r="L516" t="s">
        <v>113</v>
      </c>
      <c r="M516" t="s">
        <v>123</v>
      </c>
      <c r="N516" t="s">
        <v>96</v>
      </c>
      <c r="O516" t="s">
        <v>97</v>
      </c>
    </row>
    <row r="517" spans="1:15" x14ac:dyDescent="0.2">
      <c r="A517">
        <v>135</v>
      </c>
      <c r="B517">
        <v>136</v>
      </c>
      <c r="C517">
        <v>135</v>
      </c>
      <c r="D517">
        <v>134</v>
      </c>
      <c r="E517" t="s">
        <v>5</v>
      </c>
      <c r="F517" t="s">
        <v>21</v>
      </c>
      <c r="G517">
        <v>13</v>
      </c>
      <c r="H517" t="s">
        <v>124</v>
      </c>
      <c r="I517">
        <v>0</v>
      </c>
      <c r="J517">
        <v>0.5</v>
      </c>
      <c r="K517" t="s">
        <v>122</v>
      </c>
      <c r="L517" t="s">
        <v>125</v>
      </c>
      <c r="M517" t="s">
        <v>126</v>
      </c>
      <c r="N517" t="s">
        <v>96</v>
      </c>
      <c r="O517" t="s">
        <v>97</v>
      </c>
    </row>
    <row r="518" spans="1:15" x14ac:dyDescent="0.2">
      <c r="A518">
        <v>135</v>
      </c>
      <c r="B518">
        <v>136</v>
      </c>
      <c r="C518">
        <v>135</v>
      </c>
      <c r="D518">
        <v>134</v>
      </c>
      <c r="E518" t="s">
        <v>5</v>
      </c>
      <c r="F518" t="s">
        <v>21</v>
      </c>
      <c r="G518">
        <v>14</v>
      </c>
      <c r="H518" t="s">
        <v>127</v>
      </c>
      <c r="I518">
        <v>1</v>
      </c>
      <c r="J518">
        <v>1</v>
      </c>
      <c r="K518" t="s">
        <v>122</v>
      </c>
      <c r="L518" t="s">
        <v>119</v>
      </c>
      <c r="M518" t="s">
        <v>128</v>
      </c>
      <c r="N518" t="s">
        <v>107</v>
      </c>
      <c r="O518" t="s">
        <v>97</v>
      </c>
    </row>
    <row r="519" spans="1:15" x14ac:dyDescent="0.2">
      <c r="A519">
        <v>135</v>
      </c>
      <c r="B519">
        <v>136</v>
      </c>
      <c r="C519">
        <v>135</v>
      </c>
      <c r="D519">
        <v>134</v>
      </c>
      <c r="E519" t="s">
        <v>5</v>
      </c>
      <c r="F519" t="s">
        <v>21</v>
      </c>
      <c r="G519">
        <v>15</v>
      </c>
      <c r="H519" t="s">
        <v>129</v>
      </c>
      <c r="I519">
        <v>1</v>
      </c>
      <c r="J519">
        <v>1</v>
      </c>
      <c r="K519" t="s">
        <v>130</v>
      </c>
      <c r="L519" t="s">
        <v>131</v>
      </c>
      <c r="M519" t="s">
        <v>132</v>
      </c>
      <c r="N519" t="s">
        <v>107</v>
      </c>
      <c r="O519" t="s">
        <v>97</v>
      </c>
    </row>
    <row r="520" spans="1:15" x14ac:dyDescent="0.2">
      <c r="A520">
        <v>135</v>
      </c>
      <c r="B520">
        <v>136</v>
      </c>
      <c r="C520">
        <v>135</v>
      </c>
      <c r="D520">
        <v>134</v>
      </c>
      <c r="E520" t="s">
        <v>5</v>
      </c>
      <c r="F520" t="s">
        <v>21</v>
      </c>
      <c r="G520">
        <v>16</v>
      </c>
      <c r="H520" t="s">
        <v>133</v>
      </c>
      <c r="I520">
        <v>0</v>
      </c>
      <c r="J520">
        <v>0</v>
      </c>
      <c r="K520" t="e">
        <v>#N/A</v>
      </c>
      <c r="L520" t="e">
        <v>#N/A</v>
      </c>
      <c r="M520" t="e">
        <v>#N/A</v>
      </c>
      <c r="N520" t="e">
        <v>#N/A</v>
      </c>
      <c r="O520" t="s">
        <v>97</v>
      </c>
    </row>
    <row r="521" spans="1:15" x14ac:dyDescent="0.2">
      <c r="A521">
        <v>135</v>
      </c>
      <c r="B521">
        <v>136</v>
      </c>
      <c r="C521">
        <v>135</v>
      </c>
      <c r="D521">
        <v>134</v>
      </c>
      <c r="E521" t="s">
        <v>5</v>
      </c>
      <c r="F521" t="s">
        <v>21</v>
      </c>
      <c r="G521">
        <v>17</v>
      </c>
      <c r="H521" t="s">
        <v>134</v>
      </c>
      <c r="I521">
        <v>1</v>
      </c>
      <c r="J521">
        <v>1</v>
      </c>
      <c r="K521" t="s">
        <v>112</v>
      </c>
      <c r="L521" t="s">
        <v>135</v>
      </c>
      <c r="M521" t="s">
        <v>136</v>
      </c>
      <c r="N521" t="s">
        <v>107</v>
      </c>
      <c r="O521" t="s">
        <v>97</v>
      </c>
    </row>
    <row r="522" spans="1:15" x14ac:dyDescent="0.2">
      <c r="A522">
        <v>135</v>
      </c>
      <c r="B522">
        <v>136</v>
      </c>
      <c r="C522">
        <v>135</v>
      </c>
      <c r="D522">
        <v>134</v>
      </c>
      <c r="E522" t="s">
        <v>5</v>
      </c>
      <c r="F522" t="s">
        <v>21</v>
      </c>
      <c r="G522">
        <v>18</v>
      </c>
      <c r="H522" t="s">
        <v>137</v>
      </c>
      <c r="I522">
        <v>1</v>
      </c>
      <c r="J522">
        <v>1</v>
      </c>
      <c r="K522" t="s">
        <v>112</v>
      </c>
      <c r="L522" t="s">
        <v>138</v>
      </c>
      <c r="M522" t="s">
        <v>139</v>
      </c>
      <c r="N522" t="s">
        <v>107</v>
      </c>
      <c r="O522" t="s">
        <v>97</v>
      </c>
    </row>
    <row r="523" spans="1:15" x14ac:dyDescent="0.2">
      <c r="A523">
        <v>135</v>
      </c>
      <c r="B523">
        <v>136</v>
      </c>
      <c r="C523">
        <v>135</v>
      </c>
      <c r="D523">
        <v>134</v>
      </c>
      <c r="E523" t="s">
        <v>5</v>
      </c>
      <c r="F523" t="s">
        <v>21</v>
      </c>
      <c r="G523">
        <v>19</v>
      </c>
      <c r="H523" t="s">
        <v>140</v>
      </c>
      <c r="I523">
        <v>0.5</v>
      </c>
      <c r="J523">
        <v>1</v>
      </c>
      <c r="K523" t="s">
        <v>122</v>
      </c>
      <c r="L523" t="s">
        <v>141</v>
      </c>
      <c r="M523" t="s">
        <v>142</v>
      </c>
      <c r="N523" t="s">
        <v>107</v>
      </c>
      <c r="O523" t="s">
        <v>97</v>
      </c>
    </row>
    <row r="524" spans="1:15" x14ac:dyDescent="0.2">
      <c r="A524">
        <v>135</v>
      </c>
      <c r="B524">
        <v>136</v>
      </c>
      <c r="C524">
        <v>135</v>
      </c>
      <c r="D524">
        <v>134</v>
      </c>
      <c r="E524" t="s">
        <v>5</v>
      </c>
      <c r="F524" t="s">
        <v>21</v>
      </c>
      <c r="G524">
        <v>20</v>
      </c>
      <c r="H524" t="s">
        <v>143</v>
      </c>
      <c r="I524">
        <v>1</v>
      </c>
      <c r="J524">
        <v>1</v>
      </c>
      <c r="K524" t="s">
        <v>122</v>
      </c>
      <c r="L524" t="s">
        <v>144</v>
      </c>
      <c r="M524" t="s">
        <v>145</v>
      </c>
      <c r="N524" t="s">
        <v>107</v>
      </c>
      <c r="O524" t="s">
        <v>97</v>
      </c>
    </row>
    <row r="525" spans="1:15" x14ac:dyDescent="0.2">
      <c r="A525">
        <v>135</v>
      </c>
      <c r="B525">
        <v>136</v>
      </c>
      <c r="C525">
        <v>135</v>
      </c>
      <c r="D525">
        <v>134</v>
      </c>
      <c r="E525" t="s">
        <v>5</v>
      </c>
      <c r="F525" t="s">
        <v>21</v>
      </c>
      <c r="G525">
        <v>21</v>
      </c>
      <c r="H525" t="s">
        <v>146</v>
      </c>
      <c r="I525">
        <v>0.5</v>
      </c>
      <c r="J525">
        <v>1</v>
      </c>
      <c r="K525" t="s">
        <v>147</v>
      </c>
      <c r="L525" t="s">
        <v>148</v>
      </c>
      <c r="M525" t="s">
        <v>149</v>
      </c>
      <c r="N525" t="s">
        <v>96</v>
      </c>
      <c r="O525" t="s">
        <v>97</v>
      </c>
    </row>
    <row r="526" spans="1:15" x14ac:dyDescent="0.2">
      <c r="A526">
        <v>135</v>
      </c>
      <c r="B526">
        <v>136</v>
      </c>
      <c r="C526">
        <v>135</v>
      </c>
      <c r="D526">
        <v>134</v>
      </c>
      <c r="E526" t="s">
        <v>5</v>
      </c>
      <c r="F526" t="s">
        <v>21</v>
      </c>
      <c r="G526">
        <v>22</v>
      </c>
      <c r="H526" t="s">
        <v>150</v>
      </c>
      <c r="I526">
        <v>0</v>
      </c>
      <c r="J526">
        <v>1</v>
      </c>
      <c r="K526" t="s">
        <v>147</v>
      </c>
      <c r="L526" t="s">
        <v>151</v>
      </c>
      <c r="M526" t="s">
        <v>149</v>
      </c>
      <c r="N526" t="s">
        <v>107</v>
      </c>
      <c r="O526" t="s">
        <v>97</v>
      </c>
    </row>
    <row r="527" spans="1:15" x14ac:dyDescent="0.2">
      <c r="A527">
        <v>135</v>
      </c>
      <c r="B527">
        <v>136</v>
      </c>
      <c r="C527">
        <v>135</v>
      </c>
      <c r="D527">
        <v>134</v>
      </c>
      <c r="E527" t="s">
        <v>5</v>
      </c>
      <c r="F527" t="s">
        <v>21</v>
      </c>
      <c r="G527">
        <v>23</v>
      </c>
      <c r="H527" t="s">
        <v>152</v>
      </c>
      <c r="I527">
        <v>0</v>
      </c>
      <c r="J527">
        <v>0</v>
      </c>
      <c r="K527" t="s">
        <v>153</v>
      </c>
      <c r="L527" t="s">
        <v>154</v>
      </c>
      <c r="M527" t="s">
        <v>155</v>
      </c>
      <c r="N527" t="s">
        <v>107</v>
      </c>
      <c r="O527" t="s">
        <v>97</v>
      </c>
    </row>
    <row r="528" spans="1:15" x14ac:dyDescent="0.2">
      <c r="A528">
        <v>135</v>
      </c>
      <c r="B528">
        <v>136</v>
      </c>
      <c r="C528">
        <v>135</v>
      </c>
      <c r="D528">
        <v>134</v>
      </c>
      <c r="E528" t="s">
        <v>5</v>
      </c>
      <c r="F528" t="s">
        <v>21</v>
      </c>
      <c r="G528">
        <v>24</v>
      </c>
      <c r="H528" t="s">
        <v>156</v>
      </c>
      <c r="I528">
        <v>0.5</v>
      </c>
      <c r="J528">
        <v>0.5</v>
      </c>
      <c r="K528" t="s">
        <v>122</v>
      </c>
      <c r="L528" t="s">
        <v>157</v>
      </c>
      <c r="M528" t="s">
        <v>158</v>
      </c>
      <c r="N528" t="s">
        <v>107</v>
      </c>
      <c r="O528" t="s">
        <v>97</v>
      </c>
    </row>
    <row r="529" spans="1:15" x14ac:dyDescent="0.2">
      <c r="A529">
        <v>135</v>
      </c>
      <c r="B529">
        <v>136</v>
      </c>
      <c r="C529">
        <v>135</v>
      </c>
      <c r="D529">
        <v>134</v>
      </c>
      <c r="E529" t="s">
        <v>5</v>
      </c>
      <c r="F529" t="s">
        <v>21</v>
      </c>
      <c r="G529">
        <v>25</v>
      </c>
      <c r="H529" t="s">
        <v>156</v>
      </c>
      <c r="I529">
        <v>0.5</v>
      </c>
      <c r="J529">
        <v>0.5</v>
      </c>
      <c r="K529" t="s">
        <v>122</v>
      </c>
      <c r="L529" t="s">
        <v>157</v>
      </c>
      <c r="M529" t="s">
        <v>158</v>
      </c>
      <c r="N529" t="s">
        <v>107</v>
      </c>
      <c r="O529" t="s">
        <v>97</v>
      </c>
    </row>
    <row r="530" spans="1:15" x14ac:dyDescent="0.2">
      <c r="A530">
        <v>135</v>
      </c>
      <c r="B530">
        <v>136</v>
      </c>
      <c r="C530">
        <v>135</v>
      </c>
      <c r="D530">
        <v>134</v>
      </c>
      <c r="E530" t="s">
        <v>5</v>
      </c>
      <c r="F530" t="s">
        <v>21</v>
      </c>
      <c r="G530">
        <v>26</v>
      </c>
      <c r="H530" t="s">
        <v>152</v>
      </c>
      <c r="I530">
        <v>0</v>
      </c>
      <c r="J530">
        <v>0</v>
      </c>
      <c r="K530" t="s">
        <v>153</v>
      </c>
      <c r="L530" t="s">
        <v>154</v>
      </c>
      <c r="M530" t="s">
        <v>155</v>
      </c>
      <c r="N530" t="s">
        <v>107</v>
      </c>
      <c r="O530" t="s">
        <v>97</v>
      </c>
    </row>
    <row r="531" spans="1:15" x14ac:dyDescent="0.2">
      <c r="A531">
        <v>135</v>
      </c>
      <c r="B531">
        <v>136</v>
      </c>
      <c r="C531">
        <v>135</v>
      </c>
      <c r="D531">
        <v>134</v>
      </c>
      <c r="E531" t="s">
        <v>5</v>
      </c>
      <c r="F531" t="s">
        <v>21</v>
      </c>
      <c r="G531">
        <v>27</v>
      </c>
      <c r="H531" t="s">
        <v>159</v>
      </c>
      <c r="I531">
        <v>0.5</v>
      </c>
      <c r="J531">
        <v>0.5</v>
      </c>
      <c r="K531" t="s">
        <v>122</v>
      </c>
      <c r="L531" t="s">
        <v>160</v>
      </c>
      <c r="M531" t="s">
        <v>161</v>
      </c>
      <c r="N531" t="s">
        <v>107</v>
      </c>
      <c r="O531" t="s">
        <v>97</v>
      </c>
    </row>
    <row r="532" spans="1:15" x14ac:dyDescent="0.2">
      <c r="A532">
        <v>135</v>
      </c>
      <c r="B532">
        <v>136</v>
      </c>
      <c r="C532">
        <v>135</v>
      </c>
      <c r="D532">
        <v>134</v>
      </c>
      <c r="E532" t="s">
        <v>5</v>
      </c>
      <c r="F532" t="s">
        <v>21</v>
      </c>
      <c r="G532">
        <v>28</v>
      </c>
      <c r="H532" t="s">
        <v>159</v>
      </c>
      <c r="I532">
        <v>0.5</v>
      </c>
      <c r="J532">
        <v>0.5</v>
      </c>
      <c r="K532" t="s">
        <v>122</v>
      </c>
      <c r="L532" t="s">
        <v>160</v>
      </c>
      <c r="M532" t="s">
        <v>161</v>
      </c>
      <c r="N532" t="s">
        <v>107</v>
      </c>
      <c r="O532" t="s">
        <v>97</v>
      </c>
    </row>
    <row r="533" spans="1:15" x14ac:dyDescent="0.2">
      <c r="A533">
        <v>135</v>
      </c>
      <c r="B533">
        <v>136</v>
      </c>
      <c r="C533">
        <v>135</v>
      </c>
      <c r="D533">
        <v>134</v>
      </c>
      <c r="E533" t="s">
        <v>5</v>
      </c>
      <c r="F533" t="s">
        <v>21</v>
      </c>
      <c r="G533">
        <v>29</v>
      </c>
      <c r="H533" t="s">
        <v>152</v>
      </c>
      <c r="I533">
        <v>0</v>
      </c>
      <c r="J533">
        <v>0</v>
      </c>
      <c r="K533" t="s">
        <v>153</v>
      </c>
      <c r="L533" t="s">
        <v>154</v>
      </c>
      <c r="M533" t="s">
        <v>155</v>
      </c>
      <c r="N533" t="s">
        <v>107</v>
      </c>
      <c r="O533" t="s">
        <v>97</v>
      </c>
    </row>
    <row r="534" spans="1:15" x14ac:dyDescent="0.2">
      <c r="A534">
        <v>135</v>
      </c>
      <c r="B534">
        <v>136</v>
      </c>
      <c r="C534">
        <v>135</v>
      </c>
      <c r="D534">
        <v>134</v>
      </c>
      <c r="E534" t="s">
        <v>5</v>
      </c>
      <c r="F534" t="s">
        <v>21</v>
      </c>
      <c r="G534">
        <v>30</v>
      </c>
      <c r="H534" t="s">
        <v>162</v>
      </c>
      <c r="I534">
        <v>1</v>
      </c>
      <c r="J534">
        <v>1</v>
      </c>
      <c r="K534" t="s">
        <v>112</v>
      </c>
      <c r="L534" t="s">
        <v>163</v>
      </c>
      <c r="M534" t="s">
        <v>164</v>
      </c>
      <c r="N534" t="s">
        <v>107</v>
      </c>
      <c r="O534" t="s">
        <v>97</v>
      </c>
    </row>
    <row r="535" spans="1:15" x14ac:dyDescent="0.2">
      <c r="A535">
        <v>135</v>
      </c>
      <c r="B535">
        <v>136</v>
      </c>
      <c r="C535">
        <v>135</v>
      </c>
      <c r="D535">
        <v>134</v>
      </c>
      <c r="E535" t="s">
        <v>5</v>
      </c>
      <c r="F535" t="s">
        <v>21</v>
      </c>
      <c r="G535">
        <v>31</v>
      </c>
      <c r="H535" t="s">
        <v>162</v>
      </c>
      <c r="I535">
        <v>0</v>
      </c>
      <c r="J535">
        <v>0</v>
      </c>
      <c r="K535" t="s">
        <v>112</v>
      </c>
      <c r="L535" t="s">
        <v>163</v>
      </c>
      <c r="M535" t="s">
        <v>164</v>
      </c>
      <c r="N535" t="s">
        <v>107</v>
      </c>
      <c r="O535" t="s">
        <v>97</v>
      </c>
    </row>
    <row r="536" spans="1:15" x14ac:dyDescent="0.2">
      <c r="A536">
        <v>135</v>
      </c>
      <c r="B536">
        <v>136</v>
      </c>
      <c r="C536">
        <v>135</v>
      </c>
      <c r="D536">
        <v>134</v>
      </c>
      <c r="E536" t="s">
        <v>5</v>
      </c>
      <c r="F536" t="s">
        <v>21</v>
      </c>
      <c r="G536">
        <v>32</v>
      </c>
      <c r="H536" t="s">
        <v>162</v>
      </c>
      <c r="I536">
        <v>0</v>
      </c>
      <c r="J536">
        <v>0</v>
      </c>
      <c r="K536" t="s">
        <v>112</v>
      </c>
      <c r="L536" t="s">
        <v>163</v>
      </c>
      <c r="M536" t="s">
        <v>164</v>
      </c>
      <c r="N536" t="s">
        <v>107</v>
      </c>
      <c r="O536" t="s">
        <v>97</v>
      </c>
    </row>
    <row r="537" spans="1:15" x14ac:dyDescent="0.2">
      <c r="A537">
        <v>135</v>
      </c>
      <c r="B537">
        <v>136</v>
      </c>
      <c r="C537">
        <v>135</v>
      </c>
      <c r="D537">
        <v>134</v>
      </c>
      <c r="E537" t="s">
        <v>5</v>
      </c>
      <c r="F537" t="s">
        <v>21</v>
      </c>
      <c r="G537">
        <v>33</v>
      </c>
      <c r="H537" t="s">
        <v>152</v>
      </c>
      <c r="I537">
        <v>1</v>
      </c>
      <c r="J537">
        <v>1</v>
      </c>
      <c r="K537" t="s">
        <v>153</v>
      </c>
      <c r="L537" t="s">
        <v>154</v>
      </c>
      <c r="M537" t="s">
        <v>155</v>
      </c>
      <c r="N537" t="s">
        <v>107</v>
      </c>
      <c r="O537" t="s">
        <v>97</v>
      </c>
    </row>
    <row r="538" spans="1:15" x14ac:dyDescent="0.2">
      <c r="A538">
        <v>135</v>
      </c>
      <c r="B538">
        <v>136</v>
      </c>
      <c r="C538">
        <v>135</v>
      </c>
      <c r="D538">
        <v>134</v>
      </c>
      <c r="E538" t="s">
        <v>5</v>
      </c>
      <c r="F538" t="s">
        <v>21</v>
      </c>
      <c r="G538">
        <v>34</v>
      </c>
      <c r="H538" t="s">
        <v>152</v>
      </c>
      <c r="I538">
        <v>0</v>
      </c>
      <c r="J538">
        <v>0</v>
      </c>
      <c r="K538" t="s">
        <v>153</v>
      </c>
      <c r="L538" t="s">
        <v>154</v>
      </c>
      <c r="M538" t="s">
        <v>155</v>
      </c>
      <c r="N538" t="s">
        <v>107</v>
      </c>
      <c r="O538" t="s">
        <v>97</v>
      </c>
    </row>
    <row r="539" spans="1:15" x14ac:dyDescent="0.2">
      <c r="A539">
        <v>135</v>
      </c>
      <c r="B539">
        <v>136</v>
      </c>
      <c r="C539">
        <v>135</v>
      </c>
      <c r="D539">
        <v>134</v>
      </c>
      <c r="E539" t="s">
        <v>5</v>
      </c>
      <c r="F539" t="s">
        <v>21</v>
      </c>
      <c r="G539">
        <v>35</v>
      </c>
      <c r="H539" t="s">
        <v>165</v>
      </c>
      <c r="I539">
        <v>0</v>
      </c>
      <c r="J539">
        <v>1</v>
      </c>
      <c r="K539" t="s">
        <v>166</v>
      </c>
      <c r="L539" t="s">
        <v>167</v>
      </c>
      <c r="M539" t="s">
        <v>168</v>
      </c>
      <c r="N539" t="s">
        <v>107</v>
      </c>
      <c r="O539" t="s">
        <v>97</v>
      </c>
    </row>
    <row r="540" spans="1:15" x14ac:dyDescent="0.2">
      <c r="A540">
        <v>135</v>
      </c>
      <c r="B540">
        <v>136</v>
      </c>
      <c r="C540">
        <v>135</v>
      </c>
      <c r="D540">
        <v>134</v>
      </c>
      <c r="E540" t="s">
        <v>5</v>
      </c>
      <c r="F540" t="s">
        <v>21</v>
      </c>
      <c r="G540">
        <v>36</v>
      </c>
      <c r="H540" t="s">
        <v>169</v>
      </c>
      <c r="I540">
        <v>0</v>
      </c>
      <c r="J540">
        <v>0</v>
      </c>
      <c r="K540" t="e">
        <v>#N/A</v>
      </c>
      <c r="L540" t="e">
        <v>#N/A</v>
      </c>
      <c r="M540" t="e">
        <v>#N/A</v>
      </c>
      <c r="N540" t="e">
        <v>#N/A</v>
      </c>
      <c r="O540" t="s">
        <v>97</v>
      </c>
    </row>
    <row r="541" spans="1:15" x14ac:dyDescent="0.2">
      <c r="A541">
        <v>135</v>
      </c>
      <c r="B541">
        <v>136</v>
      </c>
      <c r="C541">
        <v>135</v>
      </c>
      <c r="D541">
        <v>134</v>
      </c>
      <c r="E541" t="s">
        <v>5</v>
      </c>
      <c r="F541" t="s">
        <v>21</v>
      </c>
      <c r="G541">
        <v>38</v>
      </c>
      <c r="H541" t="s">
        <v>170</v>
      </c>
      <c r="I541">
        <v>0.5</v>
      </c>
      <c r="J541">
        <v>0.5</v>
      </c>
      <c r="K541" t="s">
        <v>112</v>
      </c>
      <c r="L541" t="s">
        <v>171</v>
      </c>
      <c r="M541" t="s">
        <v>172</v>
      </c>
      <c r="N541" t="s">
        <v>96</v>
      </c>
      <c r="O541" t="s">
        <v>97</v>
      </c>
    </row>
    <row r="542" spans="1:15" x14ac:dyDescent="0.2">
      <c r="A542">
        <v>135</v>
      </c>
      <c r="B542">
        <v>136</v>
      </c>
      <c r="C542">
        <v>135</v>
      </c>
      <c r="D542">
        <v>134</v>
      </c>
      <c r="E542" t="s">
        <v>5</v>
      </c>
      <c r="F542" t="s">
        <v>21</v>
      </c>
      <c r="G542">
        <v>39</v>
      </c>
      <c r="H542" t="s">
        <v>170</v>
      </c>
      <c r="I542">
        <v>0</v>
      </c>
      <c r="J542">
        <v>0.5</v>
      </c>
      <c r="K542" t="s">
        <v>112</v>
      </c>
      <c r="L542" t="s">
        <v>171</v>
      </c>
      <c r="M542" t="s">
        <v>172</v>
      </c>
      <c r="N542" t="s">
        <v>96</v>
      </c>
      <c r="O542" t="s">
        <v>97</v>
      </c>
    </row>
    <row r="543" spans="1:15" x14ac:dyDescent="0.2">
      <c r="A543">
        <v>135</v>
      </c>
      <c r="B543">
        <v>136</v>
      </c>
      <c r="C543">
        <v>135</v>
      </c>
      <c r="D543">
        <v>134</v>
      </c>
      <c r="E543" t="s">
        <v>5</v>
      </c>
      <c r="F543" t="s">
        <v>21</v>
      </c>
      <c r="G543">
        <v>40</v>
      </c>
      <c r="H543" t="s">
        <v>170</v>
      </c>
      <c r="I543">
        <v>0.5</v>
      </c>
      <c r="J543">
        <v>0.5</v>
      </c>
      <c r="K543" t="s">
        <v>112</v>
      </c>
      <c r="L543" t="s">
        <v>171</v>
      </c>
      <c r="M543" t="s">
        <v>172</v>
      </c>
      <c r="N543" t="s">
        <v>96</v>
      </c>
      <c r="O543" t="s">
        <v>97</v>
      </c>
    </row>
    <row r="544" spans="1:15" x14ac:dyDescent="0.2">
      <c r="A544">
        <v>135</v>
      </c>
      <c r="B544">
        <v>136</v>
      </c>
      <c r="C544">
        <v>135</v>
      </c>
      <c r="D544">
        <v>134</v>
      </c>
      <c r="E544" t="s">
        <v>5</v>
      </c>
      <c r="F544" t="s">
        <v>21</v>
      </c>
      <c r="G544">
        <v>41</v>
      </c>
      <c r="H544" t="s">
        <v>173</v>
      </c>
      <c r="I544">
        <v>0</v>
      </c>
      <c r="J544">
        <v>1</v>
      </c>
      <c r="K544" t="s">
        <v>166</v>
      </c>
      <c r="L544" t="s">
        <v>174</v>
      </c>
      <c r="M544" t="s">
        <v>175</v>
      </c>
      <c r="N544" t="s">
        <v>107</v>
      </c>
      <c r="O544" t="s">
        <v>97</v>
      </c>
    </row>
    <row r="545" spans="1:15" x14ac:dyDescent="0.2">
      <c r="A545">
        <v>135</v>
      </c>
      <c r="B545">
        <v>136</v>
      </c>
      <c r="C545">
        <v>135</v>
      </c>
      <c r="D545">
        <v>134</v>
      </c>
      <c r="E545" t="s">
        <v>5</v>
      </c>
      <c r="F545" t="s">
        <v>21</v>
      </c>
      <c r="G545">
        <v>42</v>
      </c>
      <c r="H545" t="s">
        <v>176</v>
      </c>
      <c r="I545">
        <v>0</v>
      </c>
      <c r="J545">
        <v>1</v>
      </c>
      <c r="K545" t="s">
        <v>153</v>
      </c>
      <c r="L545" t="s">
        <v>177</v>
      </c>
      <c r="M545" t="s">
        <v>178</v>
      </c>
      <c r="N545" t="s">
        <v>107</v>
      </c>
      <c r="O545" t="s">
        <v>97</v>
      </c>
    </row>
    <row r="546" spans="1:15" x14ac:dyDescent="0.2">
      <c r="A546">
        <v>135</v>
      </c>
      <c r="B546">
        <v>136</v>
      </c>
      <c r="C546">
        <v>135</v>
      </c>
      <c r="D546">
        <v>134</v>
      </c>
      <c r="E546" t="s">
        <v>5</v>
      </c>
      <c r="F546" t="s">
        <v>21</v>
      </c>
      <c r="G546">
        <v>43</v>
      </c>
      <c r="H546" t="s">
        <v>179</v>
      </c>
      <c r="I546">
        <v>0</v>
      </c>
      <c r="J546">
        <v>0</v>
      </c>
      <c r="K546" t="s">
        <v>166</v>
      </c>
      <c r="L546" t="s">
        <v>180</v>
      </c>
      <c r="M546" t="s">
        <v>181</v>
      </c>
      <c r="N546" t="s">
        <v>107</v>
      </c>
      <c r="O546" t="s">
        <v>97</v>
      </c>
    </row>
    <row r="547" spans="1:15" x14ac:dyDescent="0.2">
      <c r="A547">
        <v>135</v>
      </c>
      <c r="B547">
        <v>136</v>
      </c>
      <c r="C547">
        <v>135</v>
      </c>
      <c r="D547">
        <v>134</v>
      </c>
      <c r="E547" t="s">
        <v>5</v>
      </c>
      <c r="F547" t="s">
        <v>21</v>
      </c>
      <c r="G547">
        <v>44</v>
      </c>
      <c r="H547" t="s">
        <v>182</v>
      </c>
      <c r="I547">
        <v>0</v>
      </c>
      <c r="J547">
        <v>1</v>
      </c>
      <c r="K547" t="s">
        <v>166</v>
      </c>
      <c r="L547" t="s">
        <v>183</v>
      </c>
      <c r="M547" t="s">
        <v>184</v>
      </c>
      <c r="N547" t="s">
        <v>107</v>
      </c>
      <c r="O547" t="s">
        <v>97</v>
      </c>
    </row>
    <row r="548" spans="1:15" x14ac:dyDescent="0.2">
      <c r="A548">
        <v>135</v>
      </c>
      <c r="B548">
        <v>136</v>
      </c>
      <c r="C548">
        <v>135</v>
      </c>
      <c r="D548">
        <v>134</v>
      </c>
      <c r="E548" t="s">
        <v>5</v>
      </c>
      <c r="F548" t="s">
        <v>21</v>
      </c>
      <c r="G548">
        <v>45</v>
      </c>
      <c r="H548" t="s">
        <v>185</v>
      </c>
      <c r="I548">
        <v>1</v>
      </c>
      <c r="J548">
        <v>1</v>
      </c>
      <c r="K548" t="s">
        <v>166</v>
      </c>
      <c r="L548" t="s">
        <v>186</v>
      </c>
      <c r="M548" t="s">
        <v>139</v>
      </c>
      <c r="N548" t="s">
        <v>107</v>
      </c>
      <c r="O548" t="s">
        <v>97</v>
      </c>
    </row>
    <row r="549" spans="1:15" x14ac:dyDescent="0.2">
      <c r="A549">
        <v>135</v>
      </c>
      <c r="B549">
        <v>136</v>
      </c>
      <c r="C549">
        <v>135</v>
      </c>
      <c r="D549">
        <v>134</v>
      </c>
      <c r="E549" t="s">
        <v>5</v>
      </c>
      <c r="F549" t="s">
        <v>21</v>
      </c>
      <c r="G549">
        <v>47</v>
      </c>
      <c r="H549" t="s">
        <v>187</v>
      </c>
      <c r="I549">
        <v>0</v>
      </c>
      <c r="J549">
        <v>0.2</v>
      </c>
      <c r="K549" t="s">
        <v>93</v>
      </c>
      <c r="L549" t="s">
        <v>188</v>
      </c>
      <c r="M549" t="s">
        <v>95</v>
      </c>
      <c r="N549" t="s">
        <v>96</v>
      </c>
      <c r="O549" t="s">
        <v>97</v>
      </c>
    </row>
    <row r="550" spans="1:15" x14ac:dyDescent="0.2">
      <c r="A550">
        <v>135</v>
      </c>
      <c r="B550">
        <v>136</v>
      </c>
      <c r="C550">
        <v>135</v>
      </c>
      <c r="D550">
        <v>134</v>
      </c>
      <c r="E550" t="s">
        <v>5</v>
      </c>
      <c r="F550" t="s">
        <v>21</v>
      </c>
      <c r="G550">
        <v>48</v>
      </c>
      <c r="H550" t="s">
        <v>189</v>
      </c>
      <c r="I550">
        <v>0.2</v>
      </c>
      <c r="J550">
        <v>0.2</v>
      </c>
      <c r="K550" t="s">
        <v>93</v>
      </c>
      <c r="L550" t="s">
        <v>190</v>
      </c>
      <c r="M550" t="s">
        <v>95</v>
      </c>
      <c r="N550" t="s">
        <v>96</v>
      </c>
      <c r="O550" t="s">
        <v>97</v>
      </c>
    </row>
    <row r="551" spans="1:15" x14ac:dyDescent="0.2">
      <c r="A551">
        <v>135</v>
      </c>
      <c r="B551">
        <v>136</v>
      </c>
      <c r="C551">
        <v>135</v>
      </c>
      <c r="D551">
        <v>134</v>
      </c>
      <c r="E551" t="s">
        <v>5</v>
      </c>
      <c r="F551" t="s">
        <v>21</v>
      </c>
      <c r="G551">
        <v>49</v>
      </c>
      <c r="H551" t="s">
        <v>191</v>
      </c>
      <c r="I551">
        <v>0</v>
      </c>
      <c r="J551">
        <v>0.2</v>
      </c>
      <c r="K551" t="s">
        <v>93</v>
      </c>
      <c r="L551" t="s">
        <v>192</v>
      </c>
      <c r="M551" t="s">
        <v>95</v>
      </c>
      <c r="N551" t="s">
        <v>96</v>
      </c>
      <c r="O551" t="s">
        <v>97</v>
      </c>
    </row>
    <row r="552" spans="1:15" x14ac:dyDescent="0.2">
      <c r="A552">
        <v>135</v>
      </c>
      <c r="B552">
        <v>136</v>
      </c>
      <c r="C552">
        <v>135</v>
      </c>
      <c r="D552">
        <v>134</v>
      </c>
      <c r="E552" t="s">
        <v>5</v>
      </c>
      <c r="F552" t="s">
        <v>21</v>
      </c>
      <c r="G552">
        <v>50</v>
      </c>
      <c r="H552" t="s">
        <v>193</v>
      </c>
      <c r="I552">
        <v>0.1</v>
      </c>
      <c r="J552">
        <v>0.1</v>
      </c>
      <c r="K552" t="s">
        <v>93</v>
      </c>
      <c r="L552" t="s">
        <v>194</v>
      </c>
      <c r="M552" t="s">
        <v>95</v>
      </c>
      <c r="N552" t="s">
        <v>96</v>
      </c>
      <c r="O552" t="s">
        <v>97</v>
      </c>
    </row>
    <row r="553" spans="1:15" x14ac:dyDescent="0.2">
      <c r="A553">
        <v>135</v>
      </c>
      <c r="B553">
        <v>136</v>
      </c>
      <c r="C553">
        <v>135</v>
      </c>
      <c r="D553">
        <v>134</v>
      </c>
      <c r="E553" t="s">
        <v>5</v>
      </c>
      <c r="F553" t="s">
        <v>21</v>
      </c>
      <c r="G553">
        <v>51</v>
      </c>
      <c r="H553" t="s">
        <v>193</v>
      </c>
      <c r="I553">
        <v>0.1</v>
      </c>
      <c r="J553">
        <v>0.1</v>
      </c>
      <c r="K553" t="s">
        <v>93</v>
      </c>
      <c r="L553" t="s">
        <v>194</v>
      </c>
      <c r="M553" t="s">
        <v>95</v>
      </c>
      <c r="N553" t="s">
        <v>96</v>
      </c>
      <c r="O553" t="s">
        <v>97</v>
      </c>
    </row>
    <row r="554" spans="1:15" x14ac:dyDescent="0.2">
      <c r="A554">
        <v>140</v>
      </c>
      <c r="B554">
        <v>141</v>
      </c>
      <c r="C554">
        <v>140</v>
      </c>
      <c r="D554">
        <v>139</v>
      </c>
      <c r="E554" t="s">
        <v>5</v>
      </c>
      <c r="F554" t="s">
        <v>22</v>
      </c>
      <c r="G554">
        <v>1</v>
      </c>
      <c r="H554" t="s">
        <v>92</v>
      </c>
      <c r="I554">
        <v>0.2</v>
      </c>
      <c r="J554">
        <v>0.2</v>
      </c>
      <c r="K554" t="s">
        <v>93</v>
      </c>
      <c r="L554" t="s">
        <v>94</v>
      </c>
      <c r="M554" t="s">
        <v>95</v>
      </c>
      <c r="N554" t="s">
        <v>96</v>
      </c>
      <c r="O554" t="s">
        <v>97</v>
      </c>
    </row>
    <row r="555" spans="1:15" x14ac:dyDescent="0.2">
      <c r="A555">
        <v>140</v>
      </c>
      <c r="B555">
        <v>141</v>
      </c>
      <c r="C555">
        <v>140</v>
      </c>
      <c r="D555">
        <v>139</v>
      </c>
      <c r="E555" t="s">
        <v>5</v>
      </c>
      <c r="F555" t="s">
        <v>22</v>
      </c>
      <c r="G555">
        <v>2</v>
      </c>
      <c r="H555" t="s">
        <v>98</v>
      </c>
      <c r="I555">
        <v>0.25</v>
      </c>
      <c r="J555">
        <v>0.5</v>
      </c>
      <c r="K555" t="s">
        <v>93</v>
      </c>
      <c r="L555" t="s">
        <v>99</v>
      </c>
      <c r="M555" t="s">
        <v>95</v>
      </c>
      <c r="N555" t="s">
        <v>96</v>
      </c>
      <c r="O555" t="s">
        <v>97</v>
      </c>
    </row>
    <row r="556" spans="1:15" x14ac:dyDescent="0.2">
      <c r="A556">
        <v>140</v>
      </c>
      <c r="B556">
        <v>141</v>
      </c>
      <c r="C556">
        <v>140</v>
      </c>
      <c r="D556">
        <v>139</v>
      </c>
      <c r="E556" t="s">
        <v>5</v>
      </c>
      <c r="F556" t="s">
        <v>22</v>
      </c>
      <c r="G556">
        <v>3</v>
      </c>
      <c r="H556" t="s">
        <v>100</v>
      </c>
      <c r="I556">
        <v>1</v>
      </c>
      <c r="J556">
        <v>1</v>
      </c>
      <c r="K556" t="s">
        <v>101</v>
      </c>
      <c r="L556" t="s">
        <v>102</v>
      </c>
      <c r="M556" t="s">
        <v>103</v>
      </c>
      <c r="N556" t="s">
        <v>96</v>
      </c>
      <c r="O556" t="s">
        <v>97</v>
      </c>
    </row>
    <row r="557" spans="1:15" x14ac:dyDescent="0.2">
      <c r="A557">
        <v>140</v>
      </c>
      <c r="B557">
        <v>141</v>
      </c>
      <c r="C557">
        <v>140</v>
      </c>
      <c r="D557">
        <v>139</v>
      </c>
      <c r="E557" t="s">
        <v>5</v>
      </c>
      <c r="F557" t="s">
        <v>22</v>
      </c>
      <c r="G557">
        <v>4</v>
      </c>
      <c r="H557" t="s">
        <v>104</v>
      </c>
      <c r="I557">
        <v>0</v>
      </c>
      <c r="J557">
        <v>1</v>
      </c>
      <c r="K557" t="s">
        <v>101</v>
      </c>
      <c r="L557" t="s">
        <v>105</v>
      </c>
      <c r="M557" t="s">
        <v>106</v>
      </c>
      <c r="N557" t="s">
        <v>107</v>
      </c>
      <c r="O557" t="s">
        <v>97</v>
      </c>
    </row>
    <row r="558" spans="1:15" x14ac:dyDescent="0.2">
      <c r="A558">
        <v>140</v>
      </c>
      <c r="B558">
        <v>141</v>
      </c>
      <c r="C558">
        <v>140</v>
      </c>
      <c r="D558">
        <v>139</v>
      </c>
      <c r="E558" t="s">
        <v>5</v>
      </c>
      <c r="F558" t="s">
        <v>22</v>
      </c>
      <c r="G558">
        <v>5</v>
      </c>
      <c r="H558" t="s">
        <v>108</v>
      </c>
      <c r="I558">
        <v>0</v>
      </c>
      <c r="J558">
        <v>1</v>
      </c>
      <c r="K558" t="s">
        <v>101</v>
      </c>
      <c r="L558" t="s">
        <v>109</v>
      </c>
      <c r="M558" t="s">
        <v>110</v>
      </c>
      <c r="N558" t="s">
        <v>107</v>
      </c>
      <c r="O558" t="s">
        <v>97</v>
      </c>
    </row>
    <row r="559" spans="1:15" x14ac:dyDescent="0.2">
      <c r="A559">
        <v>140</v>
      </c>
      <c r="B559">
        <v>141</v>
      </c>
      <c r="C559">
        <v>140</v>
      </c>
      <c r="D559">
        <v>139</v>
      </c>
      <c r="E559" t="s">
        <v>5</v>
      </c>
      <c r="F559" t="s">
        <v>22</v>
      </c>
      <c r="G559">
        <v>9</v>
      </c>
      <c r="H559" t="s">
        <v>111</v>
      </c>
      <c r="I559">
        <v>0.25</v>
      </c>
      <c r="J559">
        <v>0.5</v>
      </c>
      <c r="K559" t="s">
        <v>112</v>
      </c>
      <c r="L559" t="s">
        <v>113</v>
      </c>
      <c r="M559" t="s">
        <v>114</v>
      </c>
      <c r="N559" t="s">
        <v>96</v>
      </c>
      <c r="O559" t="s">
        <v>97</v>
      </c>
    </row>
    <row r="560" spans="1:15" x14ac:dyDescent="0.2">
      <c r="A560">
        <v>140</v>
      </c>
      <c r="B560">
        <v>141</v>
      </c>
      <c r="C560">
        <v>140</v>
      </c>
      <c r="D560">
        <v>139</v>
      </c>
      <c r="E560" t="s">
        <v>5</v>
      </c>
      <c r="F560" t="s">
        <v>22</v>
      </c>
      <c r="G560">
        <v>10</v>
      </c>
      <c r="H560" t="s">
        <v>115</v>
      </c>
      <c r="I560">
        <v>0.25</v>
      </c>
      <c r="J560">
        <v>0.5</v>
      </c>
      <c r="K560" t="s">
        <v>112</v>
      </c>
      <c r="L560" t="s">
        <v>116</v>
      </c>
      <c r="M560" t="s">
        <v>117</v>
      </c>
      <c r="N560" t="s">
        <v>96</v>
      </c>
      <c r="O560" t="s">
        <v>97</v>
      </c>
    </row>
    <row r="561" spans="1:15" x14ac:dyDescent="0.2">
      <c r="A561">
        <v>140</v>
      </c>
      <c r="B561">
        <v>141</v>
      </c>
      <c r="C561">
        <v>140</v>
      </c>
      <c r="D561">
        <v>139</v>
      </c>
      <c r="E561" t="s">
        <v>5</v>
      </c>
      <c r="F561" t="s">
        <v>22</v>
      </c>
      <c r="G561">
        <v>11</v>
      </c>
      <c r="H561" t="s">
        <v>118</v>
      </c>
      <c r="I561">
        <v>0.5</v>
      </c>
      <c r="J561">
        <v>1</v>
      </c>
      <c r="K561" t="s">
        <v>112</v>
      </c>
      <c r="L561" t="s">
        <v>119</v>
      </c>
      <c r="M561" t="s">
        <v>120</v>
      </c>
      <c r="N561" t="s">
        <v>107</v>
      </c>
      <c r="O561" t="s">
        <v>97</v>
      </c>
    </row>
    <row r="562" spans="1:15" x14ac:dyDescent="0.2">
      <c r="A562">
        <v>140</v>
      </c>
      <c r="B562">
        <v>141</v>
      </c>
      <c r="C562">
        <v>140</v>
      </c>
      <c r="D562">
        <v>139</v>
      </c>
      <c r="E562" t="s">
        <v>5</v>
      </c>
      <c r="F562" t="s">
        <v>22</v>
      </c>
      <c r="G562">
        <v>12</v>
      </c>
      <c r="H562" t="s">
        <v>121</v>
      </c>
      <c r="I562">
        <v>0.25</v>
      </c>
      <c r="J562">
        <v>0.5</v>
      </c>
      <c r="K562" t="s">
        <v>122</v>
      </c>
      <c r="L562" t="s">
        <v>113</v>
      </c>
      <c r="M562" t="s">
        <v>123</v>
      </c>
      <c r="N562" t="s">
        <v>96</v>
      </c>
      <c r="O562" t="s">
        <v>97</v>
      </c>
    </row>
    <row r="563" spans="1:15" x14ac:dyDescent="0.2">
      <c r="A563">
        <v>140</v>
      </c>
      <c r="B563">
        <v>141</v>
      </c>
      <c r="C563">
        <v>140</v>
      </c>
      <c r="D563">
        <v>139</v>
      </c>
      <c r="E563" t="s">
        <v>5</v>
      </c>
      <c r="F563" t="s">
        <v>22</v>
      </c>
      <c r="G563">
        <v>13</v>
      </c>
      <c r="H563" t="s">
        <v>124</v>
      </c>
      <c r="I563">
        <v>0.25</v>
      </c>
      <c r="J563">
        <v>0.5</v>
      </c>
      <c r="K563" t="s">
        <v>122</v>
      </c>
      <c r="L563" t="s">
        <v>125</v>
      </c>
      <c r="M563" t="s">
        <v>126</v>
      </c>
      <c r="N563" t="s">
        <v>96</v>
      </c>
      <c r="O563" t="s">
        <v>97</v>
      </c>
    </row>
    <row r="564" spans="1:15" x14ac:dyDescent="0.2">
      <c r="A564">
        <v>140</v>
      </c>
      <c r="B564">
        <v>141</v>
      </c>
      <c r="C564">
        <v>140</v>
      </c>
      <c r="D564">
        <v>139</v>
      </c>
      <c r="E564" t="s">
        <v>5</v>
      </c>
      <c r="F564" t="s">
        <v>22</v>
      </c>
      <c r="G564">
        <v>14</v>
      </c>
      <c r="H564" t="s">
        <v>127</v>
      </c>
      <c r="I564">
        <v>0.5</v>
      </c>
      <c r="J564">
        <v>1</v>
      </c>
      <c r="K564" t="s">
        <v>122</v>
      </c>
      <c r="L564" t="s">
        <v>119</v>
      </c>
      <c r="M564" t="s">
        <v>128</v>
      </c>
      <c r="N564" t="s">
        <v>107</v>
      </c>
      <c r="O564" t="s">
        <v>97</v>
      </c>
    </row>
    <row r="565" spans="1:15" x14ac:dyDescent="0.2">
      <c r="A565">
        <v>140</v>
      </c>
      <c r="B565">
        <v>141</v>
      </c>
      <c r="C565">
        <v>140</v>
      </c>
      <c r="D565">
        <v>139</v>
      </c>
      <c r="E565" t="s">
        <v>5</v>
      </c>
      <c r="F565" t="s">
        <v>22</v>
      </c>
      <c r="G565">
        <v>15</v>
      </c>
      <c r="H565" t="s">
        <v>129</v>
      </c>
      <c r="I565">
        <v>0</v>
      </c>
      <c r="J565">
        <v>1</v>
      </c>
      <c r="K565" t="s">
        <v>130</v>
      </c>
      <c r="L565" t="s">
        <v>131</v>
      </c>
      <c r="M565" t="s">
        <v>132</v>
      </c>
      <c r="N565" t="s">
        <v>107</v>
      </c>
      <c r="O565" t="s">
        <v>97</v>
      </c>
    </row>
    <row r="566" spans="1:15" x14ac:dyDescent="0.2">
      <c r="A566">
        <v>140</v>
      </c>
      <c r="B566">
        <v>141</v>
      </c>
      <c r="C566">
        <v>140</v>
      </c>
      <c r="D566">
        <v>139</v>
      </c>
      <c r="E566" t="s">
        <v>5</v>
      </c>
      <c r="F566" t="s">
        <v>22</v>
      </c>
      <c r="G566">
        <v>16</v>
      </c>
      <c r="H566" t="s">
        <v>133</v>
      </c>
      <c r="I566">
        <v>0</v>
      </c>
      <c r="J566">
        <v>0</v>
      </c>
      <c r="K566" t="e">
        <v>#N/A</v>
      </c>
      <c r="L566" t="e">
        <v>#N/A</v>
      </c>
      <c r="M566" t="e">
        <v>#N/A</v>
      </c>
      <c r="N566" t="e">
        <v>#N/A</v>
      </c>
      <c r="O566" t="s">
        <v>97</v>
      </c>
    </row>
    <row r="567" spans="1:15" x14ac:dyDescent="0.2">
      <c r="A567">
        <v>140</v>
      </c>
      <c r="B567">
        <v>141</v>
      </c>
      <c r="C567">
        <v>140</v>
      </c>
      <c r="D567">
        <v>139</v>
      </c>
      <c r="E567" t="s">
        <v>5</v>
      </c>
      <c r="F567" t="s">
        <v>22</v>
      </c>
      <c r="G567">
        <v>17</v>
      </c>
      <c r="H567" t="s">
        <v>134</v>
      </c>
      <c r="I567">
        <v>1</v>
      </c>
      <c r="J567">
        <v>1</v>
      </c>
      <c r="K567" t="s">
        <v>112</v>
      </c>
      <c r="L567" t="s">
        <v>135</v>
      </c>
      <c r="M567" t="s">
        <v>136</v>
      </c>
      <c r="N567" t="s">
        <v>107</v>
      </c>
      <c r="O567" t="s">
        <v>97</v>
      </c>
    </row>
    <row r="568" spans="1:15" x14ac:dyDescent="0.2">
      <c r="A568">
        <v>140</v>
      </c>
      <c r="B568">
        <v>141</v>
      </c>
      <c r="C568">
        <v>140</v>
      </c>
      <c r="D568">
        <v>139</v>
      </c>
      <c r="E568" t="s">
        <v>5</v>
      </c>
      <c r="F568" t="s">
        <v>22</v>
      </c>
      <c r="G568">
        <v>18</v>
      </c>
      <c r="H568" t="s">
        <v>137</v>
      </c>
      <c r="I568">
        <v>1</v>
      </c>
      <c r="J568">
        <v>1</v>
      </c>
      <c r="K568" t="s">
        <v>112</v>
      </c>
      <c r="L568" t="s">
        <v>138</v>
      </c>
      <c r="M568" t="s">
        <v>139</v>
      </c>
      <c r="N568" t="s">
        <v>107</v>
      </c>
      <c r="O568" t="s">
        <v>97</v>
      </c>
    </row>
    <row r="569" spans="1:15" x14ac:dyDescent="0.2">
      <c r="A569">
        <v>140</v>
      </c>
      <c r="B569">
        <v>141</v>
      </c>
      <c r="C569">
        <v>140</v>
      </c>
      <c r="D569">
        <v>139</v>
      </c>
      <c r="E569" t="s">
        <v>5</v>
      </c>
      <c r="F569" t="s">
        <v>22</v>
      </c>
      <c r="G569">
        <v>19</v>
      </c>
      <c r="H569" t="s">
        <v>140</v>
      </c>
      <c r="I569">
        <v>1</v>
      </c>
      <c r="J569">
        <v>1</v>
      </c>
      <c r="K569" t="s">
        <v>122</v>
      </c>
      <c r="L569" t="s">
        <v>141</v>
      </c>
      <c r="M569" t="s">
        <v>142</v>
      </c>
      <c r="N569" t="s">
        <v>107</v>
      </c>
      <c r="O569" t="s">
        <v>97</v>
      </c>
    </row>
    <row r="570" spans="1:15" x14ac:dyDescent="0.2">
      <c r="A570">
        <v>140</v>
      </c>
      <c r="B570">
        <v>141</v>
      </c>
      <c r="C570">
        <v>140</v>
      </c>
      <c r="D570">
        <v>139</v>
      </c>
      <c r="E570" t="s">
        <v>5</v>
      </c>
      <c r="F570" t="s">
        <v>22</v>
      </c>
      <c r="G570">
        <v>20</v>
      </c>
      <c r="H570" t="s">
        <v>143</v>
      </c>
      <c r="I570">
        <v>1</v>
      </c>
      <c r="J570">
        <v>1</v>
      </c>
      <c r="K570" t="s">
        <v>122</v>
      </c>
      <c r="L570" t="s">
        <v>144</v>
      </c>
      <c r="M570" t="s">
        <v>145</v>
      </c>
      <c r="N570" t="s">
        <v>107</v>
      </c>
      <c r="O570" t="s">
        <v>97</v>
      </c>
    </row>
    <row r="571" spans="1:15" x14ac:dyDescent="0.2">
      <c r="A571">
        <v>140</v>
      </c>
      <c r="B571">
        <v>141</v>
      </c>
      <c r="C571">
        <v>140</v>
      </c>
      <c r="D571">
        <v>139</v>
      </c>
      <c r="E571" t="s">
        <v>5</v>
      </c>
      <c r="F571" t="s">
        <v>22</v>
      </c>
      <c r="G571">
        <v>21</v>
      </c>
      <c r="H571" t="s">
        <v>146</v>
      </c>
      <c r="I571">
        <v>1</v>
      </c>
      <c r="J571">
        <v>1</v>
      </c>
      <c r="K571" t="s">
        <v>147</v>
      </c>
      <c r="L571" t="s">
        <v>148</v>
      </c>
      <c r="M571" t="s">
        <v>149</v>
      </c>
      <c r="N571" t="s">
        <v>96</v>
      </c>
      <c r="O571" t="s">
        <v>97</v>
      </c>
    </row>
    <row r="572" spans="1:15" x14ac:dyDescent="0.2">
      <c r="A572">
        <v>140</v>
      </c>
      <c r="B572">
        <v>141</v>
      </c>
      <c r="C572">
        <v>140</v>
      </c>
      <c r="D572">
        <v>139</v>
      </c>
      <c r="E572" t="s">
        <v>5</v>
      </c>
      <c r="F572" t="s">
        <v>22</v>
      </c>
      <c r="G572">
        <v>22</v>
      </c>
      <c r="H572" t="s">
        <v>150</v>
      </c>
      <c r="I572">
        <v>0.5</v>
      </c>
      <c r="J572">
        <v>1</v>
      </c>
      <c r="K572" t="s">
        <v>147</v>
      </c>
      <c r="L572" t="s">
        <v>151</v>
      </c>
      <c r="M572" t="s">
        <v>149</v>
      </c>
      <c r="N572" t="s">
        <v>107</v>
      </c>
      <c r="O572" t="s">
        <v>97</v>
      </c>
    </row>
    <row r="573" spans="1:15" x14ac:dyDescent="0.2">
      <c r="A573">
        <v>140</v>
      </c>
      <c r="B573">
        <v>141</v>
      </c>
      <c r="C573">
        <v>140</v>
      </c>
      <c r="D573">
        <v>139</v>
      </c>
      <c r="E573" t="s">
        <v>5</v>
      </c>
      <c r="F573" t="s">
        <v>22</v>
      </c>
      <c r="G573">
        <v>23</v>
      </c>
      <c r="H573" t="s">
        <v>152</v>
      </c>
      <c r="I573">
        <v>0</v>
      </c>
      <c r="J573">
        <v>0</v>
      </c>
      <c r="K573" t="s">
        <v>153</v>
      </c>
      <c r="L573" t="s">
        <v>154</v>
      </c>
      <c r="M573" t="s">
        <v>155</v>
      </c>
      <c r="N573" t="s">
        <v>107</v>
      </c>
      <c r="O573" t="s">
        <v>97</v>
      </c>
    </row>
    <row r="574" spans="1:15" x14ac:dyDescent="0.2">
      <c r="A574">
        <v>140</v>
      </c>
      <c r="B574">
        <v>141</v>
      </c>
      <c r="C574">
        <v>140</v>
      </c>
      <c r="D574">
        <v>139</v>
      </c>
      <c r="E574" t="s">
        <v>5</v>
      </c>
      <c r="F574" t="s">
        <v>22</v>
      </c>
      <c r="G574">
        <v>24</v>
      </c>
      <c r="H574" t="s">
        <v>156</v>
      </c>
      <c r="I574">
        <v>0.5</v>
      </c>
      <c r="J574">
        <v>0.5</v>
      </c>
      <c r="K574" t="s">
        <v>122</v>
      </c>
      <c r="L574" t="s">
        <v>157</v>
      </c>
      <c r="M574" t="s">
        <v>158</v>
      </c>
      <c r="N574" t="s">
        <v>107</v>
      </c>
      <c r="O574" t="s">
        <v>97</v>
      </c>
    </row>
    <row r="575" spans="1:15" x14ac:dyDescent="0.2">
      <c r="A575">
        <v>140</v>
      </c>
      <c r="B575">
        <v>141</v>
      </c>
      <c r="C575">
        <v>140</v>
      </c>
      <c r="D575">
        <v>139</v>
      </c>
      <c r="E575" t="s">
        <v>5</v>
      </c>
      <c r="F575" t="s">
        <v>22</v>
      </c>
      <c r="G575">
        <v>25</v>
      </c>
      <c r="H575" t="s">
        <v>156</v>
      </c>
      <c r="I575">
        <v>0.5</v>
      </c>
      <c r="J575">
        <v>0.5</v>
      </c>
      <c r="K575" t="s">
        <v>122</v>
      </c>
      <c r="L575" t="s">
        <v>157</v>
      </c>
      <c r="M575" t="s">
        <v>158</v>
      </c>
      <c r="N575" t="s">
        <v>107</v>
      </c>
      <c r="O575" t="s">
        <v>97</v>
      </c>
    </row>
    <row r="576" spans="1:15" x14ac:dyDescent="0.2">
      <c r="A576">
        <v>140</v>
      </c>
      <c r="B576">
        <v>141</v>
      </c>
      <c r="C576">
        <v>140</v>
      </c>
      <c r="D576">
        <v>139</v>
      </c>
      <c r="E576" t="s">
        <v>5</v>
      </c>
      <c r="F576" t="s">
        <v>22</v>
      </c>
      <c r="G576">
        <v>26</v>
      </c>
      <c r="H576" t="s">
        <v>152</v>
      </c>
      <c r="I576">
        <v>0</v>
      </c>
      <c r="J576">
        <v>0</v>
      </c>
      <c r="K576" t="s">
        <v>153</v>
      </c>
      <c r="L576" t="s">
        <v>154</v>
      </c>
      <c r="M576" t="s">
        <v>155</v>
      </c>
      <c r="N576" t="s">
        <v>107</v>
      </c>
      <c r="O576" t="s">
        <v>97</v>
      </c>
    </row>
    <row r="577" spans="1:15" x14ac:dyDescent="0.2">
      <c r="A577">
        <v>140</v>
      </c>
      <c r="B577">
        <v>141</v>
      </c>
      <c r="C577">
        <v>140</v>
      </c>
      <c r="D577">
        <v>139</v>
      </c>
      <c r="E577" t="s">
        <v>5</v>
      </c>
      <c r="F577" t="s">
        <v>22</v>
      </c>
      <c r="G577">
        <v>27</v>
      </c>
      <c r="H577" t="s">
        <v>159</v>
      </c>
      <c r="I577">
        <v>0.5</v>
      </c>
      <c r="J577">
        <v>0.5</v>
      </c>
      <c r="K577" t="s">
        <v>122</v>
      </c>
      <c r="L577" t="s">
        <v>160</v>
      </c>
      <c r="M577" t="s">
        <v>161</v>
      </c>
      <c r="N577" t="s">
        <v>107</v>
      </c>
      <c r="O577" t="s">
        <v>97</v>
      </c>
    </row>
    <row r="578" spans="1:15" x14ac:dyDescent="0.2">
      <c r="A578">
        <v>140</v>
      </c>
      <c r="B578">
        <v>141</v>
      </c>
      <c r="C578">
        <v>140</v>
      </c>
      <c r="D578">
        <v>139</v>
      </c>
      <c r="E578" t="s">
        <v>5</v>
      </c>
      <c r="F578" t="s">
        <v>22</v>
      </c>
      <c r="G578">
        <v>28</v>
      </c>
      <c r="H578" t="s">
        <v>159</v>
      </c>
      <c r="I578">
        <v>0</v>
      </c>
      <c r="J578">
        <v>0.5</v>
      </c>
      <c r="K578" t="s">
        <v>122</v>
      </c>
      <c r="L578" t="s">
        <v>160</v>
      </c>
      <c r="M578" t="s">
        <v>161</v>
      </c>
      <c r="N578" t="s">
        <v>107</v>
      </c>
      <c r="O578" t="s">
        <v>97</v>
      </c>
    </row>
    <row r="579" spans="1:15" x14ac:dyDescent="0.2">
      <c r="A579">
        <v>140</v>
      </c>
      <c r="B579">
        <v>141</v>
      </c>
      <c r="C579">
        <v>140</v>
      </c>
      <c r="D579">
        <v>139</v>
      </c>
      <c r="E579" t="s">
        <v>5</v>
      </c>
      <c r="F579" t="s">
        <v>22</v>
      </c>
      <c r="G579">
        <v>29</v>
      </c>
      <c r="H579" t="s">
        <v>152</v>
      </c>
      <c r="I579">
        <v>0</v>
      </c>
      <c r="J579">
        <v>0</v>
      </c>
      <c r="K579" t="s">
        <v>153</v>
      </c>
      <c r="L579" t="s">
        <v>154</v>
      </c>
      <c r="M579" t="s">
        <v>155</v>
      </c>
      <c r="N579" t="s">
        <v>107</v>
      </c>
      <c r="O579" t="s">
        <v>97</v>
      </c>
    </row>
    <row r="580" spans="1:15" x14ac:dyDescent="0.2">
      <c r="A580">
        <v>140</v>
      </c>
      <c r="B580">
        <v>141</v>
      </c>
      <c r="C580">
        <v>140</v>
      </c>
      <c r="D580">
        <v>139</v>
      </c>
      <c r="E580" t="s">
        <v>5</v>
      </c>
      <c r="F580" t="s">
        <v>22</v>
      </c>
      <c r="G580">
        <v>30</v>
      </c>
      <c r="H580" t="s">
        <v>162</v>
      </c>
      <c r="I580">
        <v>0.5</v>
      </c>
      <c r="J580">
        <v>1</v>
      </c>
      <c r="K580" t="s">
        <v>112</v>
      </c>
      <c r="L580" t="s">
        <v>163</v>
      </c>
      <c r="M580" t="s">
        <v>164</v>
      </c>
      <c r="N580" t="s">
        <v>107</v>
      </c>
      <c r="O580" t="s">
        <v>97</v>
      </c>
    </row>
    <row r="581" spans="1:15" x14ac:dyDescent="0.2">
      <c r="A581">
        <v>140</v>
      </c>
      <c r="B581">
        <v>141</v>
      </c>
      <c r="C581">
        <v>140</v>
      </c>
      <c r="D581">
        <v>139</v>
      </c>
      <c r="E581" t="s">
        <v>5</v>
      </c>
      <c r="F581" t="s">
        <v>22</v>
      </c>
      <c r="G581">
        <v>31</v>
      </c>
      <c r="H581" t="s">
        <v>162</v>
      </c>
      <c r="I581">
        <v>0</v>
      </c>
      <c r="J581">
        <v>0</v>
      </c>
      <c r="K581" t="s">
        <v>112</v>
      </c>
      <c r="L581" t="s">
        <v>163</v>
      </c>
      <c r="M581" t="s">
        <v>164</v>
      </c>
      <c r="N581" t="s">
        <v>107</v>
      </c>
      <c r="O581" t="s">
        <v>97</v>
      </c>
    </row>
    <row r="582" spans="1:15" x14ac:dyDescent="0.2">
      <c r="A582">
        <v>140</v>
      </c>
      <c r="B582">
        <v>141</v>
      </c>
      <c r="C582">
        <v>140</v>
      </c>
      <c r="D582">
        <v>139</v>
      </c>
      <c r="E582" t="s">
        <v>5</v>
      </c>
      <c r="F582" t="s">
        <v>22</v>
      </c>
      <c r="G582">
        <v>32</v>
      </c>
      <c r="H582" t="s">
        <v>162</v>
      </c>
      <c r="I582">
        <v>0</v>
      </c>
      <c r="J582">
        <v>0</v>
      </c>
      <c r="K582" t="s">
        <v>112</v>
      </c>
      <c r="L582" t="s">
        <v>163</v>
      </c>
      <c r="M582" t="s">
        <v>164</v>
      </c>
      <c r="N582" t="s">
        <v>107</v>
      </c>
      <c r="O582" t="s">
        <v>97</v>
      </c>
    </row>
    <row r="583" spans="1:15" x14ac:dyDescent="0.2">
      <c r="A583">
        <v>140</v>
      </c>
      <c r="B583">
        <v>141</v>
      </c>
      <c r="C583">
        <v>140</v>
      </c>
      <c r="D583">
        <v>139</v>
      </c>
      <c r="E583" t="s">
        <v>5</v>
      </c>
      <c r="F583" t="s">
        <v>22</v>
      </c>
      <c r="G583">
        <v>33</v>
      </c>
      <c r="H583" t="s">
        <v>152</v>
      </c>
      <c r="I583">
        <v>1</v>
      </c>
      <c r="J583">
        <v>1</v>
      </c>
      <c r="K583" t="s">
        <v>153</v>
      </c>
      <c r="L583" t="s">
        <v>154</v>
      </c>
      <c r="M583" t="s">
        <v>155</v>
      </c>
      <c r="N583" t="s">
        <v>107</v>
      </c>
      <c r="O583" t="s">
        <v>97</v>
      </c>
    </row>
    <row r="584" spans="1:15" x14ac:dyDescent="0.2">
      <c r="A584">
        <v>140</v>
      </c>
      <c r="B584">
        <v>141</v>
      </c>
      <c r="C584">
        <v>140</v>
      </c>
      <c r="D584">
        <v>139</v>
      </c>
      <c r="E584" t="s">
        <v>5</v>
      </c>
      <c r="F584" t="s">
        <v>22</v>
      </c>
      <c r="G584">
        <v>34</v>
      </c>
      <c r="H584" t="s">
        <v>152</v>
      </c>
      <c r="I584">
        <v>0</v>
      </c>
      <c r="J584">
        <v>0</v>
      </c>
      <c r="K584" t="s">
        <v>153</v>
      </c>
      <c r="L584" t="s">
        <v>154</v>
      </c>
      <c r="M584" t="s">
        <v>155</v>
      </c>
      <c r="N584" t="s">
        <v>107</v>
      </c>
      <c r="O584" t="s">
        <v>97</v>
      </c>
    </row>
    <row r="585" spans="1:15" x14ac:dyDescent="0.2">
      <c r="A585">
        <v>140</v>
      </c>
      <c r="B585">
        <v>141</v>
      </c>
      <c r="C585">
        <v>140</v>
      </c>
      <c r="D585">
        <v>139</v>
      </c>
      <c r="E585" t="s">
        <v>5</v>
      </c>
      <c r="F585" t="s">
        <v>22</v>
      </c>
      <c r="G585">
        <v>35</v>
      </c>
      <c r="H585" t="s">
        <v>165</v>
      </c>
      <c r="I585">
        <v>0</v>
      </c>
      <c r="J585">
        <v>1</v>
      </c>
      <c r="K585" t="s">
        <v>166</v>
      </c>
      <c r="L585" t="s">
        <v>167</v>
      </c>
      <c r="M585" t="s">
        <v>168</v>
      </c>
      <c r="N585" t="s">
        <v>107</v>
      </c>
      <c r="O585" t="s">
        <v>97</v>
      </c>
    </row>
    <row r="586" spans="1:15" x14ac:dyDescent="0.2">
      <c r="A586">
        <v>140</v>
      </c>
      <c r="B586">
        <v>141</v>
      </c>
      <c r="C586">
        <v>140</v>
      </c>
      <c r="D586">
        <v>139</v>
      </c>
      <c r="E586" t="s">
        <v>5</v>
      </c>
      <c r="F586" t="s">
        <v>22</v>
      </c>
      <c r="G586">
        <v>36</v>
      </c>
      <c r="H586" t="s">
        <v>169</v>
      </c>
      <c r="I586">
        <v>0</v>
      </c>
      <c r="J586">
        <v>0</v>
      </c>
      <c r="K586" t="e">
        <v>#N/A</v>
      </c>
      <c r="L586" t="e">
        <v>#N/A</v>
      </c>
      <c r="M586" t="e">
        <v>#N/A</v>
      </c>
      <c r="N586" t="e">
        <v>#N/A</v>
      </c>
      <c r="O586" t="s">
        <v>97</v>
      </c>
    </row>
    <row r="587" spans="1:15" x14ac:dyDescent="0.2">
      <c r="A587">
        <v>140</v>
      </c>
      <c r="B587">
        <v>141</v>
      </c>
      <c r="C587">
        <v>140</v>
      </c>
      <c r="D587">
        <v>139</v>
      </c>
      <c r="E587" t="s">
        <v>5</v>
      </c>
      <c r="F587" t="s">
        <v>22</v>
      </c>
      <c r="G587">
        <v>38</v>
      </c>
      <c r="H587" t="s">
        <v>170</v>
      </c>
      <c r="I587">
        <v>0</v>
      </c>
      <c r="J587">
        <v>0.5</v>
      </c>
      <c r="K587" t="s">
        <v>112</v>
      </c>
      <c r="L587" t="s">
        <v>171</v>
      </c>
      <c r="M587" t="s">
        <v>172</v>
      </c>
      <c r="N587" t="s">
        <v>96</v>
      </c>
      <c r="O587" t="s">
        <v>97</v>
      </c>
    </row>
    <row r="588" spans="1:15" x14ac:dyDescent="0.2">
      <c r="A588">
        <v>140</v>
      </c>
      <c r="B588">
        <v>141</v>
      </c>
      <c r="C588">
        <v>140</v>
      </c>
      <c r="D588">
        <v>139</v>
      </c>
      <c r="E588" t="s">
        <v>5</v>
      </c>
      <c r="F588" t="s">
        <v>22</v>
      </c>
      <c r="G588">
        <v>39</v>
      </c>
      <c r="H588" t="s">
        <v>170</v>
      </c>
      <c r="I588">
        <v>0</v>
      </c>
      <c r="J588">
        <v>0.5</v>
      </c>
      <c r="K588" t="s">
        <v>112</v>
      </c>
      <c r="L588" t="s">
        <v>171</v>
      </c>
      <c r="M588" t="s">
        <v>172</v>
      </c>
      <c r="N588" t="s">
        <v>96</v>
      </c>
      <c r="O588" t="s">
        <v>97</v>
      </c>
    </row>
    <row r="589" spans="1:15" x14ac:dyDescent="0.2">
      <c r="A589">
        <v>140</v>
      </c>
      <c r="B589">
        <v>141</v>
      </c>
      <c r="C589">
        <v>140</v>
      </c>
      <c r="D589">
        <v>139</v>
      </c>
      <c r="E589" t="s">
        <v>5</v>
      </c>
      <c r="F589" t="s">
        <v>22</v>
      </c>
      <c r="G589">
        <v>40</v>
      </c>
      <c r="H589" t="s">
        <v>170</v>
      </c>
      <c r="I589">
        <v>0</v>
      </c>
      <c r="J589">
        <v>0.5</v>
      </c>
      <c r="K589" t="s">
        <v>112</v>
      </c>
      <c r="L589" t="s">
        <v>171</v>
      </c>
      <c r="M589" t="s">
        <v>172</v>
      </c>
      <c r="N589" t="s">
        <v>96</v>
      </c>
      <c r="O589" t="s">
        <v>97</v>
      </c>
    </row>
    <row r="590" spans="1:15" x14ac:dyDescent="0.2">
      <c r="A590">
        <v>140</v>
      </c>
      <c r="B590">
        <v>141</v>
      </c>
      <c r="C590">
        <v>140</v>
      </c>
      <c r="D590">
        <v>139</v>
      </c>
      <c r="E590" t="s">
        <v>5</v>
      </c>
      <c r="F590" t="s">
        <v>22</v>
      </c>
      <c r="G590">
        <v>41</v>
      </c>
      <c r="H590" t="s">
        <v>173</v>
      </c>
      <c r="I590">
        <v>1</v>
      </c>
      <c r="J590">
        <v>1</v>
      </c>
      <c r="K590" t="s">
        <v>166</v>
      </c>
      <c r="L590" t="s">
        <v>174</v>
      </c>
      <c r="M590" t="s">
        <v>175</v>
      </c>
      <c r="N590" t="s">
        <v>107</v>
      </c>
      <c r="O590" t="s">
        <v>97</v>
      </c>
    </row>
    <row r="591" spans="1:15" x14ac:dyDescent="0.2">
      <c r="A591">
        <v>140</v>
      </c>
      <c r="B591">
        <v>141</v>
      </c>
      <c r="C591">
        <v>140</v>
      </c>
      <c r="D591">
        <v>139</v>
      </c>
      <c r="E591" t="s">
        <v>5</v>
      </c>
      <c r="F591" t="s">
        <v>22</v>
      </c>
      <c r="G591">
        <v>42</v>
      </c>
      <c r="H591" t="s">
        <v>176</v>
      </c>
      <c r="I591">
        <v>0.5</v>
      </c>
      <c r="J591">
        <v>1</v>
      </c>
      <c r="K591" t="s">
        <v>153</v>
      </c>
      <c r="L591" t="s">
        <v>177</v>
      </c>
      <c r="M591" t="s">
        <v>178</v>
      </c>
      <c r="N591" t="s">
        <v>107</v>
      </c>
      <c r="O591" t="s">
        <v>97</v>
      </c>
    </row>
    <row r="592" spans="1:15" x14ac:dyDescent="0.2">
      <c r="A592">
        <v>140</v>
      </c>
      <c r="B592">
        <v>141</v>
      </c>
      <c r="C592">
        <v>140</v>
      </c>
      <c r="D592">
        <v>139</v>
      </c>
      <c r="E592" t="s">
        <v>5</v>
      </c>
      <c r="F592" t="s">
        <v>22</v>
      </c>
      <c r="G592">
        <v>43</v>
      </c>
      <c r="H592" t="s">
        <v>179</v>
      </c>
      <c r="I592">
        <v>0</v>
      </c>
      <c r="J592">
        <v>0</v>
      </c>
      <c r="K592" t="s">
        <v>166</v>
      </c>
      <c r="L592" t="s">
        <v>180</v>
      </c>
      <c r="M592" t="s">
        <v>181</v>
      </c>
      <c r="N592" t="s">
        <v>107</v>
      </c>
      <c r="O592" t="s">
        <v>97</v>
      </c>
    </row>
    <row r="593" spans="1:15" x14ac:dyDescent="0.2">
      <c r="A593">
        <v>140</v>
      </c>
      <c r="B593">
        <v>141</v>
      </c>
      <c r="C593">
        <v>140</v>
      </c>
      <c r="D593">
        <v>139</v>
      </c>
      <c r="E593" t="s">
        <v>5</v>
      </c>
      <c r="F593" t="s">
        <v>22</v>
      </c>
      <c r="G593">
        <v>44</v>
      </c>
      <c r="H593" t="s">
        <v>182</v>
      </c>
      <c r="I593">
        <v>0</v>
      </c>
      <c r="J593">
        <v>1</v>
      </c>
      <c r="K593" t="s">
        <v>166</v>
      </c>
      <c r="L593" t="s">
        <v>183</v>
      </c>
      <c r="M593" t="s">
        <v>184</v>
      </c>
      <c r="N593" t="s">
        <v>107</v>
      </c>
      <c r="O593" t="s">
        <v>97</v>
      </c>
    </row>
    <row r="594" spans="1:15" x14ac:dyDescent="0.2">
      <c r="A594">
        <v>140</v>
      </c>
      <c r="B594">
        <v>141</v>
      </c>
      <c r="C594">
        <v>140</v>
      </c>
      <c r="D594">
        <v>139</v>
      </c>
      <c r="E594" t="s">
        <v>5</v>
      </c>
      <c r="F594" t="s">
        <v>22</v>
      </c>
      <c r="G594">
        <v>45</v>
      </c>
      <c r="H594" t="s">
        <v>185</v>
      </c>
      <c r="I594">
        <v>0</v>
      </c>
      <c r="J594">
        <v>1</v>
      </c>
      <c r="K594" t="s">
        <v>166</v>
      </c>
      <c r="L594" t="s">
        <v>186</v>
      </c>
      <c r="M594" t="s">
        <v>139</v>
      </c>
      <c r="N594" t="s">
        <v>107</v>
      </c>
      <c r="O594" t="s">
        <v>97</v>
      </c>
    </row>
    <row r="595" spans="1:15" x14ac:dyDescent="0.2">
      <c r="A595">
        <v>140</v>
      </c>
      <c r="B595">
        <v>141</v>
      </c>
      <c r="C595">
        <v>140</v>
      </c>
      <c r="D595">
        <v>139</v>
      </c>
      <c r="E595" t="s">
        <v>5</v>
      </c>
      <c r="F595" t="s">
        <v>22</v>
      </c>
      <c r="G595">
        <v>47</v>
      </c>
      <c r="H595" t="s">
        <v>187</v>
      </c>
      <c r="I595">
        <v>0.2</v>
      </c>
      <c r="J595">
        <v>0.2</v>
      </c>
      <c r="K595" t="s">
        <v>93</v>
      </c>
      <c r="L595" t="s">
        <v>188</v>
      </c>
      <c r="M595" t="s">
        <v>95</v>
      </c>
      <c r="N595" t="s">
        <v>96</v>
      </c>
      <c r="O595" t="s">
        <v>97</v>
      </c>
    </row>
    <row r="596" spans="1:15" x14ac:dyDescent="0.2">
      <c r="A596">
        <v>140</v>
      </c>
      <c r="B596">
        <v>141</v>
      </c>
      <c r="C596">
        <v>140</v>
      </c>
      <c r="D596">
        <v>139</v>
      </c>
      <c r="E596" t="s">
        <v>5</v>
      </c>
      <c r="F596" t="s">
        <v>22</v>
      </c>
      <c r="G596">
        <v>48</v>
      </c>
      <c r="H596" t="s">
        <v>189</v>
      </c>
      <c r="I596">
        <v>0.2</v>
      </c>
      <c r="J596">
        <v>0.2</v>
      </c>
      <c r="K596" t="s">
        <v>93</v>
      </c>
      <c r="L596" t="s">
        <v>190</v>
      </c>
      <c r="M596" t="s">
        <v>95</v>
      </c>
      <c r="N596" t="s">
        <v>96</v>
      </c>
      <c r="O596" t="s">
        <v>97</v>
      </c>
    </row>
    <row r="597" spans="1:15" x14ac:dyDescent="0.2">
      <c r="A597">
        <v>140</v>
      </c>
      <c r="B597">
        <v>141</v>
      </c>
      <c r="C597">
        <v>140</v>
      </c>
      <c r="D597">
        <v>139</v>
      </c>
      <c r="E597" t="s">
        <v>5</v>
      </c>
      <c r="F597" t="s">
        <v>22</v>
      </c>
      <c r="G597">
        <v>49</v>
      </c>
      <c r="H597" t="s">
        <v>191</v>
      </c>
      <c r="I597">
        <v>0.2</v>
      </c>
      <c r="J597">
        <v>0.2</v>
      </c>
      <c r="K597" t="s">
        <v>93</v>
      </c>
      <c r="L597" t="s">
        <v>192</v>
      </c>
      <c r="M597" t="s">
        <v>95</v>
      </c>
      <c r="N597" t="s">
        <v>96</v>
      </c>
      <c r="O597" t="s">
        <v>97</v>
      </c>
    </row>
    <row r="598" spans="1:15" x14ac:dyDescent="0.2">
      <c r="A598">
        <v>140</v>
      </c>
      <c r="B598">
        <v>141</v>
      </c>
      <c r="C598">
        <v>140</v>
      </c>
      <c r="D598">
        <v>139</v>
      </c>
      <c r="E598" t="s">
        <v>5</v>
      </c>
      <c r="F598" t="s">
        <v>22</v>
      </c>
      <c r="G598">
        <v>50</v>
      </c>
      <c r="H598" t="s">
        <v>193</v>
      </c>
      <c r="I598">
        <v>0.1</v>
      </c>
      <c r="J598">
        <v>0.1</v>
      </c>
      <c r="K598" t="s">
        <v>93</v>
      </c>
      <c r="L598" t="s">
        <v>194</v>
      </c>
      <c r="M598" t="s">
        <v>95</v>
      </c>
      <c r="N598" t="s">
        <v>96</v>
      </c>
      <c r="O598" t="s">
        <v>97</v>
      </c>
    </row>
    <row r="599" spans="1:15" x14ac:dyDescent="0.2">
      <c r="A599">
        <v>140</v>
      </c>
      <c r="B599">
        <v>141</v>
      </c>
      <c r="C599">
        <v>140</v>
      </c>
      <c r="D599">
        <v>139</v>
      </c>
      <c r="E599" t="s">
        <v>5</v>
      </c>
      <c r="F599" t="s">
        <v>22</v>
      </c>
      <c r="G599">
        <v>51</v>
      </c>
      <c r="H599" t="s">
        <v>193</v>
      </c>
      <c r="I599">
        <v>0</v>
      </c>
      <c r="J599">
        <v>0.1</v>
      </c>
      <c r="K599" t="s">
        <v>93</v>
      </c>
      <c r="L599" t="s">
        <v>194</v>
      </c>
      <c r="M599" t="s">
        <v>95</v>
      </c>
      <c r="N599" t="s">
        <v>96</v>
      </c>
      <c r="O599" t="s">
        <v>97</v>
      </c>
    </row>
    <row r="600" spans="1:15" x14ac:dyDescent="0.2">
      <c r="A600">
        <v>145</v>
      </c>
      <c r="B600">
        <v>146</v>
      </c>
      <c r="C600">
        <v>145</v>
      </c>
      <c r="D600">
        <v>144</v>
      </c>
      <c r="E600" t="s">
        <v>5</v>
      </c>
      <c r="F600" t="s">
        <v>23</v>
      </c>
      <c r="G600">
        <v>1</v>
      </c>
      <c r="H600" t="s">
        <v>92</v>
      </c>
      <c r="I600">
        <v>0.2</v>
      </c>
      <c r="J600">
        <v>0.2</v>
      </c>
      <c r="K600" t="s">
        <v>93</v>
      </c>
      <c r="L600" t="s">
        <v>94</v>
      </c>
      <c r="M600" t="s">
        <v>95</v>
      </c>
      <c r="N600" t="s">
        <v>96</v>
      </c>
      <c r="O600" t="s">
        <v>97</v>
      </c>
    </row>
    <row r="601" spans="1:15" x14ac:dyDescent="0.2">
      <c r="A601">
        <v>145</v>
      </c>
      <c r="B601">
        <v>146</v>
      </c>
      <c r="C601">
        <v>145</v>
      </c>
      <c r="D601">
        <v>144</v>
      </c>
      <c r="E601" t="s">
        <v>5</v>
      </c>
      <c r="F601" t="s">
        <v>23</v>
      </c>
      <c r="G601">
        <v>2</v>
      </c>
      <c r="H601" t="s">
        <v>98</v>
      </c>
      <c r="I601">
        <v>0.25</v>
      </c>
      <c r="J601">
        <v>0.5</v>
      </c>
      <c r="K601" t="s">
        <v>93</v>
      </c>
      <c r="L601" t="s">
        <v>99</v>
      </c>
      <c r="M601" t="s">
        <v>95</v>
      </c>
      <c r="N601" t="s">
        <v>96</v>
      </c>
      <c r="O601" t="s">
        <v>97</v>
      </c>
    </row>
    <row r="602" spans="1:15" x14ac:dyDescent="0.2">
      <c r="A602">
        <v>145</v>
      </c>
      <c r="B602">
        <v>146</v>
      </c>
      <c r="C602">
        <v>145</v>
      </c>
      <c r="D602">
        <v>144</v>
      </c>
      <c r="E602" t="s">
        <v>5</v>
      </c>
      <c r="F602" t="s">
        <v>23</v>
      </c>
      <c r="G602">
        <v>3</v>
      </c>
      <c r="H602" t="s">
        <v>100</v>
      </c>
      <c r="I602">
        <v>1</v>
      </c>
      <c r="J602">
        <v>1</v>
      </c>
      <c r="K602" t="s">
        <v>101</v>
      </c>
      <c r="L602" t="s">
        <v>102</v>
      </c>
      <c r="M602" t="s">
        <v>103</v>
      </c>
      <c r="N602" t="s">
        <v>96</v>
      </c>
      <c r="O602" t="s">
        <v>97</v>
      </c>
    </row>
    <row r="603" spans="1:15" x14ac:dyDescent="0.2">
      <c r="A603">
        <v>145</v>
      </c>
      <c r="B603">
        <v>146</v>
      </c>
      <c r="C603">
        <v>145</v>
      </c>
      <c r="D603">
        <v>144</v>
      </c>
      <c r="E603" t="s">
        <v>5</v>
      </c>
      <c r="F603" t="s">
        <v>23</v>
      </c>
      <c r="G603">
        <v>4</v>
      </c>
      <c r="H603" t="s">
        <v>104</v>
      </c>
      <c r="I603">
        <v>1</v>
      </c>
      <c r="J603">
        <v>1</v>
      </c>
      <c r="K603" t="s">
        <v>101</v>
      </c>
      <c r="L603" t="s">
        <v>105</v>
      </c>
      <c r="M603" t="s">
        <v>106</v>
      </c>
      <c r="N603" t="s">
        <v>107</v>
      </c>
      <c r="O603" t="s">
        <v>97</v>
      </c>
    </row>
    <row r="604" spans="1:15" x14ac:dyDescent="0.2">
      <c r="A604">
        <v>145</v>
      </c>
      <c r="B604">
        <v>146</v>
      </c>
      <c r="C604">
        <v>145</v>
      </c>
      <c r="D604">
        <v>144</v>
      </c>
      <c r="E604" t="s">
        <v>5</v>
      </c>
      <c r="F604" t="s">
        <v>23</v>
      </c>
      <c r="G604">
        <v>5</v>
      </c>
      <c r="H604" t="s">
        <v>108</v>
      </c>
      <c r="I604">
        <v>0</v>
      </c>
      <c r="J604">
        <v>1</v>
      </c>
      <c r="K604" t="s">
        <v>101</v>
      </c>
      <c r="L604" t="s">
        <v>109</v>
      </c>
      <c r="M604" t="s">
        <v>110</v>
      </c>
      <c r="N604" t="s">
        <v>107</v>
      </c>
      <c r="O604" t="s">
        <v>97</v>
      </c>
    </row>
    <row r="605" spans="1:15" x14ac:dyDescent="0.2">
      <c r="A605">
        <v>145</v>
      </c>
      <c r="B605">
        <v>146</v>
      </c>
      <c r="C605">
        <v>145</v>
      </c>
      <c r="D605">
        <v>144</v>
      </c>
      <c r="E605" t="s">
        <v>5</v>
      </c>
      <c r="F605" t="s">
        <v>23</v>
      </c>
      <c r="G605">
        <v>9</v>
      </c>
      <c r="H605" t="s">
        <v>111</v>
      </c>
      <c r="I605">
        <v>0.25</v>
      </c>
      <c r="J605">
        <v>0.5</v>
      </c>
      <c r="K605" t="s">
        <v>112</v>
      </c>
      <c r="L605" t="s">
        <v>113</v>
      </c>
      <c r="M605" t="s">
        <v>114</v>
      </c>
      <c r="N605" t="s">
        <v>96</v>
      </c>
      <c r="O605" t="s">
        <v>97</v>
      </c>
    </row>
    <row r="606" spans="1:15" x14ac:dyDescent="0.2">
      <c r="A606">
        <v>145</v>
      </c>
      <c r="B606">
        <v>146</v>
      </c>
      <c r="C606">
        <v>145</v>
      </c>
      <c r="D606">
        <v>144</v>
      </c>
      <c r="E606" t="s">
        <v>5</v>
      </c>
      <c r="F606" t="s">
        <v>23</v>
      </c>
      <c r="G606">
        <v>10</v>
      </c>
      <c r="H606" t="s">
        <v>115</v>
      </c>
      <c r="I606">
        <v>0.25</v>
      </c>
      <c r="J606">
        <v>0.5</v>
      </c>
      <c r="K606" t="s">
        <v>112</v>
      </c>
      <c r="L606" t="s">
        <v>116</v>
      </c>
      <c r="M606" t="s">
        <v>117</v>
      </c>
      <c r="N606" t="s">
        <v>96</v>
      </c>
      <c r="O606" t="s">
        <v>97</v>
      </c>
    </row>
    <row r="607" spans="1:15" x14ac:dyDescent="0.2">
      <c r="A607">
        <v>145</v>
      </c>
      <c r="B607">
        <v>146</v>
      </c>
      <c r="C607">
        <v>145</v>
      </c>
      <c r="D607">
        <v>144</v>
      </c>
      <c r="E607" t="s">
        <v>5</v>
      </c>
      <c r="F607" t="s">
        <v>23</v>
      </c>
      <c r="G607">
        <v>11</v>
      </c>
      <c r="H607" t="s">
        <v>118</v>
      </c>
      <c r="I607">
        <v>0.5</v>
      </c>
      <c r="J607">
        <v>1</v>
      </c>
      <c r="K607" t="s">
        <v>112</v>
      </c>
      <c r="L607" t="s">
        <v>119</v>
      </c>
      <c r="M607" t="s">
        <v>120</v>
      </c>
      <c r="N607" t="s">
        <v>107</v>
      </c>
      <c r="O607" t="s">
        <v>97</v>
      </c>
    </row>
    <row r="608" spans="1:15" x14ac:dyDescent="0.2">
      <c r="A608">
        <v>145</v>
      </c>
      <c r="B608">
        <v>146</v>
      </c>
      <c r="C608">
        <v>145</v>
      </c>
      <c r="D608">
        <v>144</v>
      </c>
      <c r="E608" t="s">
        <v>5</v>
      </c>
      <c r="F608" t="s">
        <v>23</v>
      </c>
      <c r="G608">
        <v>12</v>
      </c>
      <c r="H608" t="s">
        <v>121</v>
      </c>
      <c r="I608">
        <v>0.5</v>
      </c>
      <c r="J608">
        <v>0.5</v>
      </c>
      <c r="K608" t="s">
        <v>122</v>
      </c>
      <c r="L608" t="s">
        <v>113</v>
      </c>
      <c r="M608" t="s">
        <v>123</v>
      </c>
      <c r="N608" t="s">
        <v>96</v>
      </c>
      <c r="O608" t="s">
        <v>97</v>
      </c>
    </row>
    <row r="609" spans="1:15" x14ac:dyDescent="0.2">
      <c r="A609">
        <v>145</v>
      </c>
      <c r="B609">
        <v>146</v>
      </c>
      <c r="C609">
        <v>145</v>
      </c>
      <c r="D609">
        <v>144</v>
      </c>
      <c r="E609" t="s">
        <v>5</v>
      </c>
      <c r="F609" t="s">
        <v>23</v>
      </c>
      <c r="G609">
        <v>13</v>
      </c>
      <c r="H609" t="s">
        <v>124</v>
      </c>
      <c r="I609">
        <v>0</v>
      </c>
      <c r="J609">
        <v>0.5</v>
      </c>
      <c r="K609" t="s">
        <v>122</v>
      </c>
      <c r="L609" t="s">
        <v>125</v>
      </c>
      <c r="M609" t="s">
        <v>126</v>
      </c>
      <c r="N609" t="s">
        <v>96</v>
      </c>
      <c r="O609" t="s">
        <v>97</v>
      </c>
    </row>
    <row r="610" spans="1:15" x14ac:dyDescent="0.2">
      <c r="A610">
        <v>145</v>
      </c>
      <c r="B610">
        <v>146</v>
      </c>
      <c r="C610">
        <v>145</v>
      </c>
      <c r="D610">
        <v>144</v>
      </c>
      <c r="E610" t="s">
        <v>5</v>
      </c>
      <c r="F610" t="s">
        <v>23</v>
      </c>
      <c r="G610">
        <v>14</v>
      </c>
      <c r="H610" t="s">
        <v>127</v>
      </c>
      <c r="I610">
        <v>1</v>
      </c>
      <c r="J610">
        <v>1</v>
      </c>
      <c r="K610" t="s">
        <v>122</v>
      </c>
      <c r="L610" t="s">
        <v>119</v>
      </c>
      <c r="M610" t="s">
        <v>128</v>
      </c>
      <c r="N610" t="s">
        <v>107</v>
      </c>
      <c r="O610" t="s">
        <v>97</v>
      </c>
    </row>
    <row r="611" spans="1:15" x14ac:dyDescent="0.2">
      <c r="A611">
        <v>145</v>
      </c>
      <c r="B611">
        <v>146</v>
      </c>
      <c r="C611">
        <v>145</v>
      </c>
      <c r="D611">
        <v>144</v>
      </c>
      <c r="E611" t="s">
        <v>5</v>
      </c>
      <c r="F611" t="s">
        <v>23</v>
      </c>
      <c r="G611">
        <v>15</v>
      </c>
      <c r="H611" t="s">
        <v>129</v>
      </c>
      <c r="I611">
        <v>1</v>
      </c>
      <c r="J611">
        <v>1</v>
      </c>
      <c r="K611" t="s">
        <v>130</v>
      </c>
      <c r="L611" t="s">
        <v>131</v>
      </c>
      <c r="M611" t="s">
        <v>132</v>
      </c>
      <c r="N611" t="s">
        <v>107</v>
      </c>
      <c r="O611" t="s">
        <v>97</v>
      </c>
    </row>
    <row r="612" spans="1:15" x14ac:dyDescent="0.2">
      <c r="A612">
        <v>145</v>
      </c>
      <c r="B612">
        <v>146</v>
      </c>
      <c r="C612">
        <v>145</v>
      </c>
      <c r="D612">
        <v>144</v>
      </c>
      <c r="E612" t="s">
        <v>5</v>
      </c>
      <c r="F612" t="s">
        <v>23</v>
      </c>
      <c r="G612">
        <v>16</v>
      </c>
      <c r="H612" t="s">
        <v>133</v>
      </c>
      <c r="I612">
        <v>0</v>
      </c>
      <c r="J612">
        <v>0</v>
      </c>
      <c r="K612" t="e">
        <v>#N/A</v>
      </c>
      <c r="L612" t="e">
        <v>#N/A</v>
      </c>
      <c r="M612" t="e">
        <v>#N/A</v>
      </c>
      <c r="N612" t="e">
        <v>#N/A</v>
      </c>
      <c r="O612" t="s">
        <v>97</v>
      </c>
    </row>
    <row r="613" spans="1:15" x14ac:dyDescent="0.2">
      <c r="A613">
        <v>145</v>
      </c>
      <c r="B613">
        <v>146</v>
      </c>
      <c r="C613">
        <v>145</v>
      </c>
      <c r="D613">
        <v>144</v>
      </c>
      <c r="E613" t="s">
        <v>5</v>
      </c>
      <c r="F613" t="s">
        <v>23</v>
      </c>
      <c r="G613">
        <v>17</v>
      </c>
      <c r="H613" t="s">
        <v>134</v>
      </c>
      <c r="I613">
        <v>0.5</v>
      </c>
      <c r="J613">
        <v>1</v>
      </c>
      <c r="K613" t="s">
        <v>112</v>
      </c>
      <c r="L613" t="s">
        <v>135</v>
      </c>
      <c r="M613" t="s">
        <v>136</v>
      </c>
      <c r="N613" t="s">
        <v>107</v>
      </c>
      <c r="O613" t="s">
        <v>97</v>
      </c>
    </row>
    <row r="614" spans="1:15" x14ac:dyDescent="0.2">
      <c r="A614">
        <v>145</v>
      </c>
      <c r="B614">
        <v>146</v>
      </c>
      <c r="C614">
        <v>145</v>
      </c>
      <c r="D614">
        <v>144</v>
      </c>
      <c r="E614" t="s">
        <v>5</v>
      </c>
      <c r="F614" t="s">
        <v>23</v>
      </c>
      <c r="G614">
        <v>18</v>
      </c>
      <c r="H614" t="s">
        <v>137</v>
      </c>
      <c r="I614">
        <v>0</v>
      </c>
      <c r="J614">
        <v>1</v>
      </c>
      <c r="K614" t="s">
        <v>112</v>
      </c>
      <c r="L614" t="s">
        <v>138</v>
      </c>
      <c r="M614" t="s">
        <v>139</v>
      </c>
      <c r="N614" t="s">
        <v>107</v>
      </c>
      <c r="O614" t="s">
        <v>97</v>
      </c>
    </row>
    <row r="615" spans="1:15" x14ac:dyDescent="0.2">
      <c r="A615">
        <v>145</v>
      </c>
      <c r="B615">
        <v>146</v>
      </c>
      <c r="C615">
        <v>145</v>
      </c>
      <c r="D615">
        <v>144</v>
      </c>
      <c r="E615" t="s">
        <v>5</v>
      </c>
      <c r="F615" t="s">
        <v>23</v>
      </c>
      <c r="G615">
        <v>19</v>
      </c>
      <c r="H615" t="s">
        <v>140</v>
      </c>
      <c r="I615">
        <v>0.5</v>
      </c>
      <c r="J615">
        <v>1</v>
      </c>
      <c r="K615" t="s">
        <v>122</v>
      </c>
      <c r="L615" t="s">
        <v>141</v>
      </c>
      <c r="M615" t="s">
        <v>142</v>
      </c>
      <c r="N615" t="s">
        <v>107</v>
      </c>
      <c r="O615" t="s">
        <v>97</v>
      </c>
    </row>
    <row r="616" spans="1:15" x14ac:dyDescent="0.2">
      <c r="A616">
        <v>145</v>
      </c>
      <c r="B616">
        <v>146</v>
      </c>
      <c r="C616">
        <v>145</v>
      </c>
      <c r="D616">
        <v>144</v>
      </c>
      <c r="E616" t="s">
        <v>5</v>
      </c>
      <c r="F616" t="s">
        <v>23</v>
      </c>
      <c r="G616">
        <v>20</v>
      </c>
      <c r="H616" t="s">
        <v>143</v>
      </c>
      <c r="I616">
        <v>1</v>
      </c>
      <c r="J616">
        <v>1</v>
      </c>
      <c r="K616" t="s">
        <v>122</v>
      </c>
      <c r="L616" t="s">
        <v>144</v>
      </c>
      <c r="M616" t="s">
        <v>145</v>
      </c>
      <c r="N616" t="s">
        <v>107</v>
      </c>
      <c r="O616" t="s">
        <v>97</v>
      </c>
    </row>
    <row r="617" spans="1:15" x14ac:dyDescent="0.2">
      <c r="A617">
        <v>145</v>
      </c>
      <c r="B617">
        <v>146</v>
      </c>
      <c r="C617">
        <v>145</v>
      </c>
      <c r="D617">
        <v>144</v>
      </c>
      <c r="E617" t="s">
        <v>5</v>
      </c>
      <c r="F617" t="s">
        <v>23</v>
      </c>
      <c r="G617">
        <v>21</v>
      </c>
      <c r="H617" t="s">
        <v>146</v>
      </c>
      <c r="I617">
        <v>0.5</v>
      </c>
      <c r="J617">
        <v>1</v>
      </c>
      <c r="K617" t="s">
        <v>147</v>
      </c>
      <c r="L617" t="s">
        <v>148</v>
      </c>
      <c r="M617" t="s">
        <v>149</v>
      </c>
      <c r="N617" t="s">
        <v>96</v>
      </c>
      <c r="O617" t="s">
        <v>97</v>
      </c>
    </row>
    <row r="618" spans="1:15" x14ac:dyDescent="0.2">
      <c r="A618">
        <v>145</v>
      </c>
      <c r="B618">
        <v>146</v>
      </c>
      <c r="C618">
        <v>145</v>
      </c>
      <c r="D618">
        <v>144</v>
      </c>
      <c r="E618" t="s">
        <v>5</v>
      </c>
      <c r="F618" t="s">
        <v>23</v>
      </c>
      <c r="G618">
        <v>22</v>
      </c>
      <c r="H618" t="s">
        <v>150</v>
      </c>
      <c r="I618">
        <v>0</v>
      </c>
      <c r="J618">
        <v>1</v>
      </c>
      <c r="K618" t="s">
        <v>147</v>
      </c>
      <c r="L618" t="s">
        <v>151</v>
      </c>
      <c r="M618" t="s">
        <v>149</v>
      </c>
      <c r="N618" t="s">
        <v>107</v>
      </c>
      <c r="O618" t="s">
        <v>97</v>
      </c>
    </row>
    <row r="619" spans="1:15" x14ac:dyDescent="0.2">
      <c r="A619">
        <v>145</v>
      </c>
      <c r="B619">
        <v>146</v>
      </c>
      <c r="C619">
        <v>145</v>
      </c>
      <c r="D619">
        <v>144</v>
      </c>
      <c r="E619" t="s">
        <v>5</v>
      </c>
      <c r="F619" t="s">
        <v>23</v>
      </c>
      <c r="G619">
        <v>23</v>
      </c>
      <c r="H619" t="s">
        <v>152</v>
      </c>
      <c r="I619">
        <v>0</v>
      </c>
      <c r="J619">
        <v>0</v>
      </c>
      <c r="K619" t="s">
        <v>153</v>
      </c>
      <c r="L619" t="s">
        <v>154</v>
      </c>
      <c r="M619" t="s">
        <v>155</v>
      </c>
      <c r="N619" t="s">
        <v>107</v>
      </c>
      <c r="O619" t="s">
        <v>97</v>
      </c>
    </row>
    <row r="620" spans="1:15" x14ac:dyDescent="0.2">
      <c r="A620">
        <v>145</v>
      </c>
      <c r="B620">
        <v>146</v>
      </c>
      <c r="C620">
        <v>145</v>
      </c>
      <c r="D620">
        <v>144</v>
      </c>
      <c r="E620" t="s">
        <v>5</v>
      </c>
      <c r="F620" t="s">
        <v>23</v>
      </c>
      <c r="G620">
        <v>24</v>
      </c>
      <c r="H620" t="s">
        <v>156</v>
      </c>
      <c r="I620">
        <v>0</v>
      </c>
      <c r="J620">
        <v>0.5</v>
      </c>
      <c r="K620" t="s">
        <v>122</v>
      </c>
      <c r="L620" t="s">
        <v>157</v>
      </c>
      <c r="M620" t="s">
        <v>158</v>
      </c>
      <c r="N620" t="s">
        <v>107</v>
      </c>
      <c r="O620" t="s">
        <v>97</v>
      </c>
    </row>
    <row r="621" spans="1:15" x14ac:dyDescent="0.2">
      <c r="A621">
        <v>145</v>
      </c>
      <c r="B621">
        <v>146</v>
      </c>
      <c r="C621">
        <v>145</v>
      </c>
      <c r="D621">
        <v>144</v>
      </c>
      <c r="E621" t="s">
        <v>5</v>
      </c>
      <c r="F621" t="s">
        <v>23</v>
      </c>
      <c r="G621">
        <v>25</v>
      </c>
      <c r="H621" t="s">
        <v>156</v>
      </c>
      <c r="I621">
        <v>0</v>
      </c>
      <c r="J621">
        <v>0.5</v>
      </c>
      <c r="K621" t="s">
        <v>122</v>
      </c>
      <c r="L621" t="s">
        <v>157</v>
      </c>
      <c r="M621" t="s">
        <v>158</v>
      </c>
      <c r="N621" t="s">
        <v>107</v>
      </c>
      <c r="O621" t="s">
        <v>97</v>
      </c>
    </row>
    <row r="622" spans="1:15" x14ac:dyDescent="0.2">
      <c r="A622">
        <v>145</v>
      </c>
      <c r="B622">
        <v>146</v>
      </c>
      <c r="C622">
        <v>145</v>
      </c>
      <c r="D622">
        <v>144</v>
      </c>
      <c r="E622" t="s">
        <v>5</v>
      </c>
      <c r="F622" t="s">
        <v>23</v>
      </c>
      <c r="G622">
        <v>26</v>
      </c>
      <c r="H622" t="s">
        <v>152</v>
      </c>
      <c r="I622">
        <v>0</v>
      </c>
      <c r="J622">
        <v>0</v>
      </c>
      <c r="K622" t="s">
        <v>153</v>
      </c>
      <c r="L622" t="s">
        <v>154</v>
      </c>
      <c r="M622" t="s">
        <v>155</v>
      </c>
      <c r="N622" t="s">
        <v>107</v>
      </c>
      <c r="O622" t="s">
        <v>97</v>
      </c>
    </row>
    <row r="623" spans="1:15" x14ac:dyDescent="0.2">
      <c r="A623">
        <v>145</v>
      </c>
      <c r="B623">
        <v>146</v>
      </c>
      <c r="C623">
        <v>145</v>
      </c>
      <c r="D623">
        <v>144</v>
      </c>
      <c r="E623" t="s">
        <v>5</v>
      </c>
      <c r="F623" t="s">
        <v>23</v>
      </c>
      <c r="G623">
        <v>27</v>
      </c>
      <c r="H623" t="s">
        <v>159</v>
      </c>
      <c r="I623">
        <v>0.5</v>
      </c>
      <c r="J623">
        <v>0.5</v>
      </c>
      <c r="K623" t="s">
        <v>122</v>
      </c>
      <c r="L623" t="s">
        <v>160</v>
      </c>
      <c r="M623" t="s">
        <v>161</v>
      </c>
      <c r="N623" t="s">
        <v>107</v>
      </c>
      <c r="O623" t="s">
        <v>97</v>
      </c>
    </row>
    <row r="624" spans="1:15" x14ac:dyDescent="0.2">
      <c r="A624">
        <v>145</v>
      </c>
      <c r="B624">
        <v>146</v>
      </c>
      <c r="C624">
        <v>145</v>
      </c>
      <c r="D624">
        <v>144</v>
      </c>
      <c r="E624" t="s">
        <v>5</v>
      </c>
      <c r="F624" t="s">
        <v>23</v>
      </c>
      <c r="G624">
        <v>28</v>
      </c>
      <c r="H624" t="s">
        <v>159</v>
      </c>
      <c r="I624">
        <v>0</v>
      </c>
      <c r="J624">
        <v>0.5</v>
      </c>
      <c r="K624" t="s">
        <v>122</v>
      </c>
      <c r="L624" t="s">
        <v>160</v>
      </c>
      <c r="M624" t="s">
        <v>161</v>
      </c>
      <c r="N624" t="s">
        <v>107</v>
      </c>
      <c r="O624" t="s">
        <v>97</v>
      </c>
    </row>
    <row r="625" spans="1:15" x14ac:dyDescent="0.2">
      <c r="A625">
        <v>145</v>
      </c>
      <c r="B625">
        <v>146</v>
      </c>
      <c r="C625">
        <v>145</v>
      </c>
      <c r="D625">
        <v>144</v>
      </c>
      <c r="E625" t="s">
        <v>5</v>
      </c>
      <c r="F625" t="s">
        <v>23</v>
      </c>
      <c r="G625">
        <v>29</v>
      </c>
      <c r="H625" t="s">
        <v>152</v>
      </c>
      <c r="I625">
        <v>0</v>
      </c>
      <c r="J625">
        <v>0</v>
      </c>
      <c r="K625" t="s">
        <v>153</v>
      </c>
      <c r="L625" t="s">
        <v>154</v>
      </c>
      <c r="M625" t="s">
        <v>155</v>
      </c>
      <c r="N625" t="s">
        <v>107</v>
      </c>
      <c r="O625" t="s">
        <v>97</v>
      </c>
    </row>
    <row r="626" spans="1:15" x14ac:dyDescent="0.2">
      <c r="A626">
        <v>145</v>
      </c>
      <c r="B626">
        <v>146</v>
      </c>
      <c r="C626">
        <v>145</v>
      </c>
      <c r="D626">
        <v>144</v>
      </c>
      <c r="E626" t="s">
        <v>5</v>
      </c>
      <c r="F626" t="s">
        <v>23</v>
      </c>
      <c r="G626">
        <v>30</v>
      </c>
      <c r="H626" t="s">
        <v>162</v>
      </c>
      <c r="I626">
        <v>0</v>
      </c>
      <c r="J626" t="s">
        <v>196</v>
      </c>
      <c r="K626" t="s">
        <v>112</v>
      </c>
      <c r="L626" t="s">
        <v>163</v>
      </c>
      <c r="M626" t="s">
        <v>164</v>
      </c>
      <c r="N626" t="s">
        <v>107</v>
      </c>
      <c r="O626" t="s">
        <v>97</v>
      </c>
    </row>
    <row r="627" spans="1:15" x14ac:dyDescent="0.2">
      <c r="A627">
        <v>145</v>
      </c>
      <c r="B627">
        <v>146</v>
      </c>
      <c r="C627">
        <v>145</v>
      </c>
      <c r="D627">
        <v>144</v>
      </c>
      <c r="E627" t="s">
        <v>5</v>
      </c>
      <c r="F627" t="s">
        <v>23</v>
      </c>
      <c r="G627">
        <v>31</v>
      </c>
      <c r="H627" t="s">
        <v>162</v>
      </c>
      <c r="I627">
        <v>0</v>
      </c>
      <c r="J627">
        <v>0</v>
      </c>
      <c r="K627" t="s">
        <v>112</v>
      </c>
      <c r="L627" t="s">
        <v>163</v>
      </c>
      <c r="M627" t="s">
        <v>164</v>
      </c>
      <c r="N627" t="s">
        <v>107</v>
      </c>
      <c r="O627" t="s">
        <v>97</v>
      </c>
    </row>
    <row r="628" spans="1:15" x14ac:dyDescent="0.2">
      <c r="A628">
        <v>145</v>
      </c>
      <c r="B628">
        <v>146</v>
      </c>
      <c r="C628">
        <v>145</v>
      </c>
      <c r="D628">
        <v>144</v>
      </c>
      <c r="E628" t="s">
        <v>5</v>
      </c>
      <c r="F628" t="s">
        <v>23</v>
      </c>
      <c r="G628">
        <v>32</v>
      </c>
      <c r="H628" t="s">
        <v>162</v>
      </c>
      <c r="I628">
        <v>0</v>
      </c>
      <c r="J628">
        <v>0</v>
      </c>
      <c r="K628" t="s">
        <v>112</v>
      </c>
      <c r="L628" t="s">
        <v>163</v>
      </c>
      <c r="M628" t="s">
        <v>164</v>
      </c>
      <c r="N628" t="s">
        <v>107</v>
      </c>
      <c r="O628" t="s">
        <v>97</v>
      </c>
    </row>
    <row r="629" spans="1:15" x14ac:dyDescent="0.2">
      <c r="A629">
        <v>145</v>
      </c>
      <c r="B629">
        <v>146</v>
      </c>
      <c r="C629">
        <v>145</v>
      </c>
      <c r="D629">
        <v>144</v>
      </c>
      <c r="E629" t="s">
        <v>5</v>
      </c>
      <c r="F629" t="s">
        <v>23</v>
      </c>
      <c r="G629">
        <v>33</v>
      </c>
      <c r="H629" t="s">
        <v>152</v>
      </c>
      <c r="I629">
        <v>0</v>
      </c>
      <c r="J629">
        <v>1</v>
      </c>
      <c r="K629" t="s">
        <v>153</v>
      </c>
      <c r="L629" t="s">
        <v>154</v>
      </c>
      <c r="M629" t="s">
        <v>155</v>
      </c>
      <c r="N629" t="s">
        <v>107</v>
      </c>
      <c r="O629" t="s">
        <v>97</v>
      </c>
    </row>
    <row r="630" spans="1:15" x14ac:dyDescent="0.2">
      <c r="A630">
        <v>145</v>
      </c>
      <c r="B630">
        <v>146</v>
      </c>
      <c r="C630">
        <v>145</v>
      </c>
      <c r="D630">
        <v>144</v>
      </c>
      <c r="E630" t="s">
        <v>5</v>
      </c>
      <c r="F630" t="s">
        <v>23</v>
      </c>
      <c r="G630">
        <v>34</v>
      </c>
      <c r="H630" t="s">
        <v>152</v>
      </c>
      <c r="I630">
        <v>0</v>
      </c>
      <c r="J630">
        <v>0</v>
      </c>
      <c r="K630" t="s">
        <v>153</v>
      </c>
      <c r="L630" t="s">
        <v>154</v>
      </c>
      <c r="M630" t="s">
        <v>155</v>
      </c>
      <c r="N630" t="s">
        <v>107</v>
      </c>
      <c r="O630" t="s">
        <v>97</v>
      </c>
    </row>
    <row r="631" spans="1:15" x14ac:dyDescent="0.2">
      <c r="A631">
        <v>145</v>
      </c>
      <c r="B631">
        <v>146</v>
      </c>
      <c r="C631">
        <v>145</v>
      </c>
      <c r="D631">
        <v>144</v>
      </c>
      <c r="E631" t="s">
        <v>5</v>
      </c>
      <c r="F631" t="s">
        <v>23</v>
      </c>
      <c r="G631">
        <v>35</v>
      </c>
      <c r="H631" t="s">
        <v>165</v>
      </c>
      <c r="I631">
        <v>0</v>
      </c>
      <c r="J631">
        <v>1</v>
      </c>
      <c r="K631" t="s">
        <v>166</v>
      </c>
      <c r="L631" t="s">
        <v>167</v>
      </c>
      <c r="M631" t="s">
        <v>168</v>
      </c>
      <c r="N631" t="s">
        <v>107</v>
      </c>
      <c r="O631" t="s">
        <v>97</v>
      </c>
    </row>
    <row r="632" spans="1:15" x14ac:dyDescent="0.2">
      <c r="A632">
        <v>145</v>
      </c>
      <c r="B632">
        <v>146</v>
      </c>
      <c r="C632">
        <v>145</v>
      </c>
      <c r="D632">
        <v>144</v>
      </c>
      <c r="E632" t="s">
        <v>5</v>
      </c>
      <c r="F632" t="s">
        <v>23</v>
      </c>
      <c r="G632">
        <v>36</v>
      </c>
      <c r="H632" t="s">
        <v>169</v>
      </c>
      <c r="I632">
        <v>0</v>
      </c>
      <c r="J632">
        <v>0</v>
      </c>
      <c r="K632" t="e">
        <v>#N/A</v>
      </c>
      <c r="L632" t="e">
        <v>#N/A</v>
      </c>
      <c r="M632" t="e">
        <v>#N/A</v>
      </c>
      <c r="N632" t="e">
        <v>#N/A</v>
      </c>
      <c r="O632" t="s">
        <v>97</v>
      </c>
    </row>
    <row r="633" spans="1:15" x14ac:dyDescent="0.2">
      <c r="A633">
        <v>145</v>
      </c>
      <c r="B633">
        <v>146</v>
      </c>
      <c r="C633">
        <v>145</v>
      </c>
      <c r="D633">
        <v>144</v>
      </c>
      <c r="E633" t="s">
        <v>5</v>
      </c>
      <c r="F633" t="s">
        <v>23</v>
      </c>
      <c r="G633">
        <v>38</v>
      </c>
      <c r="H633" t="s">
        <v>170</v>
      </c>
      <c r="I633">
        <v>0</v>
      </c>
      <c r="J633">
        <v>0.5</v>
      </c>
      <c r="K633" t="s">
        <v>112</v>
      </c>
      <c r="L633" t="s">
        <v>171</v>
      </c>
      <c r="M633" t="s">
        <v>172</v>
      </c>
      <c r="N633" t="s">
        <v>96</v>
      </c>
      <c r="O633" t="s">
        <v>97</v>
      </c>
    </row>
    <row r="634" spans="1:15" x14ac:dyDescent="0.2">
      <c r="A634">
        <v>145</v>
      </c>
      <c r="B634">
        <v>146</v>
      </c>
      <c r="C634">
        <v>145</v>
      </c>
      <c r="D634">
        <v>144</v>
      </c>
      <c r="E634" t="s">
        <v>5</v>
      </c>
      <c r="F634" t="s">
        <v>23</v>
      </c>
      <c r="G634">
        <v>39</v>
      </c>
      <c r="H634" t="s">
        <v>170</v>
      </c>
      <c r="I634">
        <v>0</v>
      </c>
      <c r="J634">
        <v>0.5</v>
      </c>
      <c r="K634" t="s">
        <v>112</v>
      </c>
      <c r="L634" t="s">
        <v>171</v>
      </c>
      <c r="M634" t="s">
        <v>172</v>
      </c>
      <c r="N634" t="s">
        <v>96</v>
      </c>
      <c r="O634" t="s">
        <v>97</v>
      </c>
    </row>
    <row r="635" spans="1:15" x14ac:dyDescent="0.2">
      <c r="A635">
        <v>145</v>
      </c>
      <c r="B635">
        <v>146</v>
      </c>
      <c r="C635">
        <v>145</v>
      </c>
      <c r="D635">
        <v>144</v>
      </c>
      <c r="E635" t="s">
        <v>5</v>
      </c>
      <c r="F635" t="s">
        <v>23</v>
      </c>
      <c r="G635">
        <v>40</v>
      </c>
      <c r="H635" t="s">
        <v>170</v>
      </c>
      <c r="I635">
        <v>0</v>
      </c>
      <c r="J635">
        <v>0.5</v>
      </c>
      <c r="K635" t="s">
        <v>112</v>
      </c>
      <c r="L635" t="s">
        <v>171</v>
      </c>
      <c r="M635" t="s">
        <v>172</v>
      </c>
      <c r="N635" t="s">
        <v>96</v>
      </c>
      <c r="O635" t="s">
        <v>97</v>
      </c>
    </row>
    <row r="636" spans="1:15" x14ac:dyDescent="0.2">
      <c r="A636">
        <v>145</v>
      </c>
      <c r="B636">
        <v>146</v>
      </c>
      <c r="C636">
        <v>145</v>
      </c>
      <c r="D636">
        <v>144</v>
      </c>
      <c r="E636" t="s">
        <v>5</v>
      </c>
      <c r="F636" t="s">
        <v>23</v>
      </c>
      <c r="G636">
        <v>41</v>
      </c>
      <c r="H636" t="s">
        <v>173</v>
      </c>
      <c r="I636">
        <v>0</v>
      </c>
      <c r="J636">
        <v>0</v>
      </c>
      <c r="K636" t="s">
        <v>166</v>
      </c>
      <c r="L636" t="s">
        <v>174</v>
      </c>
      <c r="M636" t="s">
        <v>175</v>
      </c>
      <c r="N636" t="s">
        <v>107</v>
      </c>
      <c r="O636" t="s">
        <v>97</v>
      </c>
    </row>
    <row r="637" spans="1:15" x14ac:dyDescent="0.2">
      <c r="A637">
        <v>145</v>
      </c>
      <c r="B637">
        <v>146</v>
      </c>
      <c r="C637">
        <v>145</v>
      </c>
      <c r="D637">
        <v>144</v>
      </c>
      <c r="E637" t="s">
        <v>5</v>
      </c>
      <c r="F637" t="s">
        <v>23</v>
      </c>
      <c r="G637">
        <v>42</v>
      </c>
      <c r="H637" t="s">
        <v>176</v>
      </c>
      <c r="I637">
        <v>0</v>
      </c>
      <c r="J637" t="s">
        <v>198</v>
      </c>
      <c r="K637" t="s">
        <v>153</v>
      </c>
      <c r="L637" t="s">
        <v>177</v>
      </c>
      <c r="M637" t="s">
        <v>178</v>
      </c>
      <c r="N637" t="s">
        <v>107</v>
      </c>
      <c r="O637" t="s">
        <v>97</v>
      </c>
    </row>
    <row r="638" spans="1:15" x14ac:dyDescent="0.2">
      <c r="A638">
        <v>145</v>
      </c>
      <c r="B638">
        <v>146</v>
      </c>
      <c r="C638">
        <v>145</v>
      </c>
      <c r="D638">
        <v>144</v>
      </c>
      <c r="E638" t="s">
        <v>5</v>
      </c>
      <c r="F638" t="s">
        <v>23</v>
      </c>
      <c r="G638">
        <v>43</v>
      </c>
      <c r="H638" t="s">
        <v>179</v>
      </c>
      <c r="I638">
        <v>0</v>
      </c>
      <c r="J638">
        <v>0</v>
      </c>
      <c r="K638" t="s">
        <v>166</v>
      </c>
      <c r="L638" t="s">
        <v>180</v>
      </c>
      <c r="M638" t="s">
        <v>181</v>
      </c>
      <c r="N638" t="s">
        <v>107</v>
      </c>
      <c r="O638" t="s">
        <v>97</v>
      </c>
    </row>
    <row r="639" spans="1:15" x14ac:dyDescent="0.2">
      <c r="A639">
        <v>145</v>
      </c>
      <c r="B639">
        <v>146</v>
      </c>
      <c r="C639">
        <v>145</v>
      </c>
      <c r="D639">
        <v>144</v>
      </c>
      <c r="E639" t="s">
        <v>5</v>
      </c>
      <c r="F639" t="s">
        <v>23</v>
      </c>
      <c r="G639">
        <v>44</v>
      </c>
      <c r="H639" t="s">
        <v>182</v>
      </c>
      <c r="I639">
        <v>0</v>
      </c>
      <c r="J639">
        <v>1</v>
      </c>
      <c r="K639" t="s">
        <v>166</v>
      </c>
      <c r="L639" t="s">
        <v>183</v>
      </c>
      <c r="M639" t="s">
        <v>184</v>
      </c>
      <c r="N639" t="s">
        <v>107</v>
      </c>
      <c r="O639" t="s">
        <v>97</v>
      </c>
    </row>
    <row r="640" spans="1:15" x14ac:dyDescent="0.2">
      <c r="A640">
        <v>145</v>
      </c>
      <c r="B640">
        <v>146</v>
      </c>
      <c r="C640">
        <v>145</v>
      </c>
      <c r="D640">
        <v>144</v>
      </c>
      <c r="E640" t="s">
        <v>5</v>
      </c>
      <c r="F640" t="s">
        <v>23</v>
      </c>
      <c r="G640">
        <v>45</v>
      </c>
      <c r="H640" t="s">
        <v>185</v>
      </c>
      <c r="I640">
        <v>0</v>
      </c>
      <c r="J640">
        <v>1</v>
      </c>
      <c r="K640" t="s">
        <v>166</v>
      </c>
      <c r="L640" t="s">
        <v>186</v>
      </c>
      <c r="M640" t="s">
        <v>139</v>
      </c>
      <c r="N640" t="s">
        <v>107</v>
      </c>
      <c r="O640" t="s">
        <v>97</v>
      </c>
    </row>
    <row r="641" spans="1:15" x14ac:dyDescent="0.2">
      <c r="A641">
        <v>145</v>
      </c>
      <c r="B641">
        <v>146</v>
      </c>
      <c r="C641">
        <v>145</v>
      </c>
      <c r="D641">
        <v>144</v>
      </c>
      <c r="E641" t="s">
        <v>5</v>
      </c>
      <c r="F641" t="s">
        <v>23</v>
      </c>
      <c r="G641">
        <v>47</v>
      </c>
      <c r="H641" t="s">
        <v>187</v>
      </c>
      <c r="I641">
        <v>0</v>
      </c>
      <c r="J641">
        <v>0.2</v>
      </c>
      <c r="K641" t="s">
        <v>93</v>
      </c>
      <c r="L641" t="s">
        <v>188</v>
      </c>
      <c r="M641" t="s">
        <v>95</v>
      </c>
      <c r="N641" t="s">
        <v>96</v>
      </c>
      <c r="O641" t="s">
        <v>97</v>
      </c>
    </row>
    <row r="642" spans="1:15" x14ac:dyDescent="0.2">
      <c r="A642">
        <v>145</v>
      </c>
      <c r="B642">
        <v>146</v>
      </c>
      <c r="C642">
        <v>145</v>
      </c>
      <c r="D642">
        <v>144</v>
      </c>
      <c r="E642" t="s">
        <v>5</v>
      </c>
      <c r="F642" t="s">
        <v>23</v>
      </c>
      <c r="G642">
        <v>48</v>
      </c>
      <c r="H642" t="s">
        <v>189</v>
      </c>
      <c r="I642">
        <v>0</v>
      </c>
      <c r="J642">
        <v>0.2</v>
      </c>
      <c r="K642" t="s">
        <v>93</v>
      </c>
      <c r="L642" t="s">
        <v>190</v>
      </c>
      <c r="M642" t="s">
        <v>95</v>
      </c>
      <c r="N642" t="s">
        <v>96</v>
      </c>
      <c r="O642" t="s">
        <v>97</v>
      </c>
    </row>
    <row r="643" spans="1:15" x14ac:dyDescent="0.2">
      <c r="A643">
        <v>145</v>
      </c>
      <c r="B643">
        <v>146</v>
      </c>
      <c r="C643">
        <v>145</v>
      </c>
      <c r="D643">
        <v>144</v>
      </c>
      <c r="E643" t="s">
        <v>5</v>
      </c>
      <c r="F643" t="s">
        <v>23</v>
      </c>
      <c r="G643">
        <v>49</v>
      </c>
      <c r="H643" t="s">
        <v>191</v>
      </c>
      <c r="I643">
        <v>0.2</v>
      </c>
      <c r="J643">
        <v>0.2</v>
      </c>
      <c r="K643" t="s">
        <v>93</v>
      </c>
      <c r="L643" t="s">
        <v>192</v>
      </c>
      <c r="M643" t="s">
        <v>95</v>
      </c>
      <c r="N643" t="s">
        <v>96</v>
      </c>
      <c r="O643" t="s">
        <v>97</v>
      </c>
    </row>
    <row r="644" spans="1:15" x14ac:dyDescent="0.2">
      <c r="A644">
        <v>145</v>
      </c>
      <c r="B644">
        <v>146</v>
      </c>
      <c r="C644">
        <v>145</v>
      </c>
      <c r="D644">
        <v>144</v>
      </c>
      <c r="E644" t="s">
        <v>5</v>
      </c>
      <c r="F644" t="s">
        <v>23</v>
      </c>
      <c r="G644">
        <v>50</v>
      </c>
      <c r="H644" t="s">
        <v>193</v>
      </c>
      <c r="I644">
        <v>0.1</v>
      </c>
      <c r="J644">
        <v>0.1</v>
      </c>
      <c r="K644" t="s">
        <v>93</v>
      </c>
      <c r="L644" t="s">
        <v>194</v>
      </c>
      <c r="M644" t="s">
        <v>95</v>
      </c>
      <c r="N644" t="s">
        <v>96</v>
      </c>
      <c r="O644" t="s">
        <v>97</v>
      </c>
    </row>
    <row r="645" spans="1:15" x14ac:dyDescent="0.2">
      <c r="A645">
        <v>145</v>
      </c>
      <c r="B645">
        <v>146</v>
      </c>
      <c r="C645">
        <v>145</v>
      </c>
      <c r="D645">
        <v>144</v>
      </c>
      <c r="E645" t="s">
        <v>5</v>
      </c>
      <c r="F645" t="s">
        <v>23</v>
      </c>
      <c r="G645">
        <v>51</v>
      </c>
      <c r="H645" t="s">
        <v>193</v>
      </c>
      <c r="I645">
        <v>0.1</v>
      </c>
      <c r="J645">
        <v>0.1</v>
      </c>
      <c r="K645" t="s">
        <v>93</v>
      </c>
      <c r="L645" t="s">
        <v>194</v>
      </c>
      <c r="M645" t="s">
        <v>95</v>
      </c>
      <c r="N645" t="s">
        <v>96</v>
      </c>
      <c r="O645" t="s">
        <v>97</v>
      </c>
    </row>
    <row r="646" spans="1:15" x14ac:dyDescent="0.2">
      <c r="A646">
        <v>155</v>
      </c>
      <c r="B646">
        <v>156</v>
      </c>
      <c r="C646">
        <v>155</v>
      </c>
      <c r="D646">
        <v>154</v>
      </c>
      <c r="E646" t="s">
        <v>5</v>
      </c>
      <c r="F646" t="s">
        <v>25</v>
      </c>
      <c r="G646">
        <v>1</v>
      </c>
      <c r="H646" t="s">
        <v>92</v>
      </c>
      <c r="I646">
        <v>0.2</v>
      </c>
      <c r="J646">
        <v>0.2</v>
      </c>
      <c r="K646" t="s">
        <v>93</v>
      </c>
      <c r="L646" t="s">
        <v>94</v>
      </c>
      <c r="M646" t="s">
        <v>95</v>
      </c>
      <c r="N646" t="s">
        <v>96</v>
      </c>
      <c r="O646" t="s">
        <v>97</v>
      </c>
    </row>
    <row r="647" spans="1:15" x14ac:dyDescent="0.2">
      <c r="A647">
        <v>155</v>
      </c>
      <c r="B647">
        <v>156</v>
      </c>
      <c r="C647">
        <v>155</v>
      </c>
      <c r="D647">
        <v>154</v>
      </c>
      <c r="E647" t="s">
        <v>5</v>
      </c>
      <c r="F647" t="s">
        <v>25</v>
      </c>
      <c r="G647">
        <v>2</v>
      </c>
      <c r="H647" t="s">
        <v>98</v>
      </c>
      <c r="I647">
        <v>0.25</v>
      </c>
      <c r="J647">
        <v>0.5</v>
      </c>
      <c r="K647" t="s">
        <v>93</v>
      </c>
      <c r="L647" t="s">
        <v>99</v>
      </c>
      <c r="M647" t="s">
        <v>95</v>
      </c>
      <c r="N647" t="s">
        <v>96</v>
      </c>
      <c r="O647" t="s">
        <v>97</v>
      </c>
    </row>
    <row r="648" spans="1:15" x14ac:dyDescent="0.2">
      <c r="A648">
        <v>155</v>
      </c>
      <c r="B648">
        <v>156</v>
      </c>
      <c r="C648">
        <v>155</v>
      </c>
      <c r="D648">
        <v>154</v>
      </c>
      <c r="E648" t="s">
        <v>5</v>
      </c>
      <c r="F648" t="s">
        <v>25</v>
      </c>
      <c r="G648">
        <v>3</v>
      </c>
      <c r="H648" t="s">
        <v>100</v>
      </c>
      <c r="I648">
        <v>1</v>
      </c>
      <c r="J648">
        <v>1</v>
      </c>
      <c r="K648" t="s">
        <v>101</v>
      </c>
      <c r="L648" t="s">
        <v>102</v>
      </c>
      <c r="M648" t="s">
        <v>103</v>
      </c>
      <c r="N648" t="s">
        <v>96</v>
      </c>
      <c r="O648" t="s">
        <v>97</v>
      </c>
    </row>
    <row r="649" spans="1:15" x14ac:dyDescent="0.2">
      <c r="A649">
        <v>155</v>
      </c>
      <c r="B649">
        <v>156</v>
      </c>
      <c r="C649">
        <v>155</v>
      </c>
      <c r="D649">
        <v>154</v>
      </c>
      <c r="E649" t="s">
        <v>5</v>
      </c>
      <c r="F649" t="s">
        <v>25</v>
      </c>
      <c r="G649">
        <v>4</v>
      </c>
      <c r="H649" t="s">
        <v>104</v>
      </c>
      <c r="I649">
        <v>0.5</v>
      </c>
      <c r="J649">
        <v>1</v>
      </c>
      <c r="K649" t="s">
        <v>101</v>
      </c>
      <c r="L649" t="s">
        <v>105</v>
      </c>
      <c r="M649" t="s">
        <v>106</v>
      </c>
      <c r="N649" t="s">
        <v>107</v>
      </c>
      <c r="O649" t="s">
        <v>97</v>
      </c>
    </row>
    <row r="650" spans="1:15" x14ac:dyDescent="0.2">
      <c r="A650">
        <v>155</v>
      </c>
      <c r="B650">
        <v>156</v>
      </c>
      <c r="C650">
        <v>155</v>
      </c>
      <c r="D650">
        <v>154</v>
      </c>
      <c r="E650" t="s">
        <v>5</v>
      </c>
      <c r="F650" t="s">
        <v>25</v>
      </c>
      <c r="G650">
        <v>5</v>
      </c>
      <c r="H650" t="s">
        <v>108</v>
      </c>
      <c r="I650">
        <v>0</v>
      </c>
      <c r="J650">
        <v>1</v>
      </c>
      <c r="K650" t="s">
        <v>101</v>
      </c>
      <c r="L650" t="s">
        <v>109</v>
      </c>
      <c r="M650" t="s">
        <v>110</v>
      </c>
      <c r="N650" t="s">
        <v>107</v>
      </c>
      <c r="O650" t="s">
        <v>97</v>
      </c>
    </row>
    <row r="651" spans="1:15" x14ac:dyDescent="0.2">
      <c r="A651">
        <v>155</v>
      </c>
      <c r="B651">
        <v>156</v>
      </c>
      <c r="C651">
        <v>155</v>
      </c>
      <c r="D651">
        <v>154</v>
      </c>
      <c r="E651" t="s">
        <v>5</v>
      </c>
      <c r="F651" t="s">
        <v>25</v>
      </c>
      <c r="G651">
        <v>9</v>
      </c>
      <c r="H651" t="s">
        <v>111</v>
      </c>
      <c r="I651">
        <v>0.5</v>
      </c>
      <c r="J651">
        <v>0.5</v>
      </c>
      <c r="K651" t="s">
        <v>112</v>
      </c>
      <c r="L651" t="s">
        <v>113</v>
      </c>
      <c r="M651" t="s">
        <v>114</v>
      </c>
      <c r="N651" t="s">
        <v>96</v>
      </c>
      <c r="O651" t="s">
        <v>97</v>
      </c>
    </row>
    <row r="652" spans="1:15" x14ac:dyDescent="0.2">
      <c r="A652">
        <v>155</v>
      </c>
      <c r="B652">
        <v>156</v>
      </c>
      <c r="C652">
        <v>155</v>
      </c>
      <c r="D652">
        <v>154</v>
      </c>
      <c r="E652" t="s">
        <v>5</v>
      </c>
      <c r="F652" t="s">
        <v>25</v>
      </c>
      <c r="G652">
        <v>10</v>
      </c>
      <c r="H652" t="s">
        <v>115</v>
      </c>
      <c r="I652">
        <v>0</v>
      </c>
      <c r="J652">
        <v>0.5</v>
      </c>
      <c r="K652" t="s">
        <v>112</v>
      </c>
      <c r="L652" t="s">
        <v>116</v>
      </c>
      <c r="M652" t="s">
        <v>117</v>
      </c>
      <c r="N652" t="s">
        <v>96</v>
      </c>
      <c r="O652" t="s">
        <v>97</v>
      </c>
    </row>
    <row r="653" spans="1:15" x14ac:dyDescent="0.2">
      <c r="A653">
        <v>155</v>
      </c>
      <c r="B653">
        <v>156</v>
      </c>
      <c r="C653">
        <v>155</v>
      </c>
      <c r="D653">
        <v>154</v>
      </c>
      <c r="E653" t="s">
        <v>5</v>
      </c>
      <c r="F653" t="s">
        <v>25</v>
      </c>
      <c r="G653">
        <v>11</v>
      </c>
      <c r="H653" t="s">
        <v>118</v>
      </c>
      <c r="I653">
        <v>1</v>
      </c>
      <c r="J653">
        <v>1</v>
      </c>
      <c r="K653" t="s">
        <v>112</v>
      </c>
      <c r="L653" t="s">
        <v>119</v>
      </c>
      <c r="M653" t="s">
        <v>120</v>
      </c>
      <c r="N653" t="s">
        <v>107</v>
      </c>
      <c r="O653" t="s">
        <v>97</v>
      </c>
    </row>
    <row r="654" spans="1:15" x14ac:dyDescent="0.2">
      <c r="A654">
        <v>155</v>
      </c>
      <c r="B654">
        <v>156</v>
      </c>
      <c r="C654">
        <v>155</v>
      </c>
      <c r="D654">
        <v>154</v>
      </c>
      <c r="E654" t="s">
        <v>5</v>
      </c>
      <c r="F654" t="s">
        <v>25</v>
      </c>
      <c r="G654">
        <v>12</v>
      </c>
      <c r="H654" t="s">
        <v>121</v>
      </c>
      <c r="I654">
        <v>0.5</v>
      </c>
      <c r="J654">
        <v>0.5</v>
      </c>
      <c r="K654" t="s">
        <v>122</v>
      </c>
      <c r="L654" t="s">
        <v>113</v>
      </c>
      <c r="M654" t="s">
        <v>123</v>
      </c>
      <c r="N654" t="s">
        <v>96</v>
      </c>
      <c r="O654" t="s">
        <v>97</v>
      </c>
    </row>
    <row r="655" spans="1:15" x14ac:dyDescent="0.2">
      <c r="A655">
        <v>155</v>
      </c>
      <c r="B655">
        <v>156</v>
      </c>
      <c r="C655">
        <v>155</v>
      </c>
      <c r="D655">
        <v>154</v>
      </c>
      <c r="E655" t="s">
        <v>5</v>
      </c>
      <c r="F655" t="s">
        <v>25</v>
      </c>
      <c r="G655">
        <v>13</v>
      </c>
      <c r="H655" t="s">
        <v>124</v>
      </c>
      <c r="I655">
        <v>0</v>
      </c>
      <c r="J655">
        <v>0.5</v>
      </c>
      <c r="K655" t="s">
        <v>122</v>
      </c>
      <c r="L655" t="s">
        <v>125</v>
      </c>
      <c r="M655" t="s">
        <v>126</v>
      </c>
      <c r="N655" t="s">
        <v>96</v>
      </c>
      <c r="O655" t="s">
        <v>97</v>
      </c>
    </row>
    <row r="656" spans="1:15" x14ac:dyDescent="0.2">
      <c r="A656">
        <v>155</v>
      </c>
      <c r="B656">
        <v>156</v>
      </c>
      <c r="C656">
        <v>155</v>
      </c>
      <c r="D656">
        <v>154</v>
      </c>
      <c r="E656" t="s">
        <v>5</v>
      </c>
      <c r="F656" t="s">
        <v>25</v>
      </c>
      <c r="G656">
        <v>14</v>
      </c>
      <c r="H656" t="s">
        <v>127</v>
      </c>
      <c r="I656">
        <v>1</v>
      </c>
      <c r="J656">
        <v>1</v>
      </c>
      <c r="K656" t="s">
        <v>122</v>
      </c>
      <c r="L656" t="s">
        <v>119</v>
      </c>
      <c r="M656" t="s">
        <v>128</v>
      </c>
      <c r="N656" t="s">
        <v>107</v>
      </c>
      <c r="O656" t="s">
        <v>97</v>
      </c>
    </row>
    <row r="657" spans="1:15" x14ac:dyDescent="0.2">
      <c r="A657">
        <v>155</v>
      </c>
      <c r="B657">
        <v>156</v>
      </c>
      <c r="C657">
        <v>155</v>
      </c>
      <c r="D657">
        <v>154</v>
      </c>
      <c r="E657" t="s">
        <v>5</v>
      </c>
      <c r="F657" t="s">
        <v>25</v>
      </c>
      <c r="G657">
        <v>15</v>
      </c>
      <c r="H657" t="s">
        <v>129</v>
      </c>
      <c r="I657">
        <v>1</v>
      </c>
      <c r="J657">
        <v>1</v>
      </c>
      <c r="K657" t="s">
        <v>130</v>
      </c>
      <c r="L657" t="s">
        <v>131</v>
      </c>
      <c r="M657" t="s">
        <v>132</v>
      </c>
      <c r="N657" t="s">
        <v>107</v>
      </c>
      <c r="O657" t="s">
        <v>97</v>
      </c>
    </row>
    <row r="658" spans="1:15" x14ac:dyDescent="0.2">
      <c r="A658">
        <v>155</v>
      </c>
      <c r="B658">
        <v>156</v>
      </c>
      <c r="C658">
        <v>155</v>
      </c>
      <c r="D658">
        <v>154</v>
      </c>
      <c r="E658" t="s">
        <v>5</v>
      </c>
      <c r="F658" t="s">
        <v>25</v>
      </c>
      <c r="G658">
        <v>16</v>
      </c>
      <c r="H658" t="s">
        <v>133</v>
      </c>
      <c r="I658">
        <v>0</v>
      </c>
      <c r="J658">
        <v>0</v>
      </c>
      <c r="K658" t="e">
        <v>#N/A</v>
      </c>
      <c r="L658" t="e">
        <v>#N/A</v>
      </c>
      <c r="M658" t="e">
        <v>#N/A</v>
      </c>
      <c r="N658" t="e">
        <v>#N/A</v>
      </c>
      <c r="O658" t="s">
        <v>97</v>
      </c>
    </row>
    <row r="659" spans="1:15" x14ac:dyDescent="0.2">
      <c r="A659">
        <v>155</v>
      </c>
      <c r="B659">
        <v>156</v>
      </c>
      <c r="C659">
        <v>155</v>
      </c>
      <c r="D659">
        <v>154</v>
      </c>
      <c r="E659" t="s">
        <v>5</v>
      </c>
      <c r="F659" t="s">
        <v>25</v>
      </c>
      <c r="G659">
        <v>17</v>
      </c>
      <c r="H659" t="s">
        <v>134</v>
      </c>
      <c r="I659">
        <v>1</v>
      </c>
      <c r="J659">
        <v>1</v>
      </c>
      <c r="K659" t="s">
        <v>112</v>
      </c>
      <c r="L659" t="s">
        <v>135</v>
      </c>
      <c r="M659" t="s">
        <v>136</v>
      </c>
      <c r="N659" t="s">
        <v>107</v>
      </c>
      <c r="O659" t="s">
        <v>97</v>
      </c>
    </row>
    <row r="660" spans="1:15" x14ac:dyDescent="0.2">
      <c r="A660">
        <v>155</v>
      </c>
      <c r="B660">
        <v>156</v>
      </c>
      <c r="C660">
        <v>155</v>
      </c>
      <c r="D660">
        <v>154</v>
      </c>
      <c r="E660" t="s">
        <v>5</v>
      </c>
      <c r="F660" t="s">
        <v>25</v>
      </c>
      <c r="G660">
        <v>18</v>
      </c>
      <c r="H660" t="s">
        <v>137</v>
      </c>
      <c r="I660">
        <v>1</v>
      </c>
      <c r="J660">
        <v>1</v>
      </c>
      <c r="K660" t="s">
        <v>112</v>
      </c>
      <c r="L660" t="s">
        <v>138</v>
      </c>
      <c r="M660" t="s">
        <v>139</v>
      </c>
      <c r="N660" t="s">
        <v>107</v>
      </c>
      <c r="O660" t="s">
        <v>97</v>
      </c>
    </row>
    <row r="661" spans="1:15" x14ac:dyDescent="0.2">
      <c r="A661">
        <v>155</v>
      </c>
      <c r="B661">
        <v>156</v>
      </c>
      <c r="C661">
        <v>155</v>
      </c>
      <c r="D661">
        <v>154</v>
      </c>
      <c r="E661" t="s">
        <v>5</v>
      </c>
      <c r="F661" t="s">
        <v>25</v>
      </c>
      <c r="G661">
        <v>19</v>
      </c>
      <c r="H661" t="s">
        <v>140</v>
      </c>
      <c r="I661">
        <v>1</v>
      </c>
      <c r="J661">
        <v>1</v>
      </c>
      <c r="K661" t="s">
        <v>122</v>
      </c>
      <c r="L661" t="s">
        <v>141</v>
      </c>
      <c r="M661" t="s">
        <v>142</v>
      </c>
      <c r="N661" t="s">
        <v>107</v>
      </c>
      <c r="O661" t="s">
        <v>97</v>
      </c>
    </row>
    <row r="662" spans="1:15" x14ac:dyDescent="0.2">
      <c r="A662">
        <v>155</v>
      </c>
      <c r="B662">
        <v>156</v>
      </c>
      <c r="C662">
        <v>155</v>
      </c>
      <c r="D662">
        <v>154</v>
      </c>
      <c r="E662" t="s">
        <v>5</v>
      </c>
      <c r="F662" t="s">
        <v>25</v>
      </c>
      <c r="G662">
        <v>20</v>
      </c>
      <c r="H662" t="s">
        <v>143</v>
      </c>
      <c r="I662">
        <v>1</v>
      </c>
      <c r="J662">
        <v>1</v>
      </c>
      <c r="K662" t="s">
        <v>122</v>
      </c>
      <c r="L662" t="s">
        <v>144</v>
      </c>
      <c r="M662" t="s">
        <v>145</v>
      </c>
      <c r="N662" t="s">
        <v>107</v>
      </c>
      <c r="O662" t="s">
        <v>97</v>
      </c>
    </row>
    <row r="663" spans="1:15" x14ac:dyDescent="0.2">
      <c r="A663">
        <v>155</v>
      </c>
      <c r="B663">
        <v>156</v>
      </c>
      <c r="C663">
        <v>155</v>
      </c>
      <c r="D663">
        <v>154</v>
      </c>
      <c r="E663" t="s">
        <v>5</v>
      </c>
      <c r="F663" t="s">
        <v>25</v>
      </c>
      <c r="G663">
        <v>21</v>
      </c>
      <c r="H663" t="s">
        <v>146</v>
      </c>
      <c r="I663">
        <v>0.5</v>
      </c>
      <c r="J663">
        <v>1</v>
      </c>
      <c r="K663" t="s">
        <v>147</v>
      </c>
      <c r="L663" t="s">
        <v>148</v>
      </c>
      <c r="M663" t="s">
        <v>149</v>
      </c>
      <c r="N663" t="s">
        <v>96</v>
      </c>
      <c r="O663" t="s">
        <v>97</v>
      </c>
    </row>
    <row r="664" spans="1:15" x14ac:dyDescent="0.2">
      <c r="A664">
        <v>155</v>
      </c>
      <c r="B664">
        <v>156</v>
      </c>
      <c r="C664">
        <v>155</v>
      </c>
      <c r="D664">
        <v>154</v>
      </c>
      <c r="E664" t="s">
        <v>5</v>
      </c>
      <c r="F664" t="s">
        <v>25</v>
      </c>
      <c r="G664">
        <v>22</v>
      </c>
      <c r="H664" t="s">
        <v>150</v>
      </c>
      <c r="I664">
        <v>0.5</v>
      </c>
      <c r="J664">
        <v>1</v>
      </c>
      <c r="K664" t="s">
        <v>147</v>
      </c>
      <c r="L664" t="s">
        <v>151</v>
      </c>
      <c r="M664" t="s">
        <v>149</v>
      </c>
      <c r="N664" t="s">
        <v>107</v>
      </c>
      <c r="O664" t="s">
        <v>97</v>
      </c>
    </row>
    <row r="665" spans="1:15" x14ac:dyDescent="0.2">
      <c r="A665">
        <v>155</v>
      </c>
      <c r="B665">
        <v>156</v>
      </c>
      <c r="C665">
        <v>155</v>
      </c>
      <c r="D665">
        <v>154</v>
      </c>
      <c r="E665" t="s">
        <v>5</v>
      </c>
      <c r="F665" t="s">
        <v>25</v>
      </c>
      <c r="G665">
        <v>23</v>
      </c>
      <c r="H665" t="s">
        <v>152</v>
      </c>
      <c r="I665">
        <v>0</v>
      </c>
      <c r="J665">
        <v>0</v>
      </c>
      <c r="K665" t="s">
        <v>153</v>
      </c>
      <c r="L665" t="s">
        <v>154</v>
      </c>
      <c r="M665" t="s">
        <v>155</v>
      </c>
      <c r="N665" t="s">
        <v>107</v>
      </c>
      <c r="O665" t="s">
        <v>97</v>
      </c>
    </row>
    <row r="666" spans="1:15" x14ac:dyDescent="0.2">
      <c r="A666">
        <v>155</v>
      </c>
      <c r="B666">
        <v>156</v>
      </c>
      <c r="C666">
        <v>155</v>
      </c>
      <c r="D666">
        <v>154</v>
      </c>
      <c r="E666" t="s">
        <v>5</v>
      </c>
      <c r="F666" t="s">
        <v>25</v>
      </c>
      <c r="G666">
        <v>24</v>
      </c>
      <c r="H666" t="s">
        <v>156</v>
      </c>
      <c r="I666">
        <v>0.5</v>
      </c>
      <c r="J666">
        <v>0.5</v>
      </c>
      <c r="K666" t="s">
        <v>122</v>
      </c>
      <c r="L666" t="s">
        <v>157</v>
      </c>
      <c r="M666" t="s">
        <v>158</v>
      </c>
      <c r="N666" t="s">
        <v>107</v>
      </c>
      <c r="O666" t="s">
        <v>97</v>
      </c>
    </row>
    <row r="667" spans="1:15" x14ac:dyDescent="0.2">
      <c r="A667">
        <v>155</v>
      </c>
      <c r="B667">
        <v>156</v>
      </c>
      <c r="C667">
        <v>155</v>
      </c>
      <c r="D667">
        <v>154</v>
      </c>
      <c r="E667" t="s">
        <v>5</v>
      </c>
      <c r="F667" t="s">
        <v>25</v>
      </c>
      <c r="G667">
        <v>25</v>
      </c>
      <c r="H667" t="s">
        <v>156</v>
      </c>
      <c r="I667">
        <v>0.5</v>
      </c>
      <c r="J667">
        <v>0.5</v>
      </c>
      <c r="K667" t="s">
        <v>122</v>
      </c>
      <c r="L667" t="s">
        <v>157</v>
      </c>
      <c r="M667" t="s">
        <v>158</v>
      </c>
      <c r="N667" t="s">
        <v>107</v>
      </c>
      <c r="O667" t="s">
        <v>97</v>
      </c>
    </row>
    <row r="668" spans="1:15" x14ac:dyDescent="0.2">
      <c r="A668">
        <v>155</v>
      </c>
      <c r="B668">
        <v>156</v>
      </c>
      <c r="C668">
        <v>155</v>
      </c>
      <c r="D668">
        <v>154</v>
      </c>
      <c r="E668" t="s">
        <v>5</v>
      </c>
      <c r="F668" t="s">
        <v>25</v>
      </c>
      <c r="G668">
        <v>26</v>
      </c>
      <c r="H668" t="s">
        <v>152</v>
      </c>
      <c r="I668">
        <v>0</v>
      </c>
      <c r="J668">
        <v>0</v>
      </c>
      <c r="K668" t="s">
        <v>153</v>
      </c>
      <c r="L668" t="s">
        <v>154</v>
      </c>
      <c r="M668" t="s">
        <v>155</v>
      </c>
      <c r="N668" t="s">
        <v>107</v>
      </c>
      <c r="O668" t="s">
        <v>97</v>
      </c>
    </row>
    <row r="669" spans="1:15" x14ac:dyDescent="0.2">
      <c r="A669">
        <v>155</v>
      </c>
      <c r="B669">
        <v>156</v>
      </c>
      <c r="C669">
        <v>155</v>
      </c>
      <c r="D669">
        <v>154</v>
      </c>
      <c r="E669" t="s">
        <v>5</v>
      </c>
      <c r="F669" t="s">
        <v>25</v>
      </c>
      <c r="G669">
        <v>27</v>
      </c>
      <c r="H669" t="s">
        <v>159</v>
      </c>
      <c r="I669">
        <v>0</v>
      </c>
      <c r="J669">
        <v>0.5</v>
      </c>
      <c r="K669" t="s">
        <v>122</v>
      </c>
      <c r="L669" t="s">
        <v>160</v>
      </c>
      <c r="M669" t="s">
        <v>161</v>
      </c>
      <c r="N669" t="s">
        <v>107</v>
      </c>
      <c r="O669" t="s">
        <v>97</v>
      </c>
    </row>
    <row r="670" spans="1:15" x14ac:dyDescent="0.2">
      <c r="A670">
        <v>155</v>
      </c>
      <c r="B670">
        <v>156</v>
      </c>
      <c r="C670">
        <v>155</v>
      </c>
      <c r="D670">
        <v>154</v>
      </c>
      <c r="E670" t="s">
        <v>5</v>
      </c>
      <c r="F670" t="s">
        <v>25</v>
      </c>
      <c r="G670">
        <v>28</v>
      </c>
      <c r="H670" t="s">
        <v>159</v>
      </c>
      <c r="I670">
        <v>0</v>
      </c>
      <c r="J670">
        <v>0.5</v>
      </c>
      <c r="K670" t="s">
        <v>122</v>
      </c>
      <c r="L670" t="s">
        <v>160</v>
      </c>
      <c r="M670" t="s">
        <v>161</v>
      </c>
      <c r="N670" t="s">
        <v>107</v>
      </c>
      <c r="O670" t="s">
        <v>97</v>
      </c>
    </row>
    <row r="671" spans="1:15" x14ac:dyDescent="0.2">
      <c r="A671">
        <v>155</v>
      </c>
      <c r="B671">
        <v>156</v>
      </c>
      <c r="C671">
        <v>155</v>
      </c>
      <c r="D671">
        <v>154</v>
      </c>
      <c r="E671" t="s">
        <v>5</v>
      </c>
      <c r="F671" t="s">
        <v>25</v>
      </c>
      <c r="G671">
        <v>29</v>
      </c>
      <c r="H671" t="s">
        <v>152</v>
      </c>
      <c r="I671">
        <v>0</v>
      </c>
      <c r="J671">
        <v>0</v>
      </c>
      <c r="K671" t="s">
        <v>153</v>
      </c>
      <c r="L671" t="s">
        <v>154</v>
      </c>
      <c r="M671" t="s">
        <v>155</v>
      </c>
      <c r="N671" t="s">
        <v>107</v>
      </c>
      <c r="O671" t="s">
        <v>97</v>
      </c>
    </row>
    <row r="672" spans="1:15" x14ac:dyDescent="0.2">
      <c r="A672">
        <v>155</v>
      </c>
      <c r="B672">
        <v>156</v>
      </c>
      <c r="C672">
        <v>155</v>
      </c>
      <c r="D672">
        <v>154</v>
      </c>
      <c r="E672" t="s">
        <v>5</v>
      </c>
      <c r="F672" t="s">
        <v>25</v>
      </c>
      <c r="G672">
        <v>30</v>
      </c>
      <c r="H672" t="s">
        <v>162</v>
      </c>
      <c r="I672">
        <v>1</v>
      </c>
      <c r="J672">
        <v>1</v>
      </c>
      <c r="K672" t="s">
        <v>112</v>
      </c>
      <c r="L672" t="s">
        <v>163</v>
      </c>
      <c r="M672" t="s">
        <v>164</v>
      </c>
      <c r="N672" t="s">
        <v>107</v>
      </c>
      <c r="O672" t="s">
        <v>97</v>
      </c>
    </row>
    <row r="673" spans="1:15" x14ac:dyDescent="0.2">
      <c r="A673">
        <v>155</v>
      </c>
      <c r="B673">
        <v>156</v>
      </c>
      <c r="C673">
        <v>155</v>
      </c>
      <c r="D673">
        <v>154</v>
      </c>
      <c r="E673" t="s">
        <v>5</v>
      </c>
      <c r="F673" t="s">
        <v>25</v>
      </c>
      <c r="G673">
        <v>31</v>
      </c>
      <c r="H673" t="s">
        <v>162</v>
      </c>
      <c r="I673">
        <v>0</v>
      </c>
      <c r="J673">
        <v>0</v>
      </c>
      <c r="K673" t="s">
        <v>112</v>
      </c>
      <c r="L673" t="s">
        <v>163</v>
      </c>
      <c r="M673" t="s">
        <v>164</v>
      </c>
      <c r="N673" t="s">
        <v>107</v>
      </c>
      <c r="O673" t="s">
        <v>97</v>
      </c>
    </row>
    <row r="674" spans="1:15" x14ac:dyDescent="0.2">
      <c r="A674">
        <v>155</v>
      </c>
      <c r="B674">
        <v>156</v>
      </c>
      <c r="C674">
        <v>155</v>
      </c>
      <c r="D674">
        <v>154</v>
      </c>
      <c r="E674" t="s">
        <v>5</v>
      </c>
      <c r="F674" t="s">
        <v>25</v>
      </c>
      <c r="G674">
        <v>32</v>
      </c>
      <c r="H674" t="s">
        <v>162</v>
      </c>
      <c r="I674">
        <v>0</v>
      </c>
      <c r="J674">
        <v>0</v>
      </c>
      <c r="K674" t="s">
        <v>112</v>
      </c>
      <c r="L674" t="s">
        <v>163</v>
      </c>
      <c r="M674" t="s">
        <v>164</v>
      </c>
      <c r="N674" t="s">
        <v>107</v>
      </c>
      <c r="O674" t="s">
        <v>97</v>
      </c>
    </row>
    <row r="675" spans="1:15" x14ac:dyDescent="0.2">
      <c r="A675">
        <v>155</v>
      </c>
      <c r="B675">
        <v>156</v>
      </c>
      <c r="C675">
        <v>155</v>
      </c>
      <c r="D675">
        <v>154</v>
      </c>
      <c r="E675" t="s">
        <v>5</v>
      </c>
      <c r="F675" t="s">
        <v>25</v>
      </c>
      <c r="G675">
        <v>33</v>
      </c>
      <c r="H675" t="s">
        <v>152</v>
      </c>
      <c r="I675">
        <v>1</v>
      </c>
      <c r="J675">
        <v>1</v>
      </c>
      <c r="K675" t="s">
        <v>153</v>
      </c>
      <c r="L675" t="s">
        <v>154</v>
      </c>
      <c r="M675" t="s">
        <v>155</v>
      </c>
      <c r="N675" t="s">
        <v>107</v>
      </c>
      <c r="O675" t="s">
        <v>97</v>
      </c>
    </row>
    <row r="676" spans="1:15" x14ac:dyDescent="0.2">
      <c r="A676">
        <v>155</v>
      </c>
      <c r="B676">
        <v>156</v>
      </c>
      <c r="C676">
        <v>155</v>
      </c>
      <c r="D676">
        <v>154</v>
      </c>
      <c r="E676" t="s">
        <v>5</v>
      </c>
      <c r="F676" t="s">
        <v>25</v>
      </c>
      <c r="G676">
        <v>34</v>
      </c>
      <c r="H676" t="s">
        <v>152</v>
      </c>
      <c r="I676">
        <v>0</v>
      </c>
      <c r="J676">
        <v>0</v>
      </c>
      <c r="K676" t="s">
        <v>153</v>
      </c>
      <c r="L676" t="s">
        <v>154</v>
      </c>
      <c r="M676" t="s">
        <v>155</v>
      </c>
      <c r="N676" t="s">
        <v>107</v>
      </c>
      <c r="O676" t="s">
        <v>97</v>
      </c>
    </row>
    <row r="677" spans="1:15" x14ac:dyDescent="0.2">
      <c r="A677">
        <v>155</v>
      </c>
      <c r="B677">
        <v>156</v>
      </c>
      <c r="C677">
        <v>155</v>
      </c>
      <c r="D677">
        <v>154</v>
      </c>
      <c r="E677" t="s">
        <v>5</v>
      </c>
      <c r="F677" t="s">
        <v>25</v>
      </c>
      <c r="G677">
        <v>35</v>
      </c>
      <c r="H677" t="s">
        <v>165</v>
      </c>
      <c r="I677">
        <v>0.5</v>
      </c>
      <c r="J677">
        <v>1</v>
      </c>
      <c r="K677" t="s">
        <v>166</v>
      </c>
      <c r="L677" t="s">
        <v>167</v>
      </c>
      <c r="M677" t="s">
        <v>168</v>
      </c>
      <c r="N677" t="s">
        <v>107</v>
      </c>
      <c r="O677" t="s">
        <v>97</v>
      </c>
    </row>
    <row r="678" spans="1:15" x14ac:dyDescent="0.2">
      <c r="A678">
        <v>155</v>
      </c>
      <c r="B678">
        <v>156</v>
      </c>
      <c r="C678">
        <v>155</v>
      </c>
      <c r="D678">
        <v>154</v>
      </c>
      <c r="E678" t="s">
        <v>5</v>
      </c>
      <c r="F678" t="s">
        <v>25</v>
      </c>
      <c r="G678">
        <v>36</v>
      </c>
      <c r="H678" t="s">
        <v>169</v>
      </c>
      <c r="I678">
        <v>0</v>
      </c>
      <c r="J678">
        <v>0</v>
      </c>
      <c r="K678" t="e">
        <v>#N/A</v>
      </c>
      <c r="L678" t="e">
        <v>#N/A</v>
      </c>
      <c r="M678" t="e">
        <v>#N/A</v>
      </c>
      <c r="N678" t="e">
        <v>#N/A</v>
      </c>
      <c r="O678" t="s">
        <v>97</v>
      </c>
    </row>
    <row r="679" spans="1:15" x14ac:dyDescent="0.2">
      <c r="A679">
        <v>155</v>
      </c>
      <c r="B679">
        <v>156</v>
      </c>
      <c r="C679">
        <v>155</v>
      </c>
      <c r="D679">
        <v>154</v>
      </c>
      <c r="E679" t="s">
        <v>5</v>
      </c>
      <c r="F679" t="s">
        <v>25</v>
      </c>
      <c r="G679">
        <v>38</v>
      </c>
      <c r="H679" t="s">
        <v>170</v>
      </c>
      <c r="I679">
        <v>0</v>
      </c>
      <c r="J679">
        <v>0.5</v>
      </c>
      <c r="K679" t="s">
        <v>112</v>
      </c>
      <c r="L679" t="s">
        <v>171</v>
      </c>
      <c r="M679" t="s">
        <v>172</v>
      </c>
      <c r="N679" t="s">
        <v>96</v>
      </c>
      <c r="O679" t="s">
        <v>97</v>
      </c>
    </row>
    <row r="680" spans="1:15" x14ac:dyDescent="0.2">
      <c r="A680">
        <v>155</v>
      </c>
      <c r="B680">
        <v>156</v>
      </c>
      <c r="C680">
        <v>155</v>
      </c>
      <c r="D680">
        <v>154</v>
      </c>
      <c r="E680" t="s">
        <v>5</v>
      </c>
      <c r="F680" t="s">
        <v>25</v>
      </c>
      <c r="G680">
        <v>39</v>
      </c>
      <c r="H680" t="s">
        <v>170</v>
      </c>
      <c r="I680">
        <v>0</v>
      </c>
      <c r="J680">
        <v>0.5</v>
      </c>
      <c r="K680" t="s">
        <v>112</v>
      </c>
      <c r="L680" t="s">
        <v>171</v>
      </c>
      <c r="M680" t="s">
        <v>172</v>
      </c>
      <c r="N680" t="s">
        <v>96</v>
      </c>
      <c r="O680" t="s">
        <v>97</v>
      </c>
    </row>
    <row r="681" spans="1:15" x14ac:dyDescent="0.2">
      <c r="A681">
        <v>155</v>
      </c>
      <c r="B681">
        <v>156</v>
      </c>
      <c r="C681">
        <v>155</v>
      </c>
      <c r="D681">
        <v>154</v>
      </c>
      <c r="E681" t="s">
        <v>5</v>
      </c>
      <c r="F681" t="s">
        <v>25</v>
      </c>
      <c r="G681">
        <v>40</v>
      </c>
      <c r="H681" t="s">
        <v>170</v>
      </c>
      <c r="I681">
        <v>0</v>
      </c>
      <c r="J681">
        <v>0.5</v>
      </c>
      <c r="K681" t="s">
        <v>112</v>
      </c>
      <c r="L681" t="s">
        <v>171</v>
      </c>
      <c r="M681" t="s">
        <v>172</v>
      </c>
      <c r="N681" t="s">
        <v>96</v>
      </c>
      <c r="O681" t="s">
        <v>97</v>
      </c>
    </row>
    <row r="682" spans="1:15" x14ac:dyDescent="0.2">
      <c r="A682">
        <v>155</v>
      </c>
      <c r="B682">
        <v>156</v>
      </c>
      <c r="C682">
        <v>155</v>
      </c>
      <c r="D682">
        <v>154</v>
      </c>
      <c r="E682" t="s">
        <v>5</v>
      </c>
      <c r="F682" t="s">
        <v>25</v>
      </c>
      <c r="G682">
        <v>41</v>
      </c>
      <c r="H682" t="s">
        <v>173</v>
      </c>
      <c r="I682">
        <v>0</v>
      </c>
      <c r="J682">
        <v>1</v>
      </c>
      <c r="K682" t="s">
        <v>166</v>
      </c>
      <c r="L682" t="s">
        <v>174</v>
      </c>
      <c r="M682" t="s">
        <v>175</v>
      </c>
      <c r="N682" t="s">
        <v>107</v>
      </c>
      <c r="O682" t="s">
        <v>97</v>
      </c>
    </row>
    <row r="683" spans="1:15" x14ac:dyDescent="0.2">
      <c r="A683">
        <v>155</v>
      </c>
      <c r="B683">
        <v>156</v>
      </c>
      <c r="C683">
        <v>155</v>
      </c>
      <c r="D683">
        <v>154</v>
      </c>
      <c r="E683" t="s">
        <v>5</v>
      </c>
      <c r="F683" t="s">
        <v>25</v>
      </c>
      <c r="G683">
        <v>42</v>
      </c>
      <c r="H683" t="s">
        <v>176</v>
      </c>
      <c r="I683">
        <v>0</v>
      </c>
      <c r="J683" t="s">
        <v>198</v>
      </c>
      <c r="K683" t="s">
        <v>153</v>
      </c>
      <c r="L683" t="s">
        <v>177</v>
      </c>
      <c r="M683" t="s">
        <v>178</v>
      </c>
      <c r="N683" t="s">
        <v>107</v>
      </c>
      <c r="O683" t="s">
        <v>97</v>
      </c>
    </row>
    <row r="684" spans="1:15" x14ac:dyDescent="0.2">
      <c r="A684">
        <v>155</v>
      </c>
      <c r="B684">
        <v>156</v>
      </c>
      <c r="C684">
        <v>155</v>
      </c>
      <c r="D684">
        <v>154</v>
      </c>
      <c r="E684" t="s">
        <v>5</v>
      </c>
      <c r="F684" t="s">
        <v>25</v>
      </c>
      <c r="G684">
        <v>43</v>
      </c>
      <c r="H684" t="s">
        <v>179</v>
      </c>
      <c r="I684">
        <v>0</v>
      </c>
      <c r="J684">
        <v>0</v>
      </c>
      <c r="K684" t="s">
        <v>166</v>
      </c>
      <c r="L684" t="s">
        <v>180</v>
      </c>
      <c r="M684" t="s">
        <v>181</v>
      </c>
      <c r="N684" t="s">
        <v>107</v>
      </c>
      <c r="O684" t="s">
        <v>97</v>
      </c>
    </row>
    <row r="685" spans="1:15" x14ac:dyDescent="0.2">
      <c r="A685">
        <v>155</v>
      </c>
      <c r="B685">
        <v>156</v>
      </c>
      <c r="C685">
        <v>155</v>
      </c>
      <c r="D685">
        <v>154</v>
      </c>
      <c r="E685" t="s">
        <v>5</v>
      </c>
      <c r="F685" t="s">
        <v>25</v>
      </c>
      <c r="G685">
        <v>44</v>
      </c>
      <c r="H685" t="s">
        <v>182</v>
      </c>
      <c r="I685">
        <v>0</v>
      </c>
      <c r="J685">
        <v>1</v>
      </c>
      <c r="K685" t="s">
        <v>166</v>
      </c>
      <c r="L685" t="s">
        <v>183</v>
      </c>
      <c r="M685" t="s">
        <v>184</v>
      </c>
      <c r="N685" t="s">
        <v>107</v>
      </c>
      <c r="O685" t="s">
        <v>97</v>
      </c>
    </row>
    <row r="686" spans="1:15" x14ac:dyDescent="0.2">
      <c r="A686">
        <v>155</v>
      </c>
      <c r="B686">
        <v>156</v>
      </c>
      <c r="C686">
        <v>155</v>
      </c>
      <c r="D686">
        <v>154</v>
      </c>
      <c r="E686" t="s">
        <v>5</v>
      </c>
      <c r="F686" t="s">
        <v>25</v>
      </c>
      <c r="G686">
        <v>45</v>
      </c>
      <c r="H686" t="s">
        <v>185</v>
      </c>
      <c r="I686">
        <v>0</v>
      </c>
      <c r="J686">
        <v>1</v>
      </c>
      <c r="K686" t="s">
        <v>166</v>
      </c>
      <c r="L686" t="s">
        <v>186</v>
      </c>
      <c r="M686" t="s">
        <v>139</v>
      </c>
      <c r="N686" t="s">
        <v>107</v>
      </c>
      <c r="O686" t="s">
        <v>97</v>
      </c>
    </row>
    <row r="687" spans="1:15" x14ac:dyDescent="0.2">
      <c r="A687">
        <v>155</v>
      </c>
      <c r="B687">
        <v>156</v>
      </c>
      <c r="C687">
        <v>155</v>
      </c>
      <c r="D687">
        <v>154</v>
      </c>
      <c r="E687" t="s">
        <v>5</v>
      </c>
      <c r="F687" t="s">
        <v>25</v>
      </c>
      <c r="G687">
        <v>47</v>
      </c>
      <c r="H687" t="s">
        <v>187</v>
      </c>
      <c r="I687">
        <v>0.2</v>
      </c>
      <c r="J687">
        <v>0.2</v>
      </c>
      <c r="K687" t="s">
        <v>93</v>
      </c>
      <c r="L687" t="s">
        <v>188</v>
      </c>
      <c r="M687" t="s">
        <v>95</v>
      </c>
      <c r="N687" t="s">
        <v>96</v>
      </c>
      <c r="O687" t="s">
        <v>97</v>
      </c>
    </row>
    <row r="688" spans="1:15" x14ac:dyDescent="0.2">
      <c r="A688">
        <v>155</v>
      </c>
      <c r="B688">
        <v>156</v>
      </c>
      <c r="C688">
        <v>155</v>
      </c>
      <c r="D688">
        <v>154</v>
      </c>
      <c r="E688" t="s">
        <v>5</v>
      </c>
      <c r="F688" t="s">
        <v>25</v>
      </c>
      <c r="G688">
        <v>48</v>
      </c>
      <c r="H688" t="s">
        <v>189</v>
      </c>
      <c r="I688">
        <v>0.2</v>
      </c>
      <c r="J688">
        <v>0.2</v>
      </c>
      <c r="K688" t="s">
        <v>93</v>
      </c>
      <c r="L688" t="s">
        <v>190</v>
      </c>
      <c r="M688" t="s">
        <v>95</v>
      </c>
      <c r="N688" t="s">
        <v>96</v>
      </c>
      <c r="O688" t="s">
        <v>97</v>
      </c>
    </row>
    <row r="689" spans="1:15" x14ac:dyDescent="0.2">
      <c r="A689">
        <v>155</v>
      </c>
      <c r="B689">
        <v>156</v>
      </c>
      <c r="C689">
        <v>155</v>
      </c>
      <c r="D689">
        <v>154</v>
      </c>
      <c r="E689" t="s">
        <v>5</v>
      </c>
      <c r="F689" t="s">
        <v>25</v>
      </c>
      <c r="G689">
        <v>49</v>
      </c>
      <c r="H689" t="s">
        <v>191</v>
      </c>
      <c r="I689">
        <v>0.2</v>
      </c>
      <c r="J689">
        <v>0.2</v>
      </c>
      <c r="K689" t="s">
        <v>93</v>
      </c>
      <c r="L689" t="s">
        <v>192</v>
      </c>
      <c r="M689" t="s">
        <v>95</v>
      </c>
      <c r="N689" t="s">
        <v>96</v>
      </c>
      <c r="O689" t="s">
        <v>97</v>
      </c>
    </row>
    <row r="690" spans="1:15" x14ac:dyDescent="0.2">
      <c r="A690">
        <v>155</v>
      </c>
      <c r="B690">
        <v>156</v>
      </c>
      <c r="C690">
        <v>155</v>
      </c>
      <c r="D690">
        <v>154</v>
      </c>
      <c r="E690" t="s">
        <v>5</v>
      </c>
      <c r="F690" t="s">
        <v>25</v>
      </c>
      <c r="G690">
        <v>50</v>
      </c>
      <c r="H690" t="s">
        <v>193</v>
      </c>
      <c r="I690">
        <v>0.1</v>
      </c>
      <c r="J690">
        <v>0.1</v>
      </c>
      <c r="K690" t="s">
        <v>93</v>
      </c>
      <c r="L690" t="s">
        <v>194</v>
      </c>
      <c r="M690" t="s">
        <v>95</v>
      </c>
      <c r="N690" t="s">
        <v>96</v>
      </c>
      <c r="O690" t="s">
        <v>97</v>
      </c>
    </row>
    <row r="691" spans="1:15" x14ac:dyDescent="0.2">
      <c r="A691">
        <v>155</v>
      </c>
      <c r="B691">
        <v>156</v>
      </c>
      <c r="C691">
        <v>155</v>
      </c>
      <c r="D691">
        <v>154</v>
      </c>
      <c r="E691" t="s">
        <v>5</v>
      </c>
      <c r="F691" t="s">
        <v>25</v>
      </c>
      <c r="G691">
        <v>51</v>
      </c>
      <c r="H691" t="s">
        <v>193</v>
      </c>
      <c r="I691">
        <v>0</v>
      </c>
      <c r="J691">
        <v>0.1</v>
      </c>
      <c r="K691" t="s">
        <v>93</v>
      </c>
      <c r="L691" t="s">
        <v>194</v>
      </c>
      <c r="M691" t="s">
        <v>95</v>
      </c>
      <c r="N691" t="s">
        <v>96</v>
      </c>
      <c r="O691" t="s">
        <v>97</v>
      </c>
    </row>
    <row r="692" spans="1:15" x14ac:dyDescent="0.2">
      <c r="A692">
        <v>150</v>
      </c>
      <c r="B692">
        <v>151</v>
      </c>
      <c r="C692">
        <v>150</v>
      </c>
      <c r="D692">
        <v>149</v>
      </c>
      <c r="E692" t="s">
        <v>5</v>
      </c>
      <c r="F692" t="s">
        <v>24</v>
      </c>
      <c r="G692">
        <v>1</v>
      </c>
      <c r="H692" t="s">
        <v>92</v>
      </c>
      <c r="I692">
        <v>0.2</v>
      </c>
      <c r="J692">
        <v>0.2</v>
      </c>
      <c r="K692" t="s">
        <v>93</v>
      </c>
      <c r="L692" t="s">
        <v>94</v>
      </c>
      <c r="M692" t="s">
        <v>95</v>
      </c>
      <c r="N692" t="s">
        <v>96</v>
      </c>
      <c r="O692" t="s">
        <v>97</v>
      </c>
    </row>
    <row r="693" spans="1:15" x14ac:dyDescent="0.2">
      <c r="A693">
        <v>150</v>
      </c>
      <c r="B693">
        <v>151</v>
      </c>
      <c r="C693">
        <v>150</v>
      </c>
      <c r="D693">
        <v>149</v>
      </c>
      <c r="E693" t="s">
        <v>5</v>
      </c>
      <c r="F693" t="s">
        <v>24</v>
      </c>
      <c r="G693">
        <v>2</v>
      </c>
      <c r="H693" t="s">
        <v>98</v>
      </c>
      <c r="I693">
        <v>0.25</v>
      </c>
      <c r="J693">
        <v>0.5</v>
      </c>
      <c r="K693" t="s">
        <v>93</v>
      </c>
      <c r="L693" t="s">
        <v>99</v>
      </c>
      <c r="M693" t="s">
        <v>95</v>
      </c>
      <c r="N693" t="s">
        <v>96</v>
      </c>
      <c r="O693" t="s">
        <v>97</v>
      </c>
    </row>
    <row r="694" spans="1:15" x14ac:dyDescent="0.2">
      <c r="A694">
        <v>150</v>
      </c>
      <c r="B694">
        <v>151</v>
      </c>
      <c r="C694">
        <v>150</v>
      </c>
      <c r="D694">
        <v>149</v>
      </c>
      <c r="E694" t="s">
        <v>5</v>
      </c>
      <c r="F694" t="s">
        <v>24</v>
      </c>
      <c r="G694">
        <v>3</v>
      </c>
      <c r="H694" t="s">
        <v>100</v>
      </c>
      <c r="I694">
        <v>1</v>
      </c>
      <c r="J694">
        <v>1</v>
      </c>
      <c r="K694" t="s">
        <v>101</v>
      </c>
      <c r="L694" t="s">
        <v>102</v>
      </c>
      <c r="M694" t="s">
        <v>103</v>
      </c>
      <c r="N694" t="s">
        <v>96</v>
      </c>
      <c r="O694" t="s">
        <v>97</v>
      </c>
    </row>
    <row r="695" spans="1:15" x14ac:dyDescent="0.2">
      <c r="A695">
        <v>165</v>
      </c>
      <c r="B695">
        <v>166</v>
      </c>
      <c r="C695">
        <v>165</v>
      </c>
      <c r="D695">
        <v>164</v>
      </c>
      <c r="E695" t="s">
        <v>5</v>
      </c>
      <c r="F695" t="s">
        <v>27</v>
      </c>
      <c r="G695">
        <v>1</v>
      </c>
      <c r="H695" t="s">
        <v>92</v>
      </c>
      <c r="I695">
        <v>0</v>
      </c>
      <c r="J695">
        <v>0.2</v>
      </c>
      <c r="K695" t="s">
        <v>93</v>
      </c>
      <c r="L695" t="s">
        <v>94</v>
      </c>
      <c r="M695" t="s">
        <v>95</v>
      </c>
      <c r="N695" t="s">
        <v>96</v>
      </c>
      <c r="O695" t="s">
        <v>97</v>
      </c>
    </row>
    <row r="696" spans="1:15" x14ac:dyDescent="0.2">
      <c r="A696">
        <v>165</v>
      </c>
      <c r="B696">
        <v>166</v>
      </c>
      <c r="C696">
        <v>165</v>
      </c>
      <c r="D696">
        <v>164</v>
      </c>
      <c r="E696" t="s">
        <v>5</v>
      </c>
      <c r="F696" t="s">
        <v>27</v>
      </c>
      <c r="G696">
        <v>2</v>
      </c>
      <c r="H696" t="s">
        <v>98</v>
      </c>
      <c r="I696">
        <v>0.25</v>
      </c>
      <c r="J696">
        <v>0.5</v>
      </c>
      <c r="K696" t="s">
        <v>93</v>
      </c>
      <c r="L696" t="s">
        <v>99</v>
      </c>
      <c r="M696" t="s">
        <v>95</v>
      </c>
      <c r="N696" t="s">
        <v>96</v>
      </c>
      <c r="O696" t="s">
        <v>97</v>
      </c>
    </row>
    <row r="697" spans="1:15" x14ac:dyDescent="0.2">
      <c r="A697">
        <v>165</v>
      </c>
      <c r="B697">
        <v>166</v>
      </c>
      <c r="C697">
        <v>165</v>
      </c>
      <c r="D697">
        <v>164</v>
      </c>
      <c r="E697" t="s">
        <v>5</v>
      </c>
      <c r="F697" t="s">
        <v>27</v>
      </c>
      <c r="G697">
        <v>3</v>
      </c>
      <c r="H697" t="s">
        <v>100</v>
      </c>
      <c r="I697">
        <v>1</v>
      </c>
      <c r="J697">
        <v>1</v>
      </c>
      <c r="K697" t="s">
        <v>101</v>
      </c>
      <c r="L697" t="s">
        <v>102</v>
      </c>
      <c r="M697" t="s">
        <v>103</v>
      </c>
      <c r="N697" t="s">
        <v>96</v>
      </c>
      <c r="O697" t="s">
        <v>97</v>
      </c>
    </row>
    <row r="698" spans="1:15" x14ac:dyDescent="0.2">
      <c r="A698">
        <v>165</v>
      </c>
      <c r="B698">
        <v>166</v>
      </c>
      <c r="C698">
        <v>165</v>
      </c>
      <c r="D698">
        <v>164</v>
      </c>
      <c r="E698" t="s">
        <v>5</v>
      </c>
      <c r="F698" t="s">
        <v>27</v>
      </c>
      <c r="G698">
        <v>4</v>
      </c>
      <c r="H698" t="s">
        <v>104</v>
      </c>
      <c r="I698">
        <v>1</v>
      </c>
      <c r="J698">
        <v>1</v>
      </c>
      <c r="K698" t="s">
        <v>101</v>
      </c>
      <c r="L698" t="s">
        <v>105</v>
      </c>
      <c r="M698" t="s">
        <v>106</v>
      </c>
      <c r="N698" t="s">
        <v>107</v>
      </c>
      <c r="O698" t="s">
        <v>97</v>
      </c>
    </row>
    <row r="699" spans="1:15" x14ac:dyDescent="0.2">
      <c r="A699">
        <v>165</v>
      </c>
      <c r="B699">
        <v>166</v>
      </c>
      <c r="C699">
        <v>165</v>
      </c>
      <c r="D699">
        <v>164</v>
      </c>
      <c r="E699" t="s">
        <v>5</v>
      </c>
      <c r="F699" t="s">
        <v>27</v>
      </c>
      <c r="G699">
        <v>5</v>
      </c>
      <c r="H699" t="s">
        <v>108</v>
      </c>
      <c r="I699">
        <v>0</v>
      </c>
      <c r="J699">
        <v>1</v>
      </c>
      <c r="K699" t="s">
        <v>101</v>
      </c>
      <c r="L699" t="s">
        <v>109</v>
      </c>
      <c r="M699" t="s">
        <v>110</v>
      </c>
      <c r="N699" t="s">
        <v>107</v>
      </c>
      <c r="O699" t="s">
        <v>97</v>
      </c>
    </row>
    <row r="700" spans="1:15" x14ac:dyDescent="0.2">
      <c r="A700">
        <v>165</v>
      </c>
      <c r="B700">
        <v>166</v>
      </c>
      <c r="C700">
        <v>165</v>
      </c>
      <c r="D700">
        <v>164</v>
      </c>
      <c r="E700" t="s">
        <v>5</v>
      </c>
      <c r="F700" t="s">
        <v>27</v>
      </c>
      <c r="G700">
        <v>9</v>
      </c>
      <c r="H700" t="s">
        <v>111</v>
      </c>
      <c r="I700">
        <v>0.25</v>
      </c>
      <c r="J700">
        <v>0.5</v>
      </c>
      <c r="K700" t="s">
        <v>112</v>
      </c>
      <c r="L700" t="s">
        <v>113</v>
      </c>
      <c r="M700" t="s">
        <v>114</v>
      </c>
      <c r="N700" t="s">
        <v>96</v>
      </c>
      <c r="O700" t="s">
        <v>97</v>
      </c>
    </row>
    <row r="701" spans="1:15" x14ac:dyDescent="0.2">
      <c r="A701">
        <v>165</v>
      </c>
      <c r="B701">
        <v>166</v>
      </c>
      <c r="C701">
        <v>165</v>
      </c>
      <c r="D701">
        <v>164</v>
      </c>
      <c r="E701" t="s">
        <v>5</v>
      </c>
      <c r="F701" t="s">
        <v>27</v>
      </c>
      <c r="G701">
        <v>10</v>
      </c>
      <c r="H701" t="s">
        <v>115</v>
      </c>
      <c r="I701">
        <v>0.25</v>
      </c>
      <c r="J701">
        <v>0.5</v>
      </c>
      <c r="K701" t="s">
        <v>112</v>
      </c>
      <c r="L701" t="s">
        <v>116</v>
      </c>
      <c r="M701" t="s">
        <v>117</v>
      </c>
      <c r="N701" t="s">
        <v>96</v>
      </c>
      <c r="O701" t="s">
        <v>97</v>
      </c>
    </row>
    <row r="702" spans="1:15" x14ac:dyDescent="0.2">
      <c r="A702">
        <v>165</v>
      </c>
      <c r="B702">
        <v>166</v>
      </c>
      <c r="C702">
        <v>165</v>
      </c>
      <c r="D702">
        <v>164</v>
      </c>
      <c r="E702" t="s">
        <v>5</v>
      </c>
      <c r="F702" t="s">
        <v>27</v>
      </c>
      <c r="G702">
        <v>11</v>
      </c>
      <c r="H702" t="s">
        <v>118</v>
      </c>
      <c r="I702">
        <v>0.5</v>
      </c>
      <c r="J702">
        <v>1</v>
      </c>
      <c r="K702" t="s">
        <v>112</v>
      </c>
      <c r="L702" t="s">
        <v>119</v>
      </c>
      <c r="M702" t="s">
        <v>120</v>
      </c>
      <c r="N702" t="s">
        <v>107</v>
      </c>
      <c r="O702" t="s">
        <v>97</v>
      </c>
    </row>
    <row r="703" spans="1:15" x14ac:dyDescent="0.2">
      <c r="A703">
        <v>165</v>
      </c>
      <c r="B703">
        <v>166</v>
      </c>
      <c r="C703">
        <v>165</v>
      </c>
      <c r="D703">
        <v>164</v>
      </c>
      <c r="E703" t="s">
        <v>5</v>
      </c>
      <c r="F703" t="s">
        <v>27</v>
      </c>
      <c r="G703">
        <v>12</v>
      </c>
      <c r="H703" t="s">
        <v>121</v>
      </c>
      <c r="I703">
        <v>0.25</v>
      </c>
      <c r="J703">
        <v>0.5</v>
      </c>
      <c r="K703" t="s">
        <v>122</v>
      </c>
      <c r="L703" t="s">
        <v>113</v>
      </c>
      <c r="M703" t="s">
        <v>123</v>
      </c>
      <c r="N703" t="s">
        <v>96</v>
      </c>
      <c r="O703" t="s">
        <v>97</v>
      </c>
    </row>
    <row r="704" spans="1:15" x14ac:dyDescent="0.2">
      <c r="A704">
        <v>165</v>
      </c>
      <c r="B704">
        <v>166</v>
      </c>
      <c r="C704">
        <v>165</v>
      </c>
      <c r="D704">
        <v>164</v>
      </c>
      <c r="E704" t="s">
        <v>5</v>
      </c>
      <c r="F704" t="s">
        <v>27</v>
      </c>
      <c r="G704">
        <v>13</v>
      </c>
      <c r="H704" t="s">
        <v>124</v>
      </c>
      <c r="I704">
        <v>0</v>
      </c>
      <c r="J704">
        <v>0.5</v>
      </c>
      <c r="K704" t="s">
        <v>122</v>
      </c>
      <c r="L704" t="s">
        <v>125</v>
      </c>
      <c r="M704" t="s">
        <v>126</v>
      </c>
      <c r="N704" t="s">
        <v>96</v>
      </c>
      <c r="O704" t="s">
        <v>97</v>
      </c>
    </row>
    <row r="705" spans="1:15" x14ac:dyDescent="0.2">
      <c r="A705">
        <v>165</v>
      </c>
      <c r="B705">
        <v>166</v>
      </c>
      <c r="C705">
        <v>165</v>
      </c>
      <c r="D705">
        <v>164</v>
      </c>
      <c r="E705" t="s">
        <v>5</v>
      </c>
      <c r="F705" t="s">
        <v>27</v>
      </c>
      <c r="G705">
        <v>14</v>
      </c>
      <c r="H705" t="s">
        <v>127</v>
      </c>
      <c r="I705">
        <v>0.5</v>
      </c>
      <c r="J705">
        <v>1</v>
      </c>
      <c r="K705" t="s">
        <v>122</v>
      </c>
      <c r="L705" t="s">
        <v>119</v>
      </c>
      <c r="M705" t="s">
        <v>128</v>
      </c>
      <c r="N705" t="s">
        <v>107</v>
      </c>
      <c r="O705" t="s">
        <v>97</v>
      </c>
    </row>
    <row r="706" spans="1:15" x14ac:dyDescent="0.2">
      <c r="A706">
        <v>165</v>
      </c>
      <c r="B706">
        <v>166</v>
      </c>
      <c r="C706">
        <v>165</v>
      </c>
      <c r="D706">
        <v>164</v>
      </c>
      <c r="E706" t="s">
        <v>5</v>
      </c>
      <c r="F706" t="s">
        <v>27</v>
      </c>
      <c r="G706">
        <v>15</v>
      </c>
      <c r="H706" t="s">
        <v>129</v>
      </c>
      <c r="I706">
        <v>1</v>
      </c>
      <c r="J706">
        <v>1</v>
      </c>
      <c r="K706" t="s">
        <v>130</v>
      </c>
      <c r="L706" t="s">
        <v>131</v>
      </c>
      <c r="M706" t="s">
        <v>132</v>
      </c>
      <c r="N706" t="s">
        <v>107</v>
      </c>
      <c r="O706" t="s">
        <v>97</v>
      </c>
    </row>
    <row r="707" spans="1:15" x14ac:dyDescent="0.2">
      <c r="A707">
        <v>165</v>
      </c>
      <c r="B707">
        <v>166</v>
      </c>
      <c r="C707">
        <v>165</v>
      </c>
      <c r="D707">
        <v>164</v>
      </c>
      <c r="E707" t="s">
        <v>5</v>
      </c>
      <c r="F707" t="s">
        <v>27</v>
      </c>
      <c r="G707">
        <v>16</v>
      </c>
      <c r="H707" t="s">
        <v>133</v>
      </c>
      <c r="I707">
        <v>0</v>
      </c>
      <c r="J707">
        <v>0</v>
      </c>
      <c r="K707" t="e">
        <v>#N/A</v>
      </c>
      <c r="L707" t="e">
        <v>#N/A</v>
      </c>
      <c r="M707" t="e">
        <v>#N/A</v>
      </c>
      <c r="N707" t="e">
        <v>#N/A</v>
      </c>
      <c r="O707" t="s">
        <v>97</v>
      </c>
    </row>
    <row r="708" spans="1:15" x14ac:dyDescent="0.2">
      <c r="A708">
        <v>165</v>
      </c>
      <c r="B708">
        <v>166</v>
      </c>
      <c r="C708">
        <v>165</v>
      </c>
      <c r="D708">
        <v>164</v>
      </c>
      <c r="E708" t="s">
        <v>5</v>
      </c>
      <c r="F708" t="s">
        <v>27</v>
      </c>
      <c r="G708">
        <v>17</v>
      </c>
      <c r="H708" t="s">
        <v>134</v>
      </c>
      <c r="I708">
        <v>0.5</v>
      </c>
      <c r="J708">
        <v>1</v>
      </c>
      <c r="K708" t="s">
        <v>112</v>
      </c>
      <c r="L708" t="s">
        <v>135</v>
      </c>
      <c r="M708" t="s">
        <v>136</v>
      </c>
      <c r="N708" t="s">
        <v>107</v>
      </c>
      <c r="O708" t="s">
        <v>97</v>
      </c>
    </row>
    <row r="709" spans="1:15" x14ac:dyDescent="0.2">
      <c r="A709">
        <v>165</v>
      </c>
      <c r="B709">
        <v>166</v>
      </c>
      <c r="C709">
        <v>165</v>
      </c>
      <c r="D709">
        <v>164</v>
      </c>
      <c r="E709" t="s">
        <v>5</v>
      </c>
      <c r="F709" t="s">
        <v>27</v>
      </c>
      <c r="G709">
        <v>18</v>
      </c>
      <c r="H709" t="s">
        <v>137</v>
      </c>
      <c r="I709">
        <v>1</v>
      </c>
      <c r="J709">
        <v>1</v>
      </c>
      <c r="K709" t="s">
        <v>112</v>
      </c>
      <c r="L709" t="s">
        <v>138</v>
      </c>
      <c r="M709" t="s">
        <v>139</v>
      </c>
      <c r="N709" t="s">
        <v>107</v>
      </c>
      <c r="O709" t="s">
        <v>97</v>
      </c>
    </row>
    <row r="710" spans="1:15" x14ac:dyDescent="0.2">
      <c r="A710">
        <v>165</v>
      </c>
      <c r="B710">
        <v>166</v>
      </c>
      <c r="C710">
        <v>165</v>
      </c>
      <c r="D710">
        <v>164</v>
      </c>
      <c r="E710" t="s">
        <v>5</v>
      </c>
      <c r="F710" t="s">
        <v>27</v>
      </c>
      <c r="G710">
        <v>19</v>
      </c>
      <c r="H710" t="s">
        <v>140</v>
      </c>
      <c r="I710">
        <v>0.5</v>
      </c>
      <c r="J710">
        <v>1</v>
      </c>
      <c r="K710" t="s">
        <v>122</v>
      </c>
      <c r="L710" t="s">
        <v>141</v>
      </c>
      <c r="M710" t="s">
        <v>142</v>
      </c>
      <c r="N710" t="s">
        <v>107</v>
      </c>
      <c r="O710" t="s">
        <v>97</v>
      </c>
    </row>
    <row r="711" spans="1:15" x14ac:dyDescent="0.2">
      <c r="A711">
        <v>165</v>
      </c>
      <c r="B711">
        <v>166</v>
      </c>
      <c r="C711">
        <v>165</v>
      </c>
      <c r="D711">
        <v>164</v>
      </c>
      <c r="E711" t="s">
        <v>5</v>
      </c>
      <c r="F711" t="s">
        <v>27</v>
      </c>
      <c r="G711">
        <v>20</v>
      </c>
      <c r="H711" t="s">
        <v>143</v>
      </c>
      <c r="I711">
        <v>1</v>
      </c>
      <c r="J711">
        <v>1</v>
      </c>
      <c r="K711" t="s">
        <v>122</v>
      </c>
      <c r="L711" t="s">
        <v>144</v>
      </c>
      <c r="M711" t="s">
        <v>145</v>
      </c>
      <c r="N711" t="s">
        <v>107</v>
      </c>
      <c r="O711" t="s">
        <v>97</v>
      </c>
    </row>
    <row r="712" spans="1:15" x14ac:dyDescent="0.2">
      <c r="A712">
        <v>165</v>
      </c>
      <c r="B712">
        <v>166</v>
      </c>
      <c r="C712">
        <v>165</v>
      </c>
      <c r="D712">
        <v>164</v>
      </c>
      <c r="E712" t="s">
        <v>5</v>
      </c>
      <c r="F712" t="s">
        <v>27</v>
      </c>
      <c r="G712">
        <v>21</v>
      </c>
      <c r="H712" t="s">
        <v>146</v>
      </c>
      <c r="I712">
        <v>1</v>
      </c>
      <c r="J712">
        <v>1</v>
      </c>
      <c r="K712" t="s">
        <v>147</v>
      </c>
      <c r="L712" t="s">
        <v>148</v>
      </c>
      <c r="M712" t="s">
        <v>149</v>
      </c>
      <c r="N712" t="s">
        <v>96</v>
      </c>
      <c r="O712" t="s">
        <v>97</v>
      </c>
    </row>
    <row r="713" spans="1:15" x14ac:dyDescent="0.2">
      <c r="A713">
        <v>165</v>
      </c>
      <c r="B713">
        <v>166</v>
      </c>
      <c r="C713">
        <v>165</v>
      </c>
      <c r="D713">
        <v>164</v>
      </c>
      <c r="E713" t="s">
        <v>5</v>
      </c>
      <c r="F713" t="s">
        <v>27</v>
      </c>
      <c r="G713">
        <v>22</v>
      </c>
      <c r="H713" t="s">
        <v>150</v>
      </c>
      <c r="I713">
        <v>1</v>
      </c>
      <c r="J713">
        <v>1</v>
      </c>
      <c r="K713" t="s">
        <v>147</v>
      </c>
      <c r="L713" t="s">
        <v>151</v>
      </c>
      <c r="M713" t="s">
        <v>149</v>
      </c>
      <c r="N713" t="s">
        <v>107</v>
      </c>
      <c r="O713" t="s">
        <v>97</v>
      </c>
    </row>
    <row r="714" spans="1:15" x14ac:dyDescent="0.2">
      <c r="A714">
        <v>165</v>
      </c>
      <c r="B714">
        <v>166</v>
      </c>
      <c r="C714">
        <v>165</v>
      </c>
      <c r="D714">
        <v>164</v>
      </c>
      <c r="E714" t="s">
        <v>5</v>
      </c>
      <c r="F714" t="s">
        <v>27</v>
      </c>
      <c r="G714">
        <v>23</v>
      </c>
      <c r="H714" t="s">
        <v>152</v>
      </c>
      <c r="I714">
        <v>0</v>
      </c>
      <c r="J714">
        <v>0</v>
      </c>
      <c r="K714" t="s">
        <v>153</v>
      </c>
      <c r="L714" t="s">
        <v>154</v>
      </c>
      <c r="M714" t="s">
        <v>155</v>
      </c>
      <c r="N714" t="s">
        <v>107</v>
      </c>
      <c r="O714" t="s">
        <v>97</v>
      </c>
    </row>
    <row r="715" spans="1:15" x14ac:dyDescent="0.2">
      <c r="A715">
        <v>165</v>
      </c>
      <c r="B715">
        <v>166</v>
      </c>
      <c r="C715">
        <v>165</v>
      </c>
      <c r="D715">
        <v>164</v>
      </c>
      <c r="E715" t="s">
        <v>5</v>
      </c>
      <c r="F715" t="s">
        <v>27</v>
      </c>
      <c r="G715">
        <v>24</v>
      </c>
      <c r="H715" t="s">
        <v>156</v>
      </c>
      <c r="I715">
        <v>0.5</v>
      </c>
      <c r="J715">
        <v>0.5</v>
      </c>
      <c r="K715" t="s">
        <v>122</v>
      </c>
      <c r="L715" t="s">
        <v>157</v>
      </c>
      <c r="M715" t="s">
        <v>158</v>
      </c>
      <c r="N715" t="s">
        <v>107</v>
      </c>
      <c r="O715" t="s">
        <v>97</v>
      </c>
    </row>
    <row r="716" spans="1:15" x14ac:dyDescent="0.2">
      <c r="A716">
        <v>165</v>
      </c>
      <c r="B716">
        <v>166</v>
      </c>
      <c r="C716">
        <v>165</v>
      </c>
      <c r="D716">
        <v>164</v>
      </c>
      <c r="E716" t="s">
        <v>5</v>
      </c>
      <c r="F716" t="s">
        <v>27</v>
      </c>
      <c r="G716">
        <v>25</v>
      </c>
      <c r="H716" t="s">
        <v>156</v>
      </c>
      <c r="I716">
        <v>0.5</v>
      </c>
      <c r="J716">
        <v>0.5</v>
      </c>
      <c r="K716" t="s">
        <v>122</v>
      </c>
      <c r="L716" t="s">
        <v>157</v>
      </c>
      <c r="M716" t="s">
        <v>158</v>
      </c>
      <c r="N716" t="s">
        <v>107</v>
      </c>
      <c r="O716" t="s">
        <v>97</v>
      </c>
    </row>
    <row r="717" spans="1:15" x14ac:dyDescent="0.2">
      <c r="A717">
        <v>165</v>
      </c>
      <c r="B717">
        <v>166</v>
      </c>
      <c r="C717">
        <v>165</v>
      </c>
      <c r="D717">
        <v>164</v>
      </c>
      <c r="E717" t="s">
        <v>5</v>
      </c>
      <c r="F717" t="s">
        <v>27</v>
      </c>
      <c r="G717">
        <v>26</v>
      </c>
      <c r="H717" t="s">
        <v>152</v>
      </c>
      <c r="I717">
        <v>0</v>
      </c>
      <c r="J717">
        <v>0</v>
      </c>
      <c r="K717" t="s">
        <v>153</v>
      </c>
      <c r="L717" t="s">
        <v>154</v>
      </c>
      <c r="M717" t="s">
        <v>155</v>
      </c>
      <c r="N717" t="s">
        <v>107</v>
      </c>
      <c r="O717" t="s">
        <v>97</v>
      </c>
    </row>
    <row r="718" spans="1:15" x14ac:dyDescent="0.2">
      <c r="A718">
        <v>165</v>
      </c>
      <c r="B718">
        <v>166</v>
      </c>
      <c r="C718">
        <v>165</v>
      </c>
      <c r="D718">
        <v>164</v>
      </c>
      <c r="E718" t="s">
        <v>5</v>
      </c>
      <c r="F718" t="s">
        <v>27</v>
      </c>
      <c r="G718">
        <v>27</v>
      </c>
      <c r="H718" t="s">
        <v>159</v>
      </c>
      <c r="I718">
        <v>0</v>
      </c>
      <c r="J718" t="s">
        <v>196</v>
      </c>
      <c r="K718" t="s">
        <v>122</v>
      </c>
      <c r="L718" t="s">
        <v>160</v>
      </c>
      <c r="M718" t="s">
        <v>161</v>
      </c>
      <c r="N718" t="s">
        <v>107</v>
      </c>
      <c r="O718" t="s">
        <v>97</v>
      </c>
    </row>
    <row r="719" spans="1:15" x14ac:dyDescent="0.2">
      <c r="A719">
        <v>165</v>
      </c>
      <c r="B719">
        <v>166</v>
      </c>
      <c r="C719">
        <v>165</v>
      </c>
      <c r="D719">
        <v>164</v>
      </c>
      <c r="E719" t="s">
        <v>5</v>
      </c>
      <c r="F719" t="s">
        <v>27</v>
      </c>
      <c r="G719">
        <v>28</v>
      </c>
      <c r="H719" t="s">
        <v>159</v>
      </c>
      <c r="I719">
        <v>0</v>
      </c>
      <c r="J719" t="s">
        <v>196</v>
      </c>
      <c r="K719" t="s">
        <v>122</v>
      </c>
      <c r="L719" t="s">
        <v>160</v>
      </c>
      <c r="M719" t="s">
        <v>161</v>
      </c>
      <c r="N719" t="s">
        <v>107</v>
      </c>
      <c r="O719" t="s">
        <v>97</v>
      </c>
    </row>
    <row r="720" spans="1:15" x14ac:dyDescent="0.2">
      <c r="A720">
        <v>165</v>
      </c>
      <c r="B720">
        <v>166</v>
      </c>
      <c r="C720">
        <v>165</v>
      </c>
      <c r="D720">
        <v>164</v>
      </c>
      <c r="E720" t="s">
        <v>5</v>
      </c>
      <c r="F720" t="s">
        <v>27</v>
      </c>
      <c r="G720">
        <v>29</v>
      </c>
      <c r="H720" t="s">
        <v>152</v>
      </c>
      <c r="I720">
        <v>0</v>
      </c>
      <c r="J720">
        <v>0</v>
      </c>
      <c r="K720" t="s">
        <v>153</v>
      </c>
      <c r="L720" t="s">
        <v>154</v>
      </c>
      <c r="M720" t="s">
        <v>155</v>
      </c>
      <c r="N720" t="s">
        <v>107</v>
      </c>
      <c r="O720" t="s">
        <v>97</v>
      </c>
    </row>
    <row r="721" spans="1:15" x14ac:dyDescent="0.2">
      <c r="A721">
        <v>165</v>
      </c>
      <c r="B721">
        <v>166</v>
      </c>
      <c r="C721">
        <v>165</v>
      </c>
      <c r="D721">
        <v>164</v>
      </c>
      <c r="E721" t="s">
        <v>5</v>
      </c>
      <c r="F721" t="s">
        <v>27</v>
      </c>
      <c r="G721">
        <v>30</v>
      </c>
      <c r="H721" t="s">
        <v>162</v>
      </c>
      <c r="I721">
        <v>0</v>
      </c>
      <c r="J721" t="s">
        <v>196</v>
      </c>
      <c r="K721" t="s">
        <v>112</v>
      </c>
      <c r="L721" t="s">
        <v>163</v>
      </c>
      <c r="M721" t="s">
        <v>164</v>
      </c>
      <c r="N721" t="s">
        <v>107</v>
      </c>
      <c r="O721" t="s">
        <v>97</v>
      </c>
    </row>
    <row r="722" spans="1:15" x14ac:dyDescent="0.2">
      <c r="A722">
        <v>165</v>
      </c>
      <c r="B722">
        <v>166</v>
      </c>
      <c r="C722">
        <v>165</v>
      </c>
      <c r="D722">
        <v>164</v>
      </c>
      <c r="E722" t="s">
        <v>5</v>
      </c>
      <c r="F722" t="s">
        <v>27</v>
      </c>
      <c r="G722">
        <v>31</v>
      </c>
      <c r="H722" t="s">
        <v>162</v>
      </c>
      <c r="I722">
        <v>0</v>
      </c>
      <c r="J722">
        <v>0</v>
      </c>
      <c r="K722" t="s">
        <v>112</v>
      </c>
      <c r="L722" t="s">
        <v>163</v>
      </c>
      <c r="M722" t="s">
        <v>164</v>
      </c>
      <c r="N722" t="s">
        <v>107</v>
      </c>
      <c r="O722" t="s">
        <v>97</v>
      </c>
    </row>
    <row r="723" spans="1:15" x14ac:dyDescent="0.2">
      <c r="A723">
        <v>165</v>
      </c>
      <c r="B723">
        <v>166</v>
      </c>
      <c r="C723">
        <v>165</v>
      </c>
      <c r="D723">
        <v>164</v>
      </c>
      <c r="E723" t="s">
        <v>5</v>
      </c>
      <c r="F723" t="s">
        <v>27</v>
      </c>
      <c r="G723">
        <v>32</v>
      </c>
      <c r="H723" t="s">
        <v>162</v>
      </c>
      <c r="I723">
        <v>0</v>
      </c>
      <c r="J723">
        <v>0</v>
      </c>
      <c r="K723" t="s">
        <v>112</v>
      </c>
      <c r="L723" t="s">
        <v>163</v>
      </c>
      <c r="M723" t="s">
        <v>164</v>
      </c>
      <c r="N723" t="s">
        <v>107</v>
      </c>
      <c r="O723" t="s">
        <v>97</v>
      </c>
    </row>
    <row r="724" spans="1:15" x14ac:dyDescent="0.2">
      <c r="A724">
        <v>165</v>
      </c>
      <c r="B724">
        <v>166</v>
      </c>
      <c r="C724">
        <v>165</v>
      </c>
      <c r="D724">
        <v>164</v>
      </c>
      <c r="E724" t="s">
        <v>5</v>
      </c>
      <c r="F724" t="s">
        <v>27</v>
      </c>
      <c r="G724">
        <v>33</v>
      </c>
      <c r="H724" t="s">
        <v>152</v>
      </c>
      <c r="I724">
        <v>0</v>
      </c>
      <c r="J724">
        <v>1</v>
      </c>
      <c r="K724" t="s">
        <v>153</v>
      </c>
      <c r="L724" t="s">
        <v>154</v>
      </c>
      <c r="M724" t="s">
        <v>155</v>
      </c>
      <c r="N724" t="s">
        <v>107</v>
      </c>
      <c r="O724" t="s">
        <v>97</v>
      </c>
    </row>
    <row r="725" spans="1:15" x14ac:dyDescent="0.2">
      <c r="A725">
        <v>165</v>
      </c>
      <c r="B725">
        <v>166</v>
      </c>
      <c r="C725">
        <v>165</v>
      </c>
      <c r="D725">
        <v>164</v>
      </c>
      <c r="E725" t="s">
        <v>5</v>
      </c>
      <c r="F725" t="s">
        <v>27</v>
      </c>
      <c r="G725">
        <v>34</v>
      </c>
      <c r="H725" t="s">
        <v>152</v>
      </c>
      <c r="I725">
        <v>0</v>
      </c>
      <c r="J725">
        <v>0</v>
      </c>
      <c r="K725" t="s">
        <v>153</v>
      </c>
      <c r="L725" t="s">
        <v>154</v>
      </c>
      <c r="M725" t="s">
        <v>155</v>
      </c>
      <c r="N725" t="s">
        <v>107</v>
      </c>
      <c r="O725" t="s">
        <v>97</v>
      </c>
    </row>
    <row r="726" spans="1:15" x14ac:dyDescent="0.2">
      <c r="A726">
        <v>165</v>
      </c>
      <c r="B726">
        <v>166</v>
      </c>
      <c r="C726">
        <v>165</v>
      </c>
      <c r="D726">
        <v>164</v>
      </c>
      <c r="E726" t="s">
        <v>5</v>
      </c>
      <c r="F726" t="s">
        <v>27</v>
      </c>
      <c r="G726">
        <v>35</v>
      </c>
      <c r="H726" t="s">
        <v>165</v>
      </c>
      <c r="I726">
        <v>0</v>
      </c>
      <c r="J726">
        <v>1</v>
      </c>
      <c r="K726" t="s">
        <v>166</v>
      </c>
      <c r="L726" t="s">
        <v>167</v>
      </c>
      <c r="M726" t="s">
        <v>168</v>
      </c>
      <c r="N726" t="s">
        <v>107</v>
      </c>
      <c r="O726" t="s">
        <v>97</v>
      </c>
    </row>
    <row r="727" spans="1:15" x14ac:dyDescent="0.2">
      <c r="A727">
        <v>165</v>
      </c>
      <c r="B727">
        <v>166</v>
      </c>
      <c r="C727">
        <v>165</v>
      </c>
      <c r="D727">
        <v>164</v>
      </c>
      <c r="E727" t="s">
        <v>5</v>
      </c>
      <c r="F727" t="s">
        <v>27</v>
      </c>
      <c r="G727">
        <v>36</v>
      </c>
      <c r="H727" t="s">
        <v>169</v>
      </c>
      <c r="I727">
        <v>0</v>
      </c>
      <c r="J727">
        <v>0</v>
      </c>
      <c r="K727" t="e">
        <v>#N/A</v>
      </c>
      <c r="L727" t="e">
        <v>#N/A</v>
      </c>
      <c r="M727" t="e">
        <v>#N/A</v>
      </c>
      <c r="N727" t="e">
        <v>#N/A</v>
      </c>
      <c r="O727" t="s">
        <v>97</v>
      </c>
    </row>
    <row r="728" spans="1:15" x14ac:dyDescent="0.2">
      <c r="A728">
        <v>165</v>
      </c>
      <c r="B728">
        <v>166</v>
      </c>
      <c r="C728">
        <v>165</v>
      </c>
      <c r="D728">
        <v>164</v>
      </c>
      <c r="E728" t="s">
        <v>5</v>
      </c>
      <c r="F728" t="s">
        <v>27</v>
      </c>
      <c r="G728">
        <v>38</v>
      </c>
      <c r="H728" t="s">
        <v>170</v>
      </c>
      <c r="I728">
        <v>0</v>
      </c>
      <c r="J728">
        <v>0.5</v>
      </c>
      <c r="K728" t="s">
        <v>112</v>
      </c>
      <c r="L728" t="s">
        <v>171</v>
      </c>
      <c r="M728" t="s">
        <v>172</v>
      </c>
      <c r="N728" t="s">
        <v>96</v>
      </c>
      <c r="O728" t="s">
        <v>97</v>
      </c>
    </row>
    <row r="729" spans="1:15" x14ac:dyDescent="0.2">
      <c r="A729">
        <v>165</v>
      </c>
      <c r="B729">
        <v>166</v>
      </c>
      <c r="C729">
        <v>165</v>
      </c>
      <c r="D729">
        <v>164</v>
      </c>
      <c r="E729" t="s">
        <v>5</v>
      </c>
      <c r="F729" t="s">
        <v>27</v>
      </c>
      <c r="G729">
        <v>39</v>
      </c>
      <c r="H729" t="s">
        <v>170</v>
      </c>
      <c r="I729">
        <v>0</v>
      </c>
      <c r="J729">
        <v>0.5</v>
      </c>
      <c r="K729" t="s">
        <v>112</v>
      </c>
      <c r="L729" t="s">
        <v>171</v>
      </c>
      <c r="M729" t="s">
        <v>172</v>
      </c>
      <c r="N729" t="s">
        <v>96</v>
      </c>
      <c r="O729" t="s">
        <v>97</v>
      </c>
    </row>
    <row r="730" spans="1:15" x14ac:dyDescent="0.2">
      <c r="A730">
        <v>165</v>
      </c>
      <c r="B730">
        <v>166</v>
      </c>
      <c r="C730">
        <v>165</v>
      </c>
      <c r="D730">
        <v>164</v>
      </c>
      <c r="E730" t="s">
        <v>5</v>
      </c>
      <c r="F730" t="s">
        <v>27</v>
      </c>
      <c r="G730">
        <v>40</v>
      </c>
      <c r="H730" t="s">
        <v>170</v>
      </c>
      <c r="I730">
        <v>0</v>
      </c>
      <c r="J730">
        <v>0.5</v>
      </c>
      <c r="K730" t="s">
        <v>112</v>
      </c>
      <c r="L730" t="s">
        <v>171</v>
      </c>
      <c r="M730" t="s">
        <v>172</v>
      </c>
      <c r="N730" t="s">
        <v>96</v>
      </c>
      <c r="O730" t="s">
        <v>97</v>
      </c>
    </row>
    <row r="731" spans="1:15" x14ac:dyDescent="0.2">
      <c r="A731">
        <v>165</v>
      </c>
      <c r="B731">
        <v>166</v>
      </c>
      <c r="C731">
        <v>165</v>
      </c>
      <c r="D731">
        <v>164</v>
      </c>
      <c r="E731" t="s">
        <v>5</v>
      </c>
      <c r="F731" t="s">
        <v>27</v>
      </c>
      <c r="G731">
        <v>41</v>
      </c>
      <c r="H731" t="s">
        <v>173</v>
      </c>
      <c r="I731">
        <v>0</v>
      </c>
      <c r="J731" t="s">
        <v>195</v>
      </c>
      <c r="K731" t="s">
        <v>166</v>
      </c>
      <c r="L731" t="s">
        <v>174</v>
      </c>
      <c r="M731" t="s">
        <v>175</v>
      </c>
      <c r="N731" t="s">
        <v>107</v>
      </c>
      <c r="O731" t="s">
        <v>97</v>
      </c>
    </row>
    <row r="732" spans="1:15" x14ac:dyDescent="0.2">
      <c r="A732">
        <v>165</v>
      </c>
      <c r="B732">
        <v>166</v>
      </c>
      <c r="C732">
        <v>165</v>
      </c>
      <c r="D732">
        <v>164</v>
      </c>
      <c r="E732" t="s">
        <v>5</v>
      </c>
      <c r="F732" t="s">
        <v>27</v>
      </c>
      <c r="G732">
        <v>42</v>
      </c>
      <c r="H732" t="s">
        <v>176</v>
      </c>
      <c r="I732">
        <v>0</v>
      </c>
      <c r="J732" t="s">
        <v>198</v>
      </c>
      <c r="K732" t="s">
        <v>153</v>
      </c>
      <c r="L732" t="s">
        <v>177</v>
      </c>
      <c r="M732" t="s">
        <v>178</v>
      </c>
      <c r="N732" t="s">
        <v>107</v>
      </c>
      <c r="O732" t="s">
        <v>97</v>
      </c>
    </row>
    <row r="733" spans="1:15" x14ac:dyDescent="0.2">
      <c r="A733">
        <v>165</v>
      </c>
      <c r="B733">
        <v>166</v>
      </c>
      <c r="C733">
        <v>165</v>
      </c>
      <c r="D733">
        <v>164</v>
      </c>
      <c r="E733" t="s">
        <v>5</v>
      </c>
      <c r="F733" t="s">
        <v>27</v>
      </c>
      <c r="G733">
        <v>43</v>
      </c>
      <c r="H733" t="s">
        <v>179</v>
      </c>
      <c r="I733">
        <v>0</v>
      </c>
      <c r="J733">
        <v>0</v>
      </c>
      <c r="K733" t="s">
        <v>166</v>
      </c>
      <c r="L733" t="s">
        <v>180</v>
      </c>
      <c r="M733" t="s">
        <v>181</v>
      </c>
      <c r="N733" t="s">
        <v>107</v>
      </c>
      <c r="O733" t="s">
        <v>97</v>
      </c>
    </row>
    <row r="734" spans="1:15" x14ac:dyDescent="0.2">
      <c r="A734">
        <v>165</v>
      </c>
      <c r="B734">
        <v>166</v>
      </c>
      <c r="C734">
        <v>165</v>
      </c>
      <c r="D734">
        <v>164</v>
      </c>
      <c r="E734" t="s">
        <v>5</v>
      </c>
      <c r="F734" t="s">
        <v>27</v>
      </c>
      <c r="G734">
        <v>44</v>
      </c>
      <c r="H734" t="s">
        <v>182</v>
      </c>
      <c r="I734">
        <v>0</v>
      </c>
      <c r="J734">
        <v>1</v>
      </c>
      <c r="K734" t="s">
        <v>166</v>
      </c>
      <c r="L734" t="s">
        <v>183</v>
      </c>
      <c r="M734" t="s">
        <v>184</v>
      </c>
      <c r="N734" t="s">
        <v>107</v>
      </c>
      <c r="O734" t="s">
        <v>97</v>
      </c>
    </row>
    <row r="735" spans="1:15" x14ac:dyDescent="0.2">
      <c r="A735">
        <v>165</v>
      </c>
      <c r="B735">
        <v>166</v>
      </c>
      <c r="C735">
        <v>165</v>
      </c>
      <c r="D735">
        <v>164</v>
      </c>
      <c r="E735" t="s">
        <v>5</v>
      </c>
      <c r="F735" t="s">
        <v>27</v>
      </c>
      <c r="G735">
        <v>45</v>
      </c>
      <c r="H735" t="s">
        <v>185</v>
      </c>
      <c r="I735">
        <v>1</v>
      </c>
      <c r="J735">
        <v>1</v>
      </c>
      <c r="K735" t="s">
        <v>166</v>
      </c>
      <c r="L735" t="s">
        <v>186</v>
      </c>
      <c r="M735" t="s">
        <v>139</v>
      </c>
      <c r="N735" t="s">
        <v>107</v>
      </c>
      <c r="O735" t="s">
        <v>97</v>
      </c>
    </row>
    <row r="736" spans="1:15" x14ac:dyDescent="0.2">
      <c r="A736">
        <v>165</v>
      </c>
      <c r="B736">
        <v>166</v>
      </c>
      <c r="C736">
        <v>165</v>
      </c>
      <c r="D736">
        <v>164</v>
      </c>
      <c r="E736" t="s">
        <v>5</v>
      </c>
      <c r="F736" t="s">
        <v>27</v>
      </c>
      <c r="G736">
        <v>47</v>
      </c>
      <c r="H736" t="s">
        <v>187</v>
      </c>
      <c r="I736">
        <v>0</v>
      </c>
      <c r="J736">
        <v>0.2</v>
      </c>
      <c r="K736" t="s">
        <v>93</v>
      </c>
      <c r="L736" t="s">
        <v>188</v>
      </c>
      <c r="M736" t="s">
        <v>95</v>
      </c>
      <c r="N736" t="s">
        <v>96</v>
      </c>
      <c r="O736" t="s">
        <v>97</v>
      </c>
    </row>
    <row r="737" spans="1:15" x14ac:dyDescent="0.2">
      <c r="A737">
        <v>165</v>
      </c>
      <c r="B737">
        <v>166</v>
      </c>
      <c r="C737">
        <v>165</v>
      </c>
      <c r="D737">
        <v>164</v>
      </c>
      <c r="E737" t="s">
        <v>5</v>
      </c>
      <c r="F737" t="s">
        <v>27</v>
      </c>
      <c r="G737">
        <v>48</v>
      </c>
      <c r="H737" t="s">
        <v>189</v>
      </c>
      <c r="I737">
        <v>0</v>
      </c>
      <c r="J737">
        <v>0.2</v>
      </c>
      <c r="K737" t="s">
        <v>93</v>
      </c>
      <c r="L737" t="s">
        <v>190</v>
      </c>
      <c r="M737" t="s">
        <v>95</v>
      </c>
      <c r="N737" t="s">
        <v>96</v>
      </c>
      <c r="O737" t="s">
        <v>97</v>
      </c>
    </row>
    <row r="738" spans="1:15" x14ac:dyDescent="0.2">
      <c r="A738">
        <v>165</v>
      </c>
      <c r="B738">
        <v>166</v>
      </c>
      <c r="C738">
        <v>165</v>
      </c>
      <c r="D738">
        <v>164</v>
      </c>
      <c r="E738" t="s">
        <v>5</v>
      </c>
      <c r="F738" t="s">
        <v>27</v>
      </c>
      <c r="G738">
        <v>49</v>
      </c>
      <c r="H738" t="s">
        <v>191</v>
      </c>
      <c r="I738">
        <v>0</v>
      </c>
      <c r="J738">
        <v>0.2</v>
      </c>
      <c r="K738" t="s">
        <v>93</v>
      </c>
      <c r="L738" t="s">
        <v>192</v>
      </c>
      <c r="M738" t="s">
        <v>95</v>
      </c>
      <c r="N738" t="s">
        <v>96</v>
      </c>
      <c r="O738" t="s">
        <v>97</v>
      </c>
    </row>
    <row r="739" spans="1:15" x14ac:dyDescent="0.2">
      <c r="A739">
        <v>165</v>
      </c>
      <c r="B739">
        <v>166</v>
      </c>
      <c r="C739">
        <v>165</v>
      </c>
      <c r="D739">
        <v>164</v>
      </c>
      <c r="E739" t="s">
        <v>5</v>
      </c>
      <c r="F739" t="s">
        <v>27</v>
      </c>
      <c r="G739">
        <v>50</v>
      </c>
      <c r="H739" t="s">
        <v>193</v>
      </c>
      <c r="I739">
        <v>0.1</v>
      </c>
      <c r="J739">
        <v>0.1</v>
      </c>
      <c r="K739" t="s">
        <v>93</v>
      </c>
      <c r="L739" t="s">
        <v>194</v>
      </c>
      <c r="M739" t="s">
        <v>95</v>
      </c>
      <c r="N739" t="s">
        <v>96</v>
      </c>
      <c r="O739" t="s">
        <v>97</v>
      </c>
    </row>
    <row r="740" spans="1:15" x14ac:dyDescent="0.2">
      <c r="A740">
        <v>165</v>
      </c>
      <c r="B740">
        <v>166</v>
      </c>
      <c r="C740">
        <v>165</v>
      </c>
      <c r="D740">
        <v>164</v>
      </c>
      <c r="E740" t="s">
        <v>5</v>
      </c>
      <c r="F740" t="s">
        <v>27</v>
      </c>
      <c r="G740">
        <v>51</v>
      </c>
      <c r="H740" t="s">
        <v>193</v>
      </c>
      <c r="I740">
        <v>0.1</v>
      </c>
      <c r="J740">
        <v>0.1</v>
      </c>
      <c r="K740" t="s">
        <v>93</v>
      </c>
      <c r="L740" t="s">
        <v>194</v>
      </c>
      <c r="M740" t="s">
        <v>95</v>
      </c>
      <c r="N740" t="s">
        <v>96</v>
      </c>
      <c r="O740" t="s">
        <v>97</v>
      </c>
    </row>
    <row r="741" spans="1:15" x14ac:dyDescent="0.2">
      <c r="A741">
        <v>170</v>
      </c>
      <c r="B741">
        <v>171</v>
      </c>
      <c r="C741">
        <v>170</v>
      </c>
      <c r="D741">
        <v>169</v>
      </c>
      <c r="E741" t="s">
        <v>5</v>
      </c>
      <c r="F741" t="s">
        <v>28</v>
      </c>
      <c r="G741">
        <v>1</v>
      </c>
      <c r="H741" t="s">
        <v>92</v>
      </c>
      <c r="I741">
        <v>0.2</v>
      </c>
      <c r="J741">
        <v>0.2</v>
      </c>
      <c r="K741" t="s">
        <v>93</v>
      </c>
      <c r="L741" t="s">
        <v>94</v>
      </c>
      <c r="M741" t="s">
        <v>95</v>
      </c>
      <c r="N741" t="s">
        <v>96</v>
      </c>
      <c r="O741" t="s">
        <v>97</v>
      </c>
    </row>
    <row r="742" spans="1:15" x14ac:dyDescent="0.2">
      <c r="A742">
        <v>170</v>
      </c>
      <c r="B742">
        <v>171</v>
      </c>
      <c r="C742">
        <v>170</v>
      </c>
      <c r="D742">
        <v>169</v>
      </c>
      <c r="E742" t="s">
        <v>5</v>
      </c>
      <c r="F742" t="s">
        <v>28</v>
      </c>
      <c r="G742">
        <v>2</v>
      </c>
      <c r="H742" t="s">
        <v>98</v>
      </c>
      <c r="I742">
        <v>0.25</v>
      </c>
      <c r="J742">
        <v>0.5</v>
      </c>
      <c r="K742" t="s">
        <v>93</v>
      </c>
      <c r="L742" t="s">
        <v>99</v>
      </c>
      <c r="M742" t="s">
        <v>95</v>
      </c>
      <c r="N742" t="s">
        <v>96</v>
      </c>
      <c r="O742" t="s">
        <v>97</v>
      </c>
    </row>
    <row r="743" spans="1:15" x14ac:dyDescent="0.2">
      <c r="A743">
        <v>170</v>
      </c>
      <c r="B743">
        <v>171</v>
      </c>
      <c r="C743">
        <v>170</v>
      </c>
      <c r="D743">
        <v>169</v>
      </c>
      <c r="E743" t="s">
        <v>5</v>
      </c>
      <c r="F743" t="s">
        <v>28</v>
      </c>
      <c r="G743">
        <v>3</v>
      </c>
      <c r="H743" t="s">
        <v>100</v>
      </c>
      <c r="I743">
        <v>1</v>
      </c>
      <c r="J743">
        <v>1</v>
      </c>
      <c r="K743" t="s">
        <v>101</v>
      </c>
      <c r="L743" t="s">
        <v>102</v>
      </c>
      <c r="M743" t="s">
        <v>103</v>
      </c>
      <c r="N743" t="s">
        <v>96</v>
      </c>
      <c r="O743" t="s">
        <v>97</v>
      </c>
    </row>
    <row r="744" spans="1:15" x14ac:dyDescent="0.2">
      <c r="A744">
        <v>170</v>
      </c>
      <c r="B744">
        <v>171</v>
      </c>
      <c r="C744">
        <v>170</v>
      </c>
      <c r="D744">
        <v>169</v>
      </c>
      <c r="E744" t="s">
        <v>5</v>
      </c>
      <c r="F744" t="s">
        <v>28</v>
      </c>
      <c r="G744">
        <v>4</v>
      </c>
      <c r="H744" t="s">
        <v>104</v>
      </c>
      <c r="I744">
        <v>1</v>
      </c>
      <c r="J744">
        <v>1</v>
      </c>
      <c r="K744" t="s">
        <v>101</v>
      </c>
      <c r="L744" t="s">
        <v>105</v>
      </c>
      <c r="M744" t="s">
        <v>106</v>
      </c>
      <c r="N744" t="s">
        <v>107</v>
      </c>
      <c r="O744" t="s">
        <v>97</v>
      </c>
    </row>
    <row r="745" spans="1:15" x14ac:dyDescent="0.2">
      <c r="A745">
        <v>170</v>
      </c>
      <c r="B745">
        <v>171</v>
      </c>
      <c r="C745">
        <v>170</v>
      </c>
      <c r="D745">
        <v>169</v>
      </c>
      <c r="E745" t="s">
        <v>5</v>
      </c>
      <c r="F745" t="s">
        <v>28</v>
      </c>
      <c r="G745">
        <v>5</v>
      </c>
      <c r="H745" t="s">
        <v>108</v>
      </c>
      <c r="I745">
        <v>0</v>
      </c>
      <c r="J745">
        <v>1</v>
      </c>
      <c r="K745" t="s">
        <v>101</v>
      </c>
      <c r="L745" t="s">
        <v>109</v>
      </c>
      <c r="M745" t="s">
        <v>110</v>
      </c>
      <c r="N745" t="s">
        <v>107</v>
      </c>
      <c r="O745" t="s">
        <v>97</v>
      </c>
    </row>
    <row r="746" spans="1:15" x14ac:dyDescent="0.2">
      <c r="A746">
        <v>170</v>
      </c>
      <c r="B746">
        <v>171</v>
      </c>
      <c r="C746">
        <v>170</v>
      </c>
      <c r="D746">
        <v>169</v>
      </c>
      <c r="E746" t="s">
        <v>5</v>
      </c>
      <c r="F746" t="s">
        <v>28</v>
      </c>
      <c r="G746">
        <v>9</v>
      </c>
      <c r="H746" t="s">
        <v>111</v>
      </c>
      <c r="I746">
        <v>0.5</v>
      </c>
      <c r="J746">
        <v>0.5</v>
      </c>
      <c r="K746" t="s">
        <v>112</v>
      </c>
      <c r="L746" t="s">
        <v>113</v>
      </c>
      <c r="M746" t="s">
        <v>114</v>
      </c>
      <c r="N746" t="s">
        <v>96</v>
      </c>
      <c r="O746" t="s">
        <v>97</v>
      </c>
    </row>
    <row r="747" spans="1:15" x14ac:dyDescent="0.2">
      <c r="A747">
        <v>170</v>
      </c>
      <c r="B747">
        <v>171</v>
      </c>
      <c r="C747">
        <v>170</v>
      </c>
      <c r="D747">
        <v>169</v>
      </c>
      <c r="E747" t="s">
        <v>5</v>
      </c>
      <c r="F747" t="s">
        <v>28</v>
      </c>
      <c r="G747">
        <v>10</v>
      </c>
      <c r="H747" t="s">
        <v>115</v>
      </c>
      <c r="I747">
        <v>0.25</v>
      </c>
      <c r="J747">
        <v>0.5</v>
      </c>
      <c r="K747" t="s">
        <v>112</v>
      </c>
      <c r="L747" t="s">
        <v>116</v>
      </c>
      <c r="M747" t="s">
        <v>117</v>
      </c>
      <c r="N747" t="s">
        <v>96</v>
      </c>
      <c r="O747" t="s">
        <v>97</v>
      </c>
    </row>
    <row r="748" spans="1:15" x14ac:dyDescent="0.2">
      <c r="A748">
        <v>170</v>
      </c>
      <c r="B748">
        <v>171</v>
      </c>
      <c r="C748">
        <v>170</v>
      </c>
      <c r="D748">
        <v>169</v>
      </c>
      <c r="E748" t="s">
        <v>5</v>
      </c>
      <c r="F748" t="s">
        <v>28</v>
      </c>
      <c r="G748">
        <v>11</v>
      </c>
      <c r="H748" t="s">
        <v>118</v>
      </c>
      <c r="I748">
        <v>1</v>
      </c>
      <c r="J748">
        <v>1</v>
      </c>
      <c r="K748" t="s">
        <v>112</v>
      </c>
      <c r="L748" t="s">
        <v>119</v>
      </c>
      <c r="M748" t="s">
        <v>120</v>
      </c>
      <c r="N748" t="s">
        <v>107</v>
      </c>
      <c r="O748" t="s">
        <v>97</v>
      </c>
    </row>
    <row r="749" spans="1:15" x14ac:dyDescent="0.2">
      <c r="A749">
        <v>170</v>
      </c>
      <c r="B749">
        <v>171</v>
      </c>
      <c r="C749">
        <v>170</v>
      </c>
      <c r="D749">
        <v>169</v>
      </c>
      <c r="E749" t="s">
        <v>5</v>
      </c>
      <c r="F749" t="s">
        <v>28</v>
      </c>
      <c r="G749">
        <v>12</v>
      </c>
      <c r="H749" t="s">
        <v>121</v>
      </c>
      <c r="I749">
        <v>0.25</v>
      </c>
      <c r="J749">
        <v>0.5</v>
      </c>
      <c r="K749" t="s">
        <v>122</v>
      </c>
      <c r="L749" t="s">
        <v>113</v>
      </c>
      <c r="M749" t="s">
        <v>123</v>
      </c>
      <c r="N749" t="s">
        <v>96</v>
      </c>
      <c r="O749" t="s">
        <v>97</v>
      </c>
    </row>
    <row r="750" spans="1:15" x14ac:dyDescent="0.2">
      <c r="A750">
        <v>170</v>
      </c>
      <c r="B750">
        <v>171</v>
      </c>
      <c r="C750">
        <v>170</v>
      </c>
      <c r="D750">
        <v>169</v>
      </c>
      <c r="E750" t="s">
        <v>5</v>
      </c>
      <c r="F750" t="s">
        <v>28</v>
      </c>
      <c r="G750">
        <v>13</v>
      </c>
      <c r="H750" t="s">
        <v>124</v>
      </c>
      <c r="I750">
        <v>0</v>
      </c>
      <c r="J750">
        <v>0.5</v>
      </c>
      <c r="K750" t="s">
        <v>122</v>
      </c>
      <c r="L750" t="s">
        <v>125</v>
      </c>
      <c r="M750" t="s">
        <v>126</v>
      </c>
      <c r="N750" t="s">
        <v>96</v>
      </c>
      <c r="O750" t="s">
        <v>97</v>
      </c>
    </row>
    <row r="751" spans="1:15" x14ac:dyDescent="0.2">
      <c r="A751">
        <v>170</v>
      </c>
      <c r="B751">
        <v>171</v>
      </c>
      <c r="C751">
        <v>170</v>
      </c>
      <c r="D751">
        <v>169</v>
      </c>
      <c r="E751" t="s">
        <v>5</v>
      </c>
      <c r="F751" t="s">
        <v>28</v>
      </c>
      <c r="G751">
        <v>14</v>
      </c>
      <c r="H751" t="s">
        <v>127</v>
      </c>
      <c r="I751">
        <v>0.5</v>
      </c>
      <c r="J751">
        <v>1</v>
      </c>
      <c r="K751" t="s">
        <v>122</v>
      </c>
      <c r="L751" t="s">
        <v>119</v>
      </c>
      <c r="M751" t="s">
        <v>128</v>
      </c>
      <c r="N751" t="s">
        <v>107</v>
      </c>
      <c r="O751" t="s">
        <v>97</v>
      </c>
    </row>
    <row r="752" spans="1:15" x14ac:dyDescent="0.2">
      <c r="A752">
        <v>170</v>
      </c>
      <c r="B752">
        <v>171</v>
      </c>
      <c r="C752">
        <v>170</v>
      </c>
      <c r="D752">
        <v>169</v>
      </c>
      <c r="E752" t="s">
        <v>5</v>
      </c>
      <c r="F752" t="s">
        <v>28</v>
      </c>
      <c r="G752">
        <v>15</v>
      </c>
      <c r="H752" t="s">
        <v>129</v>
      </c>
      <c r="I752">
        <v>1</v>
      </c>
      <c r="J752">
        <v>1</v>
      </c>
      <c r="K752" t="s">
        <v>130</v>
      </c>
      <c r="L752" t="s">
        <v>131</v>
      </c>
      <c r="M752" t="s">
        <v>132</v>
      </c>
      <c r="N752" t="s">
        <v>107</v>
      </c>
      <c r="O752" t="s">
        <v>97</v>
      </c>
    </row>
    <row r="753" spans="1:15" x14ac:dyDescent="0.2">
      <c r="A753">
        <v>170</v>
      </c>
      <c r="B753">
        <v>171</v>
      </c>
      <c r="C753">
        <v>170</v>
      </c>
      <c r="D753">
        <v>169</v>
      </c>
      <c r="E753" t="s">
        <v>5</v>
      </c>
      <c r="F753" t="s">
        <v>28</v>
      </c>
      <c r="G753">
        <v>16</v>
      </c>
      <c r="H753" t="s">
        <v>133</v>
      </c>
      <c r="I753">
        <v>0</v>
      </c>
      <c r="J753">
        <v>0</v>
      </c>
      <c r="K753" t="e">
        <v>#N/A</v>
      </c>
      <c r="L753" t="e">
        <v>#N/A</v>
      </c>
      <c r="M753" t="e">
        <v>#N/A</v>
      </c>
      <c r="N753" t="e">
        <v>#N/A</v>
      </c>
      <c r="O753" t="s">
        <v>97</v>
      </c>
    </row>
    <row r="754" spans="1:15" x14ac:dyDescent="0.2">
      <c r="A754">
        <v>170</v>
      </c>
      <c r="B754">
        <v>171</v>
      </c>
      <c r="C754">
        <v>170</v>
      </c>
      <c r="D754">
        <v>169</v>
      </c>
      <c r="E754" t="s">
        <v>5</v>
      </c>
      <c r="F754" t="s">
        <v>28</v>
      </c>
      <c r="G754">
        <v>17</v>
      </c>
      <c r="H754" t="s">
        <v>134</v>
      </c>
      <c r="I754">
        <v>1</v>
      </c>
      <c r="J754">
        <v>1</v>
      </c>
      <c r="K754" t="s">
        <v>112</v>
      </c>
      <c r="L754" t="s">
        <v>135</v>
      </c>
      <c r="M754" t="s">
        <v>136</v>
      </c>
      <c r="N754" t="s">
        <v>107</v>
      </c>
      <c r="O754" t="s">
        <v>97</v>
      </c>
    </row>
    <row r="755" spans="1:15" x14ac:dyDescent="0.2">
      <c r="A755">
        <v>170</v>
      </c>
      <c r="B755">
        <v>171</v>
      </c>
      <c r="C755">
        <v>170</v>
      </c>
      <c r="D755">
        <v>169</v>
      </c>
      <c r="E755" t="s">
        <v>5</v>
      </c>
      <c r="F755" t="s">
        <v>28</v>
      </c>
      <c r="G755">
        <v>18</v>
      </c>
      <c r="H755" t="s">
        <v>137</v>
      </c>
      <c r="I755">
        <v>1</v>
      </c>
      <c r="J755">
        <v>1</v>
      </c>
      <c r="K755" t="s">
        <v>112</v>
      </c>
      <c r="L755" t="s">
        <v>138</v>
      </c>
      <c r="M755" t="s">
        <v>139</v>
      </c>
      <c r="N755" t="s">
        <v>107</v>
      </c>
      <c r="O755" t="s">
        <v>97</v>
      </c>
    </row>
    <row r="756" spans="1:15" x14ac:dyDescent="0.2">
      <c r="A756">
        <v>170</v>
      </c>
      <c r="B756">
        <v>171</v>
      </c>
      <c r="C756">
        <v>170</v>
      </c>
      <c r="D756">
        <v>169</v>
      </c>
      <c r="E756" t="s">
        <v>5</v>
      </c>
      <c r="F756" t="s">
        <v>28</v>
      </c>
      <c r="G756">
        <v>19</v>
      </c>
      <c r="H756" t="s">
        <v>140</v>
      </c>
      <c r="I756">
        <v>1</v>
      </c>
      <c r="J756">
        <v>1</v>
      </c>
      <c r="K756" t="s">
        <v>122</v>
      </c>
      <c r="L756" t="s">
        <v>141</v>
      </c>
      <c r="M756" t="s">
        <v>142</v>
      </c>
      <c r="N756" t="s">
        <v>107</v>
      </c>
      <c r="O756" t="s">
        <v>97</v>
      </c>
    </row>
    <row r="757" spans="1:15" x14ac:dyDescent="0.2">
      <c r="A757">
        <v>170</v>
      </c>
      <c r="B757">
        <v>171</v>
      </c>
      <c r="C757">
        <v>170</v>
      </c>
      <c r="D757">
        <v>169</v>
      </c>
      <c r="E757" t="s">
        <v>5</v>
      </c>
      <c r="F757" t="s">
        <v>28</v>
      </c>
      <c r="G757">
        <v>20</v>
      </c>
      <c r="H757" t="s">
        <v>143</v>
      </c>
      <c r="I757">
        <v>1</v>
      </c>
      <c r="J757">
        <v>1</v>
      </c>
      <c r="K757" t="s">
        <v>122</v>
      </c>
      <c r="L757" t="s">
        <v>144</v>
      </c>
      <c r="M757" t="s">
        <v>145</v>
      </c>
      <c r="N757" t="s">
        <v>107</v>
      </c>
      <c r="O757" t="s">
        <v>97</v>
      </c>
    </row>
    <row r="758" spans="1:15" x14ac:dyDescent="0.2">
      <c r="A758">
        <v>170</v>
      </c>
      <c r="B758">
        <v>171</v>
      </c>
      <c r="C758">
        <v>170</v>
      </c>
      <c r="D758">
        <v>169</v>
      </c>
      <c r="E758" t="s">
        <v>5</v>
      </c>
      <c r="F758" t="s">
        <v>28</v>
      </c>
      <c r="G758">
        <v>21</v>
      </c>
      <c r="H758" t="s">
        <v>146</v>
      </c>
      <c r="I758">
        <v>0.5</v>
      </c>
      <c r="J758">
        <v>1</v>
      </c>
      <c r="K758" t="s">
        <v>147</v>
      </c>
      <c r="L758" t="s">
        <v>148</v>
      </c>
      <c r="M758" t="s">
        <v>149</v>
      </c>
      <c r="N758" t="s">
        <v>96</v>
      </c>
      <c r="O758" t="s">
        <v>97</v>
      </c>
    </row>
    <row r="759" spans="1:15" x14ac:dyDescent="0.2">
      <c r="A759">
        <v>170</v>
      </c>
      <c r="B759">
        <v>171</v>
      </c>
      <c r="C759">
        <v>170</v>
      </c>
      <c r="D759">
        <v>169</v>
      </c>
      <c r="E759" t="s">
        <v>5</v>
      </c>
      <c r="F759" t="s">
        <v>28</v>
      </c>
      <c r="G759">
        <v>22</v>
      </c>
      <c r="H759" t="s">
        <v>150</v>
      </c>
      <c r="I759">
        <v>0</v>
      </c>
      <c r="J759">
        <v>1</v>
      </c>
      <c r="K759" t="s">
        <v>147</v>
      </c>
      <c r="L759" t="s">
        <v>151</v>
      </c>
      <c r="M759" t="s">
        <v>149</v>
      </c>
      <c r="N759" t="s">
        <v>107</v>
      </c>
      <c r="O759" t="s">
        <v>97</v>
      </c>
    </row>
    <row r="760" spans="1:15" x14ac:dyDescent="0.2">
      <c r="A760">
        <v>170</v>
      </c>
      <c r="B760">
        <v>171</v>
      </c>
      <c r="C760">
        <v>170</v>
      </c>
      <c r="D760">
        <v>169</v>
      </c>
      <c r="E760" t="s">
        <v>5</v>
      </c>
      <c r="F760" t="s">
        <v>28</v>
      </c>
      <c r="G760">
        <v>23</v>
      </c>
      <c r="H760" t="s">
        <v>152</v>
      </c>
      <c r="I760">
        <v>0</v>
      </c>
      <c r="J760">
        <v>0</v>
      </c>
      <c r="K760" t="s">
        <v>153</v>
      </c>
      <c r="L760" t="s">
        <v>154</v>
      </c>
      <c r="M760" t="s">
        <v>155</v>
      </c>
      <c r="N760" t="s">
        <v>107</v>
      </c>
      <c r="O760" t="s">
        <v>97</v>
      </c>
    </row>
    <row r="761" spans="1:15" x14ac:dyDescent="0.2">
      <c r="A761">
        <v>170</v>
      </c>
      <c r="B761">
        <v>171</v>
      </c>
      <c r="C761">
        <v>170</v>
      </c>
      <c r="D761">
        <v>169</v>
      </c>
      <c r="E761" t="s">
        <v>5</v>
      </c>
      <c r="F761" t="s">
        <v>28</v>
      </c>
      <c r="G761">
        <v>24</v>
      </c>
      <c r="H761" t="s">
        <v>156</v>
      </c>
      <c r="I761">
        <v>0.5</v>
      </c>
      <c r="J761">
        <v>0.5</v>
      </c>
      <c r="K761" t="s">
        <v>122</v>
      </c>
      <c r="L761" t="s">
        <v>157</v>
      </c>
      <c r="M761" t="s">
        <v>158</v>
      </c>
      <c r="N761" t="s">
        <v>107</v>
      </c>
      <c r="O761" t="s">
        <v>97</v>
      </c>
    </row>
    <row r="762" spans="1:15" x14ac:dyDescent="0.2">
      <c r="A762">
        <v>170</v>
      </c>
      <c r="B762">
        <v>171</v>
      </c>
      <c r="C762">
        <v>170</v>
      </c>
      <c r="D762">
        <v>169</v>
      </c>
      <c r="E762" t="s">
        <v>5</v>
      </c>
      <c r="F762" t="s">
        <v>28</v>
      </c>
      <c r="G762">
        <v>25</v>
      </c>
      <c r="H762" t="s">
        <v>156</v>
      </c>
      <c r="I762">
        <v>0.5</v>
      </c>
      <c r="J762">
        <v>0.5</v>
      </c>
      <c r="K762" t="s">
        <v>122</v>
      </c>
      <c r="L762" t="s">
        <v>157</v>
      </c>
      <c r="M762" t="s">
        <v>158</v>
      </c>
      <c r="N762" t="s">
        <v>107</v>
      </c>
      <c r="O762" t="s">
        <v>97</v>
      </c>
    </row>
    <row r="763" spans="1:15" x14ac:dyDescent="0.2">
      <c r="A763">
        <v>170</v>
      </c>
      <c r="B763">
        <v>171</v>
      </c>
      <c r="C763">
        <v>170</v>
      </c>
      <c r="D763">
        <v>169</v>
      </c>
      <c r="E763" t="s">
        <v>5</v>
      </c>
      <c r="F763" t="s">
        <v>28</v>
      </c>
      <c r="G763">
        <v>26</v>
      </c>
      <c r="H763" t="s">
        <v>152</v>
      </c>
      <c r="I763">
        <v>0</v>
      </c>
      <c r="J763">
        <v>0</v>
      </c>
      <c r="K763" t="s">
        <v>153</v>
      </c>
      <c r="L763" t="s">
        <v>154</v>
      </c>
      <c r="M763" t="s">
        <v>155</v>
      </c>
      <c r="N763" t="s">
        <v>107</v>
      </c>
      <c r="O763" t="s">
        <v>97</v>
      </c>
    </row>
    <row r="764" spans="1:15" x14ac:dyDescent="0.2">
      <c r="A764">
        <v>170</v>
      </c>
      <c r="B764">
        <v>171</v>
      </c>
      <c r="C764">
        <v>170</v>
      </c>
      <c r="D764">
        <v>169</v>
      </c>
      <c r="E764" t="s">
        <v>5</v>
      </c>
      <c r="F764" t="s">
        <v>28</v>
      </c>
      <c r="G764">
        <v>27</v>
      </c>
      <c r="H764" t="s">
        <v>159</v>
      </c>
      <c r="I764">
        <v>0</v>
      </c>
      <c r="J764" t="s">
        <v>196</v>
      </c>
      <c r="K764" t="s">
        <v>122</v>
      </c>
      <c r="L764" t="s">
        <v>160</v>
      </c>
      <c r="M764" t="s">
        <v>161</v>
      </c>
      <c r="N764" t="s">
        <v>107</v>
      </c>
      <c r="O764" t="s">
        <v>97</v>
      </c>
    </row>
    <row r="765" spans="1:15" x14ac:dyDescent="0.2">
      <c r="A765">
        <v>170</v>
      </c>
      <c r="B765">
        <v>171</v>
      </c>
      <c r="C765">
        <v>170</v>
      </c>
      <c r="D765">
        <v>169</v>
      </c>
      <c r="E765" t="s">
        <v>5</v>
      </c>
      <c r="F765" t="s">
        <v>28</v>
      </c>
      <c r="G765">
        <v>28</v>
      </c>
      <c r="H765" t="s">
        <v>159</v>
      </c>
      <c r="I765">
        <v>0</v>
      </c>
      <c r="J765" t="s">
        <v>196</v>
      </c>
      <c r="K765" t="s">
        <v>122</v>
      </c>
      <c r="L765" t="s">
        <v>160</v>
      </c>
      <c r="M765" t="s">
        <v>161</v>
      </c>
      <c r="N765" t="s">
        <v>107</v>
      </c>
      <c r="O765" t="s">
        <v>97</v>
      </c>
    </row>
    <row r="766" spans="1:15" x14ac:dyDescent="0.2">
      <c r="A766">
        <v>170</v>
      </c>
      <c r="B766">
        <v>171</v>
      </c>
      <c r="C766">
        <v>170</v>
      </c>
      <c r="D766">
        <v>169</v>
      </c>
      <c r="E766" t="s">
        <v>5</v>
      </c>
      <c r="F766" t="s">
        <v>28</v>
      </c>
      <c r="G766">
        <v>29</v>
      </c>
      <c r="H766" t="s">
        <v>152</v>
      </c>
      <c r="I766">
        <v>0</v>
      </c>
      <c r="J766">
        <v>0</v>
      </c>
      <c r="K766" t="s">
        <v>153</v>
      </c>
      <c r="L766" t="s">
        <v>154</v>
      </c>
      <c r="M766" t="s">
        <v>155</v>
      </c>
      <c r="N766" t="s">
        <v>107</v>
      </c>
      <c r="O766" t="s">
        <v>97</v>
      </c>
    </row>
    <row r="767" spans="1:15" x14ac:dyDescent="0.2">
      <c r="A767">
        <v>170</v>
      </c>
      <c r="B767">
        <v>171</v>
      </c>
      <c r="C767">
        <v>170</v>
      </c>
      <c r="D767">
        <v>169</v>
      </c>
      <c r="E767" t="s">
        <v>5</v>
      </c>
      <c r="F767" t="s">
        <v>28</v>
      </c>
      <c r="G767">
        <v>30</v>
      </c>
      <c r="H767" t="s">
        <v>162</v>
      </c>
      <c r="I767">
        <v>0</v>
      </c>
      <c r="J767" t="s">
        <v>196</v>
      </c>
      <c r="K767" t="s">
        <v>112</v>
      </c>
      <c r="L767" t="s">
        <v>163</v>
      </c>
      <c r="M767" t="s">
        <v>164</v>
      </c>
      <c r="N767" t="s">
        <v>107</v>
      </c>
      <c r="O767" t="s">
        <v>97</v>
      </c>
    </row>
    <row r="768" spans="1:15" x14ac:dyDescent="0.2">
      <c r="A768">
        <v>170</v>
      </c>
      <c r="B768">
        <v>171</v>
      </c>
      <c r="C768">
        <v>170</v>
      </c>
      <c r="D768">
        <v>169</v>
      </c>
      <c r="E768" t="s">
        <v>5</v>
      </c>
      <c r="F768" t="s">
        <v>28</v>
      </c>
      <c r="G768">
        <v>31</v>
      </c>
      <c r="H768" t="s">
        <v>162</v>
      </c>
      <c r="I768">
        <v>0</v>
      </c>
      <c r="J768">
        <v>0</v>
      </c>
      <c r="K768" t="s">
        <v>112</v>
      </c>
      <c r="L768" t="s">
        <v>163</v>
      </c>
      <c r="M768" t="s">
        <v>164</v>
      </c>
      <c r="N768" t="s">
        <v>107</v>
      </c>
      <c r="O768" t="s">
        <v>97</v>
      </c>
    </row>
    <row r="769" spans="1:15" x14ac:dyDescent="0.2">
      <c r="A769">
        <v>170</v>
      </c>
      <c r="B769">
        <v>171</v>
      </c>
      <c r="C769">
        <v>170</v>
      </c>
      <c r="D769">
        <v>169</v>
      </c>
      <c r="E769" t="s">
        <v>5</v>
      </c>
      <c r="F769" t="s">
        <v>28</v>
      </c>
      <c r="G769">
        <v>32</v>
      </c>
      <c r="H769" t="s">
        <v>162</v>
      </c>
      <c r="I769">
        <v>0</v>
      </c>
      <c r="J769">
        <v>0</v>
      </c>
      <c r="K769" t="s">
        <v>112</v>
      </c>
      <c r="L769" t="s">
        <v>163</v>
      </c>
      <c r="M769" t="s">
        <v>164</v>
      </c>
      <c r="N769" t="s">
        <v>107</v>
      </c>
      <c r="O769" t="s">
        <v>97</v>
      </c>
    </row>
    <row r="770" spans="1:15" x14ac:dyDescent="0.2">
      <c r="A770">
        <v>170</v>
      </c>
      <c r="B770">
        <v>171</v>
      </c>
      <c r="C770">
        <v>170</v>
      </c>
      <c r="D770">
        <v>169</v>
      </c>
      <c r="E770" t="s">
        <v>5</v>
      </c>
      <c r="F770" t="s">
        <v>28</v>
      </c>
      <c r="G770">
        <v>33</v>
      </c>
      <c r="H770" t="s">
        <v>152</v>
      </c>
      <c r="I770">
        <v>0</v>
      </c>
      <c r="J770">
        <v>1</v>
      </c>
      <c r="K770" t="s">
        <v>153</v>
      </c>
      <c r="L770" t="s">
        <v>154</v>
      </c>
      <c r="M770" t="s">
        <v>155</v>
      </c>
      <c r="N770" t="s">
        <v>107</v>
      </c>
      <c r="O770" t="s">
        <v>97</v>
      </c>
    </row>
    <row r="771" spans="1:15" x14ac:dyDescent="0.2">
      <c r="A771">
        <v>170</v>
      </c>
      <c r="B771">
        <v>171</v>
      </c>
      <c r="C771">
        <v>170</v>
      </c>
      <c r="D771">
        <v>169</v>
      </c>
      <c r="E771" t="s">
        <v>5</v>
      </c>
      <c r="F771" t="s">
        <v>28</v>
      </c>
      <c r="G771">
        <v>34</v>
      </c>
      <c r="H771" t="s">
        <v>152</v>
      </c>
      <c r="I771">
        <v>0</v>
      </c>
      <c r="J771">
        <v>0</v>
      </c>
      <c r="K771" t="s">
        <v>153</v>
      </c>
      <c r="L771" t="s">
        <v>154</v>
      </c>
      <c r="M771" t="s">
        <v>155</v>
      </c>
      <c r="N771" t="s">
        <v>107</v>
      </c>
      <c r="O771" t="s">
        <v>97</v>
      </c>
    </row>
    <row r="772" spans="1:15" x14ac:dyDescent="0.2">
      <c r="A772">
        <v>170</v>
      </c>
      <c r="B772">
        <v>171</v>
      </c>
      <c r="C772">
        <v>170</v>
      </c>
      <c r="D772">
        <v>169</v>
      </c>
      <c r="E772" t="s">
        <v>5</v>
      </c>
      <c r="F772" t="s">
        <v>28</v>
      </c>
      <c r="G772">
        <v>35</v>
      </c>
      <c r="H772" t="s">
        <v>165</v>
      </c>
      <c r="I772">
        <v>0</v>
      </c>
      <c r="J772">
        <v>1</v>
      </c>
      <c r="K772" t="s">
        <v>166</v>
      </c>
      <c r="L772" t="s">
        <v>167</v>
      </c>
      <c r="M772" t="s">
        <v>168</v>
      </c>
      <c r="N772" t="s">
        <v>107</v>
      </c>
      <c r="O772" t="s">
        <v>97</v>
      </c>
    </row>
    <row r="773" spans="1:15" x14ac:dyDescent="0.2">
      <c r="A773">
        <v>170</v>
      </c>
      <c r="B773">
        <v>171</v>
      </c>
      <c r="C773">
        <v>170</v>
      </c>
      <c r="D773">
        <v>169</v>
      </c>
      <c r="E773" t="s">
        <v>5</v>
      </c>
      <c r="F773" t="s">
        <v>28</v>
      </c>
      <c r="G773">
        <v>36</v>
      </c>
      <c r="H773" t="s">
        <v>169</v>
      </c>
      <c r="I773">
        <v>0</v>
      </c>
      <c r="J773">
        <v>0</v>
      </c>
      <c r="K773" t="e">
        <v>#N/A</v>
      </c>
      <c r="L773" t="e">
        <v>#N/A</v>
      </c>
      <c r="M773" t="e">
        <v>#N/A</v>
      </c>
      <c r="N773" t="e">
        <v>#N/A</v>
      </c>
      <c r="O773" t="s">
        <v>97</v>
      </c>
    </row>
    <row r="774" spans="1:15" x14ac:dyDescent="0.2">
      <c r="A774">
        <v>170</v>
      </c>
      <c r="B774">
        <v>171</v>
      </c>
      <c r="C774">
        <v>170</v>
      </c>
      <c r="D774">
        <v>169</v>
      </c>
      <c r="E774" t="s">
        <v>5</v>
      </c>
      <c r="F774" t="s">
        <v>28</v>
      </c>
      <c r="G774">
        <v>38</v>
      </c>
      <c r="H774" t="s">
        <v>170</v>
      </c>
      <c r="I774">
        <v>0.5</v>
      </c>
      <c r="J774">
        <v>0.5</v>
      </c>
      <c r="K774" t="s">
        <v>112</v>
      </c>
      <c r="L774" t="s">
        <v>171</v>
      </c>
      <c r="M774" t="s">
        <v>172</v>
      </c>
      <c r="N774" t="s">
        <v>96</v>
      </c>
      <c r="O774" t="s">
        <v>97</v>
      </c>
    </row>
    <row r="775" spans="1:15" x14ac:dyDescent="0.2">
      <c r="A775">
        <v>170</v>
      </c>
      <c r="B775">
        <v>171</v>
      </c>
      <c r="C775">
        <v>170</v>
      </c>
      <c r="D775">
        <v>169</v>
      </c>
      <c r="E775" t="s">
        <v>5</v>
      </c>
      <c r="F775" t="s">
        <v>28</v>
      </c>
      <c r="G775">
        <v>39</v>
      </c>
      <c r="H775" t="s">
        <v>170</v>
      </c>
      <c r="I775">
        <v>0</v>
      </c>
      <c r="J775">
        <v>0.5</v>
      </c>
      <c r="K775" t="s">
        <v>112</v>
      </c>
      <c r="L775" t="s">
        <v>171</v>
      </c>
      <c r="M775" t="s">
        <v>172</v>
      </c>
      <c r="N775" t="s">
        <v>96</v>
      </c>
      <c r="O775" t="s">
        <v>97</v>
      </c>
    </row>
    <row r="776" spans="1:15" x14ac:dyDescent="0.2">
      <c r="A776">
        <v>170</v>
      </c>
      <c r="B776">
        <v>171</v>
      </c>
      <c r="C776">
        <v>170</v>
      </c>
      <c r="D776">
        <v>169</v>
      </c>
      <c r="E776" t="s">
        <v>5</v>
      </c>
      <c r="F776" t="s">
        <v>28</v>
      </c>
      <c r="G776">
        <v>40</v>
      </c>
      <c r="H776" t="s">
        <v>170</v>
      </c>
      <c r="I776">
        <v>0.5</v>
      </c>
      <c r="J776">
        <v>0.5</v>
      </c>
      <c r="K776" t="s">
        <v>112</v>
      </c>
      <c r="L776" t="s">
        <v>171</v>
      </c>
      <c r="M776" t="s">
        <v>172</v>
      </c>
      <c r="N776" t="s">
        <v>96</v>
      </c>
      <c r="O776" t="s">
        <v>97</v>
      </c>
    </row>
    <row r="777" spans="1:15" x14ac:dyDescent="0.2">
      <c r="A777">
        <v>170</v>
      </c>
      <c r="B777">
        <v>171</v>
      </c>
      <c r="C777">
        <v>170</v>
      </c>
      <c r="D777">
        <v>169</v>
      </c>
      <c r="E777" t="s">
        <v>5</v>
      </c>
      <c r="F777" t="s">
        <v>28</v>
      </c>
      <c r="G777">
        <v>41</v>
      </c>
      <c r="H777" t="s">
        <v>173</v>
      </c>
      <c r="I777">
        <v>0</v>
      </c>
      <c r="J777">
        <v>1</v>
      </c>
      <c r="K777" t="s">
        <v>166</v>
      </c>
      <c r="L777" t="s">
        <v>174</v>
      </c>
      <c r="M777" t="s">
        <v>175</v>
      </c>
      <c r="N777" t="s">
        <v>107</v>
      </c>
      <c r="O777" t="s">
        <v>97</v>
      </c>
    </row>
    <row r="778" spans="1:15" x14ac:dyDescent="0.2">
      <c r="A778">
        <v>170</v>
      </c>
      <c r="B778">
        <v>171</v>
      </c>
      <c r="C778">
        <v>170</v>
      </c>
      <c r="D778">
        <v>169</v>
      </c>
      <c r="E778" t="s">
        <v>5</v>
      </c>
      <c r="F778" t="s">
        <v>28</v>
      </c>
      <c r="G778">
        <v>42</v>
      </c>
      <c r="H778" t="s">
        <v>176</v>
      </c>
      <c r="I778">
        <v>0</v>
      </c>
      <c r="J778" t="s">
        <v>198</v>
      </c>
      <c r="K778" t="s">
        <v>153</v>
      </c>
      <c r="L778" t="s">
        <v>177</v>
      </c>
      <c r="M778" t="s">
        <v>178</v>
      </c>
      <c r="N778" t="s">
        <v>107</v>
      </c>
      <c r="O778" t="s">
        <v>97</v>
      </c>
    </row>
    <row r="779" spans="1:15" x14ac:dyDescent="0.2">
      <c r="A779">
        <v>170</v>
      </c>
      <c r="B779">
        <v>171</v>
      </c>
      <c r="C779">
        <v>170</v>
      </c>
      <c r="D779">
        <v>169</v>
      </c>
      <c r="E779" t="s">
        <v>5</v>
      </c>
      <c r="F779" t="s">
        <v>28</v>
      </c>
      <c r="G779">
        <v>43</v>
      </c>
      <c r="H779" t="s">
        <v>179</v>
      </c>
      <c r="I779">
        <v>0</v>
      </c>
      <c r="J779">
        <v>0</v>
      </c>
      <c r="K779" t="s">
        <v>166</v>
      </c>
      <c r="L779" t="s">
        <v>180</v>
      </c>
      <c r="M779" t="s">
        <v>181</v>
      </c>
      <c r="N779" t="s">
        <v>107</v>
      </c>
      <c r="O779" t="s">
        <v>97</v>
      </c>
    </row>
    <row r="780" spans="1:15" x14ac:dyDescent="0.2">
      <c r="A780">
        <v>170</v>
      </c>
      <c r="B780">
        <v>171</v>
      </c>
      <c r="C780">
        <v>170</v>
      </c>
      <c r="D780">
        <v>169</v>
      </c>
      <c r="E780" t="s">
        <v>5</v>
      </c>
      <c r="F780" t="s">
        <v>28</v>
      </c>
      <c r="G780">
        <v>44</v>
      </c>
      <c r="H780" t="s">
        <v>182</v>
      </c>
      <c r="I780">
        <v>0</v>
      </c>
      <c r="J780">
        <v>1</v>
      </c>
      <c r="K780" t="s">
        <v>166</v>
      </c>
      <c r="L780" t="s">
        <v>183</v>
      </c>
      <c r="M780" t="s">
        <v>184</v>
      </c>
      <c r="N780" t="s">
        <v>107</v>
      </c>
      <c r="O780" t="s">
        <v>97</v>
      </c>
    </row>
    <row r="781" spans="1:15" x14ac:dyDescent="0.2">
      <c r="A781">
        <v>170</v>
      </c>
      <c r="B781">
        <v>171</v>
      </c>
      <c r="C781">
        <v>170</v>
      </c>
      <c r="D781">
        <v>169</v>
      </c>
      <c r="E781" t="s">
        <v>5</v>
      </c>
      <c r="F781" t="s">
        <v>28</v>
      </c>
      <c r="G781">
        <v>45</v>
      </c>
      <c r="H781" t="s">
        <v>185</v>
      </c>
      <c r="I781">
        <v>1</v>
      </c>
      <c r="J781">
        <v>1</v>
      </c>
      <c r="K781" t="s">
        <v>166</v>
      </c>
      <c r="L781" t="s">
        <v>186</v>
      </c>
      <c r="M781" t="s">
        <v>139</v>
      </c>
      <c r="N781" t="s">
        <v>107</v>
      </c>
      <c r="O781" t="s">
        <v>97</v>
      </c>
    </row>
    <row r="782" spans="1:15" x14ac:dyDescent="0.2">
      <c r="A782">
        <v>170</v>
      </c>
      <c r="B782">
        <v>171</v>
      </c>
      <c r="C782">
        <v>170</v>
      </c>
      <c r="D782">
        <v>169</v>
      </c>
      <c r="E782" t="s">
        <v>5</v>
      </c>
      <c r="F782" t="s">
        <v>28</v>
      </c>
      <c r="G782">
        <v>47</v>
      </c>
      <c r="H782" t="s">
        <v>187</v>
      </c>
      <c r="I782">
        <v>0</v>
      </c>
      <c r="J782">
        <v>0.2</v>
      </c>
      <c r="K782" t="s">
        <v>93</v>
      </c>
      <c r="L782" t="s">
        <v>188</v>
      </c>
      <c r="M782" t="s">
        <v>95</v>
      </c>
      <c r="N782" t="s">
        <v>96</v>
      </c>
      <c r="O782" t="s">
        <v>97</v>
      </c>
    </row>
    <row r="783" spans="1:15" x14ac:dyDescent="0.2">
      <c r="A783">
        <v>170</v>
      </c>
      <c r="B783">
        <v>171</v>
      </c>
      <c r="C783">
        <v>170</v>
      </c>
      <c r="D783">
        <v>169</v>
      </c>
      <c r="E783" t="s">
        <v>5</v>
      </c>
      <c r="F783" t="s">
        <v>28</v>
      </c>
      <c r="G783">
        <v>48</v>
      </c>
      <c r="H783" t="s">
        <v>189</v>
      </c>
      <c r="I783">
        <v>0</v>
      </c>
      <c r="J783">
        <v>0.2</v>
      </c>
      <c r="K783" t="s">
        <v>93</v>
      </c>
      <c r="L783" t="s">
        <v>190</v>
      </c>
      <c r="M783" t="s">
        <v>95</v>
      </c>
      <c r="N783" t="s">
        <v>96</v>
      </c>
      <c r="O783" t="s">
        <v>97</v>
      </c>
    </row>
    <row r="784" spans="1:15" x14ac:dyDescent="0.2">
      <c r="A784">
        <v>170</v>
      </c>
      <c r="B784">
        <v>171</v>
      </c>
      <c r="C784">
        <v>170</v>
      </c>
      <c r="D784">
        <v>169</v>
      </c>
      <c r="E784" t="s">
        <v>5</v>
      </c>
      <c r="F784" t="s">
        <v>28</v>
      </c>
      <c r="G784">
        <v>49</v>
      </c>
      <c r="H784" t="s">
        <v>191</v>
      </c>
      <c r="I784">
        <v>0</v>
      </c>
      <c r="J784">
        <v>0.2</v>
      </c>
      <c r="K784" t="s">
        <v>93</v>
      </c>
      <c r="L784" t="s">
        <v>192</v>
      </c>
      <c r="M784" t="s">
        <v>95</v>
      </c>
      <c r="N784" t="s">
        <v>96</v>
      </c>
      <c r="O784" t="s">
        <v>97</v>
      </c>
    </row>
    <row r="785" spans="1:15" x14ac:dyDescent="0.2">
      <c r="A785">
        <v>170</v>
      </c>
      <c r="B785">
        <v>171</v>
      </c>
      <c r="C785">
        <v>170</v>
      </c>
      <c r="D785">
        <v>169</v>
      </c>
      <c r="E785" t="s">
        <v>5</v>
      </c>
      <c r="F785" t="s">
        <v>28</v>
      </c>
      <c r="G785">
        <v>50</v>
      </c>
      <c r="H785" t="s">
        <v>193</v>
      </c>
      <c r="I785">
        <v>0.1</v>
      </c>
      <c r="J785">
        <v>0.1</v>
      </c>
      <c r="K785" t="s">
        <v>93</v>
      </c>
      <c r="L785" t="s">
        <v>194</v>
      </c>
      <c r="M785" t="s">
        <v>95</v>
      </c>
      <c r="N785" t="s">
        <v>96</v>
      </c>
      <c r="O785" t="s">
        <v>97</v>
      </c>
    </row>
    <row r="786" spans="1:15" x14ac:dyDescent="0.2">
      <c r="A786">
        <v>170</v>
      </c>
      <c r="B786">
        <v>171</v>
      </c>
      <c r="C786">
        <v>170</v>
      </c>
      <c r="D786">
        <v>169</v>
      </c>
      <c r="E786" t="s">
        <v>5</v>
      </c>
      <c r="F786" t="s">
        <v>28</v>
      </c>
      <c r="G786">
        <v>51</v>
      </c>
      <c r="H786" t="s">
        <v>193</v>
      </c>
      <c r="I786">
        <v>0.1</v>
      </c>
      <c r="J786">
        <v>0.1</v>
      </c>
      <c r="K786" t="s">
        <v>93</v>
      </c>
      <c r="L786" t="s">
        <v>194</v>
      </c>
      <c r="M786" t="s">
        <v>95</v>
      </c>
      <c r="N786" t="s">
        <v>96</v>
      </c>
      <c r="O786" t="s">
        <v>97</v>
      </c>
    </row>
    <row r="787" spans="1:15" x14ac:dyDescent="0.2">
      <c r="A787">
        <v>175</v>
      </c>
      <c r="B787">
        <v>176</v>
      </c>
      <c r="C787">
        <v>175</v>
      </c>
      <c r="D787">
        <v>174</v>
      </c>
      <c r="E787" t="s">
        <v>5</v>
      </c>
      <c r="F787" t="s">
        <v>29</v>
      </c>
      <c r="G787">
        <v>1</v>
      </c>
      <c r="H787" t="s">
        <v>92</v>
      </c>
      <c r="I787">
        <v>0</v>
      </c>
      <c r="J787">
        <v>0.2</v>
      </c>
      <c r="K787" t="s">
        <v>93</v>
      </c>
      <c r="L787" t="s">
        <v>94</v>
      </c>
      <c r="M787" t="s">
        <v>95</v>
      </c>
      <c r="N787" t="s">
        <v>96</v>
      </c>
      <c r="O787" t="s">
        <v>97</v>
      </c>
    </row>
    <row r="788" spans="1:15" x14ac:dyDescent="0.2">
      <c r="A788">
        <v>175</v>
      </c>
      <c r="B788">
        <v>176</v>
      </c>
      <c r="C788">
        <v>175</v>
      </c>
      <c r="D788">
        <v>174</v>
      </c>
      <c r="E788" t="s">
        <v>5</v>
      </c>
      <c r="F788" t="s">
        <v>29</v>
      </c>
      <c r="G788">
        <v>2</v>
      </c>
      <c r="H788" t="s">
        <v>98</v>
      </c>
      <c r="I788">
        <v>0.25</v>
      </c>
      <c r="J788">
        <v>0.5</v>
      </c>
      <c r="K788" t="s">
        <v>93</v>
      </c>
      <c r="L788" t="s">
        <v>99</v>
      </c>
      <c r="M788" t="s">
        <v>95</v>
      </c>
      <c r="N788" t="s">
        <v>96</v>
      </c>
      <c r="O788" t="s">
        <v>97</v>
      </c>
    </row>
    <row r="789" spans="1:15" x14ac:dyDescent="0.2">
      <c r="A789">
        <v>175</v>
      </c>
      <c r="B789">
        <v>176</v>
      </c>
      <c r="C789">
        <v>175</v>
      </c>
      <c r="D789">
        <v>174</v>
      </c>
      <c r="E789" t="s">
        <v>5</v>
      </c>
      <c r="F789" t="s">
        <v>29</v>
      </c>
      <c r="G789">
        <v>3</v>
      </c>
      <c r="H789" t="s">
        <v>100</v>
      </c>
      <c r="I789">
        <v>0</v>
      </c>
      <c r="J789">
        <v>1</v>
      </c>
      <c r="K789" t="s">
        <v>101</v>
      </c>
      <c r="L789" t="s">
        <v>102</v>
      </c>
      <c r="M789" t="s">
        <v>103</v>
      </c>
      <c r="N789" t="s">
        <v>96</v>
      </c>
      <c r="O789" t="s">
        <v>97</v>
      </c>
    </row>
    <row r="790" spans="1:15" x14ac:dyDescent="0.2">
      <c r="A790">
        <v>175</v>
      </c>
      <c r="B790">
        <v>176</v>
      </c>
      <c r="C790">
        <v>175</v>
      </c>
      <c r="D790">
        <v>174</v>
      </c>
      <c r="E790" t="s">
        <v>5</v>
      </c>
      <c r="F790" t="s">
        <v>29</v>
      </c>
      <c r="G790">
        <v>4</v>
      </c>
      <c r="H790" t="s">
        <v>104</v>
      </c>
      <c r="I790">
        <v>1</v>
      </c>
      <c r="J790">
        <v>1</v>
      </c>
      <c r="K790" t="s">
        <v>101</v>
      </c>
      <c r="L790" t="s">
        <v>105</v>
      </c>
      <c r="M790" t="s">
        <v>106</v>
      </c>
      <c r="N790" t="s">
        <v>107</v>
      </c>
      <c r="O790" t="s">
        <v>97</v>
      </c>
    </row>
    <row r="791" spans="1:15" x14ac:dyDescent="0.2">
      <c r="A791">
        <v>175</v>
      </c>
      <c r="B791">
        <v>176</v>
      </c>
      <c r="C791">
        <v>175</v>
      </c>
      <c r="D791">
        <v>174</v>
      </c>
      <c r="E791" t="s">
        <v>5</v>
      </c>
      <c r="F791" t="s">
        <v>29</v>
      </c>
      <c r="G791">
        <v>5</v>
      </c>
      <c r="H791" t="s">
        <v>108</v>
      </c>
      <c r="I791">
        <v>0</v>
      </c>
      <c r="J791">
        <v>1</v>
      </c>
      <c r="K791" t="s">
        <v>101</v>
      </c>
      <c r="L791" t="s">
        <v>109</v>
      </c>
      <c r="M791" t="s">
        <v>110</v>
      </c>
      <c r="N791" t="s">
        <v>107</v>
      </c>
      <c r="O791" t="s">
        <v>97</v>
      </c>
    </row>
    <row r="792" spans="1:15" x14ac:dyDescent="0.2">
      <c r="A792">
        <v>175</v>
      </c>
      <c r="B792">
        <v>176</v>
      </c>
      <c r="C792">
        <v>175</v>
      </c>
      <c r="D792">
        <v>174</v>
      </c>
      <c r="E792" t="s">
        <v>5</v>
      </c>
      <c r="F792" t="s">
        <v>29</v>
      </c>
      <c r="G792">
        <v>9</v>
      </c>
      <c r="H792" t="s">
        <v>111</v>
      </c>
      <c r="I792">
        <v>0</v>
      </c>
      <c r="J792">
        <v>0.5</v>
      </c>
      <c r="K792" t="s">
        <v>112</v>
      </c>
      <c r="L792" t="s">
        <v>113</v>
      </c>
      <c r="M792" t="s">
        <v>114</v>
      </c>
      <c r="N792" t="s">
        <v>96</v>
      </c>
      <c r="O792" t="s">
        <v>97</v>
      </c>
    </row>
    <row r="793" spans="1:15" x14ac:dyDescent="0.2">
      <c r="A793">
        <v>175</v>
      </c>
      <c r="B793">
        <v>176</v>
      </c>
      <c r="C793">
        <v>175</v>
      </c>
      <c r="D793">
        <v>174</v>
      </c>
      <c r="E793" t="s">
        <v>5</v>
      </c>
      <c r="F793" t="s">
        <v>29</v>
      </c>
      <c r="G793">
        <v>10</v>
      </c>
      <c r="H793" t="s">
        <v>115</v>
      </c>
      <c r="I793">
        <v>0</v>
      </c>
      <c r="J793">
        <v>0.5</v>
      </c>
      <c r="K793" t="s">
        <v>112</v>
      </c>
      <c r="L793" t="s">
        <v>116</v>
      </c>
      <c r="M793" t="s">
        <v>117</v>
      </c>
      <c r="N793" t="s">
        <v>96</v>
      </c>
      <c r="O793" t="s">
        <v>97</v>
      </c>
    </row>
    <row r="794" spans="1:15" x14ac:dyDescent="0.2">
      <c r="A794">
        <v>175</v>
      </c>
      <c r="B794">
        <v>176</v>
      </c>
      <c r="C794">
        <v>175</v>
      </c>
      <c r="D794">
        <v>174</v>
      </c>
      <c r="E794" t="s">
        <v>5</v>
      </c>
      <c r="F794" t="s">
        <v>29</v>
      </c>
      <c r="G794">
        <v>11</v>
      </c>
      <c r="H794" t="s">
        <v>118</v>
      </c>
      <c r="I794">
        <v>0.5</v>
      </c>
      <c r="J794">
        <v>1</v>
      </c>
      <c r="K794" t="s">
        <v>112</v>
      </c>
      <c r="L794" t="s">
        <v>119</v>
      </c>
      <c r="M794" t="s">
        <v>120</v>
      </c>
      <c r="N794" t="s">
        <v>107</v>
      </c>
      <c r="O794" t="s">
        <v>97</v>
      </c>
    </row>
    <row r="795" spans="1:15" x14ac:dyDescent="0.2">
      <c r="A795">
        <v>175</v>
      </c>
      <c r="B795">
        <v>176</v>
      </c>
      <c r="C795">
        <v>175</v>
      </c>
      <c r="D795">
        <v>174</v>
      </c>
      <c r="E795" t="s">
        <v>5</v>
      </c>
      <c r="F795" t="s">
        <v>29</v>
      </c>
      <c r="G795">
        <v>12</v>
      </c>
      <c r="H795" t="s">
        <v>121</v>
      </c>
      <c r="I795">
        <v>0</v>
      </c>
      <c r="J795">
        <v>0.5</v>
      </c>
      <c r="K795" t="s">
        <v>122</v>
      </c>
      <c r="L795" t="s">
        <v>113</v>
      </c>
      <c r="M795" t="s">
        <v>123</v>
      </c>
      <c r="N795" t="s">
        <v>96</v>
      </c>
      <c r="O795" t="s">
        <v>97</v>
      </c>
    </row>
    <row r="796" spans="1:15" x14ac:dyDescent="0.2">
      <c r="A796">
        <v>175</v>
      </c>
      <c r="B796">
        <v>176</v>
      </c>
      <c r="C796">
        <v>175</v>
      </c>
      <c r="D796">
        <v>174</v>
      </c>
      <c r="E796" t="s">
        <v>5</v>
      </c>
      <c r="F796" t="s">
        <v>29</v>
      </c>
      <c r="G796">
        <v>13</v>
      </c>
      <c r="H796" t="s">
        <v>124</v>
      </c>
      <c r="I796">
        <v>0</v>
      </c>
      <c r="J796">
        <v>0.5</v>
      </c>
      <c r="K796" t="s">
        <v>122</v>
      </c>
      <c r="L796" t="s">
        <v>125</v>
      </c>
      <c r="M796" t="s">
        <v>126</v>
      </c>
      <c r="N796" t="s">
        <v>96</v>
      </c>
      <c r="O796" t="s">
        <v>97</v>
      </c>
    </row>
    <row r="797" spans="1:15" x14ac:dyDescent="0.2">
      <c r="A797">
        <v>175</v>
      </c>
      <c r="B797">
        <v>176</v>
      </c>
      <c r="C797">
        <v>175</v>
      </c>
      <c r="D797">
        <v>174</v>
      </c>
      <c r="E797" t="s">
        <v>5</v>
      </c>
      <c r="F797" t="s">
        <v>29</v>
      </c>
      <c r="G797">
        <v>14</v>
      </c>
      <c r="H797" t="s">
        <v>127</v>
      </c>
      <c r="I797">
        <v>0.5</v>
      </c>
      <c r="J797">
        <v>1</v>
      </c>
      <c r="K797" t="s">
        <v>122</v>
      </c>
      <c r="L797" t="s">
        <v>119</v>
      </c>
      <c r="M797" t="s">
        <v>128</v>
      </c>
      <c r="N797" t="s">
        <v>107</v>
      </c>
      <c r="O797" t="s">
        <v>97</v>
      </c>
    </row>
    <row r="798" spans="1:15" x14ac:dyDescent="0.2">
      <c r="A798">
        <v>175</v>
      </c>
      <c r="B798">
        <v>176</v>
      </c>
      <c r="C798">
        <v>175</v>
      </c>
      <c r="D798">
        <v>174</v>
      </c>
      <c r="E798" t="s">
        <v>5</v>
      </c>
      <c r="F798" t="s">
        <v>29</v>
      </c>
      <c r="G798">
        <v>15</v>
      </c>
      <c r="H798" t="s">
        <v>129</v>
      </c>
      <c r="I798">
        <v>0</v>
      </c>
      <c r="J798">
        <v>1</v>
      </c>
      <c r="K798" t="s">
        <v>130</v>
      </c>
      <c r="L798" t="s">
        <v>131</v>
      </c>
      <c r="M798" t="s">
        <v>132</v>
      </c>
      <c r="N798" t="s">
        <v>107</v>
      </c>
      <c r="O798" t="s">
        <v>97</v>
      </c>
    </row>
    <row r="799" spans="1:15" x14ac:dyDescent="0.2">
      <c r="A799">
        <v>175</v>
      </c>
      <c r="B799">
        <v>176</v>
      </c>
      <c r="C799">
        <v>175</v>
      </c>
      <c r="D799">
        <v>174</v>
      </c>
      <c r="E799" t="s">
        <v>5</v>
      </c>
      <c r="F799" t="s">
        <v>29</v>
      </c>
      <c r="G799">
        <v>16</v>
      </c>
      <c r="H799" t="s">
        <v>133</v>
      </c>
      <c r="I799">
        <v>0</v>
      </c>
      <c r="J799">
        <v>0</v>
      </c>
      <c r="K799" t="e">
        <v>#N/A</v>
      </c>
      <c r="L799" t="e">
        <v>#N/A</v>
      </c>
      <c r="M799" t="e">
        <v>#N/A</v>
      </c>
      <c r="N799" t="e">
        <v>#N/A</v>
      </c>
      <c r="O799" t="s">
        <v>97</v>
      </c>
    </row>
    <row r="800" spans="1:15" x14ac:dyDescent="0.2">
      <c r="A800">
        <v>175</v>
      </c>
      <c r="B800">
        <v>176</v>
      </c>
      <c r="C800">
        <v>175</v>
      </c>
      <c r="D800">
        <v>174</v>
      </c>
      <c r="E800" t="s">
        <v>5</v>
      </c>
      <c r="F800" t="s">
        <v>29</v>
      </c>
      <c r="G800">
        <v>17</v>
      </c>
      <c r="H800" t="s">
        <v>134</v>
      </c>
      <c r="I800">
        <v>0.5</v>
      </c>
      <c r="J800">
        <v>1</v>
      </c>
      <c r="K800" t="s">
        <v>112</v>
      </c>
      <c r="L800" t="s">
        <v>135</v>
      </c>
      <c r="M800" t="s">
        <v>136</v>
      </c>
      <c r="N800" t="s">
        <v>107</v>
      </c>
      <c r="O800" t="s">
        <v>97</v>
      </c>
    </row>
    <row r="801" spans="1:15" x14ac:dyDescent="0.2">
      <c r="A801">
        <v>175</v>
      </c>
      <c r="B801">
        <v>176</v>
      </c>
      <c r="C801">
        <v>175</v>
      </c>
      <c r="D801">
        <v>174</v>
      </c>
      <c r="E801" t="s">
        <v>5</v>
      </c>
      <c r="F801" t="s">
        <v>29</v>
      </c>
      <c r="G801">
        <v>18</v>
      </c>
      <c r="H801" t="s">
        <v>137</v>
      </c>
      <c r="I801">
        <v>1</v>
      </c>
      <c r="J801">
        <v>1</v>
      </c>
      <c r="K801" t="s">
        <v>112</v>
      </c>
      <c r="L801" t="s">
        <v>138</v>
      </c>
      <c r="M801" t="s">
        <v>139</v>
      </c>
      <c r="N801" t="s">
        <v>107</v>
      </c>
      <c r="O801" t="s">
        <v>97</v>
      </c>
    </row>
    <row r="802" spans="1:15" x14ac:dyDescent="0.2">
      <c r="A802">
        <v>175</v>
      </c>
      <c r="B802">
        <v>176</v>
      </c>
      <c r="C802">
        <v>175</v>
      </c>
      <c r="D802">
        <v>174</v>
      </c>
      <c r="E802" t="s">
        <v>5</v>
      </c>
      <c r="F802" t="s">
        <v>29</v>
      </c>
      <c r="G802">
        <v>19</v>
      </c>
      <c r="H802" t="s">
        <v>140</v>
      </c>
      <c r="I802">
        <v>0</v>
      </c>
      <c r="J802" t="s">
        <v>195</v>
      </c>
      <c r="K802" t="s">
        <v>122</v>
      </c>
      <c r="L802" t="s">
        <v>141</v>
      </c>
      <c r="M802" t="s">
        <v>142</v>
      </c>
      <c r="N802" t="s">
        <v>107</v>
      </c>
      <c r="O802" t="s">
        <v>97</v>
      </c>
    </row>
    <row r="803" spans="1:15" x14ac:dyDescent="0.2">
      <c r="A803">
        <v>175</v>
      </c>
      <c r="B803">
        <v>176</v>
      </c>
      <c r="C803">
        <v>175</v>
      </c>
      <c r="D803">
        <v>174</v>
      </c>
      <c r="E803" t="s">
        <v>5</v>
      </c>
      <c r="F803" t="s">
        <v>29</v>
      </c>
      <c r="G803">
        <v>20</v>
      </c>
      <c r="H803" t="s">
        <v>143</v>
      </c>
      <c r="I803">
        <v>0</v>
      </c>
      <c r="J803">
        <v>1</v>
      </c>
      <c r="K803" t="s">
        <v>122</v>
      </c>
      <c r="L803" t="s">
        <v>144</v>
      </c>
      <c r="M803" t="s">
        <v>145</v>
      </c>
      <c r="N803" t="s">
        <v>107</v>
      </c>
      <c r="O803" t="s">
        <v>97</v>
      </c>
    </row>
    <row r="804" spans="1:15" x14ac:dyDescent="0.2">
      <c r="A804">
        <v>175</v>
      </c>
      <c r="B804">
        <v>176</v>
      </c>
      <c r="C804">
        <v>175</v>
      </c>
      <c r="D804">
        <v>174</v>
      </c>
      <c r="E804" t="s">
        <v>5</v>
      </c>
      <c r="F804" t="s">
        <v>29</v>
      </c>
      <c r="G804">
        <v>21</v>
      </c>
      <c r="H804" t="s">
        <v>146</v>
      </c>
      <c r="I804">
        <v>1</v>
      </c>
      <c r="J804">
        <v>1</v>
      </c>
      <c r="K804" t="s">
        <v>147</v>
      </c>
      <c r="L804" t="s">
        <v>148</v>
      </c>
      <c r="M804" t="s">
        <v>149</v>
      </c>
      <c r="N804" t="s">
        <v>96</v>
      </c>
      <c r="O804" t="s">
        <v>97</v>
      </c>
    </row>
    <row r="805" spans="1:15" x14ac:dyDescent="0.2">
      <c r="A805">
        <v>175</v>
      </c>
      <c r="B805">
        <v>176</v>
      </c>
      <c r="C805">
        <v>175</v>
      </c>
      <c r="D805">
        <v>174</v>
      </c>
      <c r="E805" t="s">
        <v>5</v>
      </c>
      <c r="F805" t="s">
        <v>29</v>
      </c>
      <c r="G805">
        <v>22</v>
      </c>
      <c r="H805" t="s">
        <v>150</v>
      </c>
      <c r="I805">
        <v>0</v>
      </c>
      <c r="J805">
        <v>1</v>
      </c>
      <c r="K805" t="s">
        <v>147</v>
      </c>
      <c r="L805" t="s">
        <v>151</v>
      </c>
      <c r="M805" t="s">
        <v>149</v>
      </c>
      <c r="N805" t="s">
        <v>107</v>
      </c>
      <c r="O805" t="s">
        <v>97</v>
      </c>
    </row>
    <row r="806" spans="1:15" x14ac:dyDescent="0.2">
      <c r="A806">
        <v>175</v>
      </c>
      <c r="B806">
        <v>176</v>
      </c>
      <c r="C806">
        <v>175</v>
      </c>
      <c r="D806">
        <v>174</v>
      </c>
      <c r="E806" t="s">
        <v>5</v>
      </c>
      <c r="F806" t="s">
        <v>29</v>
      </c>
      <c r="G806">
        <v>23</v>
      </c>
      <c r="H806" t="s">
        <v>152</v>
      </c>
      <c r="I806">
        <v>0</v>
      </c>
      <c r="J806">
        <v>0</v>
      </c>
      <c r="K806" t="s">
        <v>153</v>
      </c>
      <c r="L806" t="s">
        <v>154</v>
      </c>
      <c r="M806" t="s">
        <v>155</v>
      </c>
      <c r="N806" t="s">
        <v>107</v>
      </c>
      <c r="O806" t="s">
        <v>97</v>
      </c>
    </row>
    <row r="807" spans="1:15" x14ac:dyDescent="0.2">
      <c r="A807">
        <v>175</v>
      </c>
      <c r="B807">
        <v>176</v>
      </c>
      <c r="C807">
        <v>175</v>
      </c>
      <c r="D807">
        <v>174</v>
      </c>
      <c r="E807" t="s">
        <v>5</v>
      </c>
      <c r="F807" t="s">
        <v>29</v>
      </c>
      <c r="G807">
        <v>24</v>
      </c>
      <c r="H807" t="s">
        <v>156</v>
      </c>
      <c r="I807">
        <v>0</v>
      </c>
      <c r="J807" t="s">
        <v>196</v>
      </c>
      <c r="K807" t="s">
        <v>122</v>
      </c>
      <c r="L807" t="s">
        <v>157</v>
      </c>
      <c r="M807" t="s">
        <v>158</v>
      </c>
      <c r="N807" t="s">
        <v>107</v>
      </c>
      <c r="O807" t="s">
        <v>97</v>
      </c>
    </row>
    <row r="808" spans="1:15" x14ac:dyDescent="0.2">
      <c r="A808">
        <v>175</v>
      </c>
      <c r="B808">
        <v>176</v>
      </c>
      <c r="C808">
        <v>175</v>
      </c>
      <c r="D808">
        <v>174</v>
      </c>
      <c r="E808" t="s">
        <v>5</v>
      </c>
      <c r="F808" t="s">
        <v>29</v>
      </c>
      <c r="G808">
        <v>25</v>
      </c>
      <c r="H808" t="s">
        <v>156</v>
      </c>
      <c r="I808">
        <v>0</v>
      </c>
      <c r="J808" t="s">
        <v>196</v>
      </c>
      <c r="K808" t="s">
        <v>122</v>
      </c>
      <c r="L808" t="s">
        <v>157</v>
      </c>
      <c r="M808" t="s">
        <v>158</v>
      </c>
      <c r="N808" t="s">
        <v>107</v>
      </c>
      <c r="O808" t="s">
        <v>97</v>
      </c>
    </row>
    <row r="809" spans="1:15" x14ac:dyDescent="0.2">
      <c r="A809">
        <v>175</v>
      </c>
      <c r="B809">
        <v>176</v>
      </c>
      <c r="C809">
        <v>175</v>
      </c>
      <c r="D809">
        <v>174</v>
      </c>
      <c r="E809" t="s">
        <v>5</v>
      </c>
      <c r="F809" t="s">
        <v>29</v>
      </c>
      <c r="G809">
        <v>26</v>
      </c>
      <c r="H809" t="s">
        <v>152</v>
      </c>
      <c r="I809">
        <v>0</v>
      </c>
      <c r="J809">
        <v>0</v>
      </c>
      <c r="K809" t="s">
        <v>153</v>
      </c>
      <c r="L809" t="s">
        <v>154</v>
      </c>
      <c r="M809" t="s">
        <v>155</v>
      </c>
      <c r="N809" t="s">
        <v>107</v>
      </c>
      <c r="O809" t="s">
        <v>97</v>
      </c>
    </row>
    <row r="810" spans="1:15" x14ac:dyDescent="0.2">
      <c r="A810">
        <v>175</v>
      </c>
      <c r="B810">
        <v>176</v>
      </c>
      <c r="C810">
        <v>175</v>
      </c>
      <c r="D810">
        <v>174</v>
      </c>
      <c r="E810" t="s">
        <v>5</v>
      </c>
      <c r="F810" t="s">
        <v>29</v>
      </c>
      <c r="G810">
        <v>27</v>
      </c>
      <c r="H810" t="s">
        <v>159</v>
      </c>
      <c r="I810">
        <v>0</v>
      </c>
      <c r="J810" t="s">
        <v>196</v>
      </c>
      <c r="K810" t="s">
        <v>122</v>
      </c>
      <c r="L810" t="s">
        <v>160</v>
      </c>
      <c r="M810" t="s">
        <v>161</v>
      </c>
      <c r="N810" t="s">
        <v>107</v>
      </c>
      <c r="O810" t="s">
        <v>97</v>
      </c>
    </row>
    <row r="811" spans="1:15" x14ac:dyDescent="0.2">
      <c r="A811">
        <v>175</v>
      </c>
      <c r="B811">
        <v>176</v>
      </c>
      <c r="C811">
        <v>175</v>
      </c>
      <c r="D811">
        <v>174</v>
      </c>
      <c r="E811" t="s">
        <v>5</v>
      </c>
      <c r="F811" t="s">
        <v>29</v>
      </c>
      <c r="G811">
        <v>28</v>
      </c>
      <c r="H811" t="s">
        <v>159</v>
      </c>
      <c r="I811">
        <v>0</v>
      </c>
      <c r="J811" t="s">
        <v>196</v>
      </c>
      <c r="K811" t="s">
        <v>122</v>
      </c>
      <c r="L811" t="s">
        <v>160</v>
      </c>
      <c r="M811" t="s">
        <v>161</v>
      </c>
      <c r="N811" t="s">
        <v>107</v>
      </c>
      <c r="O811" t="s">
        <v>97</v>
      </c>
    </row>
    <row r="812" spans="1:15" x14ac:dyDescent="0.2">
      <c r="A812">
        <v>175</v>
      </c>
      <c r="B812">
        <v>176</v>
      </c>
      <c r="C812">
        <v>175</v>
      </c>
      <c r="D812">
        <v>174</v>
      </c>
      <c r="E812" t="s">
        <v>5</v>
      </c>
      <c r="F812" t="s">
        <v>29</v>
      </c>
      <c r="G812">
        <v>29</v>
      </c>
      <c r="H812" t="s">
        <v>152</v>
      </c>
      <c r="I812">
        <v>0</v>
      </c>
      <c r="J812">
        <v>0</v>
      </c>
      <c r="K812" t="s">
        <v>153</v>
      </c>
      <c r="L812" t="s">
        <v>154</v>
      </c>
      <c r="M812" t="s">
        <v>155</v>
      </c>
      <c r="N812" t="s">
        <v>107</v>
      </c>
      <c r="O812" t="s">
        <v>97</v>
      </c>
    </row>
    <row r="813" spans="1:15" x14ac:dyDescent="0.2">
      <c r="A813">
        <v>175</v>
      </c>
      <c r="B813">
        <v>176</v>
      </c>
      <c r="C813">
        <v>175</v>
      </c>
      <c r="D813">
        <v>174</v>
      </c>
      <c r="E813" t="s">
        <v>5</v>
      </c>
      <c r="F813" t="s">
        <v>29</v>
      </c>
      <c r="G813">
        <v>30</v>
      </c>
      <c r="H813" t="s">
        <v>162</v>
      </c>
      <c r="I813">
        <v>0</v>
      </c>
      <c r="J813" t="s">
        <v>196</v>
      </c>
      <c r="K813" t="s">
        <v>112</v>
      </c>
      <c r="L813" t="s">
        <v>163</v>
      </c>
      <c r="M813" t="s">
        <v>164</v>
      </c>
      <c r="N813" t="s">
        <v>107</v>
      </c>
      <c r="O813" t="s">
        <v>97</v>
      </c>
    </row>
    <row r="814" spans="1:15" x14ac:dyDescent="0.2">
      <c r="A814">
        <v>175</v>
      </c>
      <c r="B814">
        <v>176</v>
      </c>
      <c r="C814">
        <v>175</v>
      </c>
      <c r="D814">
        <v>174</v>
      </c>
      <c r="E814" t="s">
        <v>5</v>
      </c>
      <c r="F814" t="s">
        <v>29</v>
      </c>
      <c r="G814">
        <v>31</v>
      </c>
      <c r="H814" t="s">
        <v>162</v>
      </c>
      <c r="I814">
        <v>0</v>
      </c>
      <c r="J814">
        <v>0</v>
      </c>
      <c r="K814" t="s">
        <v>112</v>
      </c>
      <c r="L814" t="s">
        <v>163</v>
      </c>
      <c r="M814" t="s">
        <v>164</v>
      </c>
      <c r="N814" t="s">
        <v>107</v>
      </c>
      <c r="O814" t="s">
        <v>97</v>
      </c>
    </row>
    <row r="815" spans="1:15" x14ac:dyDescent="0.2">
      <c r="A815">
        <v>175</v>
      </c>
      <c r="B815">
        <v>176</v>
      </c>
      <c r="C815">
        <v>175</v>
      </c>
      <c r="D815">
        <v>174</v>
      </c>
      <c r="E815" t="s">
        <v>5</v>
      </c>
      <c r="F815" t="s">
        <v>29</v>
      </c>
      <c r="G815">
        <v>32</v>
      </c>
      <c r="H815" t="s">
        <v>162</v>
      </c>
      <c r="I815">
        <v>0</v>
      </c>
      <c r="J815">
        <v>0</v>
      </c>
      <c r="K815" t="s">
        <v>112</v>
      </c>
      <c r="L815" t="s">
        <v>163</v>
      </c>
      <c r="M815" t="s">
        <v>164</v>
      </c>
      <c r="N815" t="s">
        <v>107</v>
      </c>
      <c r="O815" t="s">
        <v>97</v>
      </c>
    </row>
    <row r="816" spans="1:15" x14ac:dyDescent="0.2">
      <c r="A816">
        <v>175</v>
      </c>
      <c r="B816">
        <v>176</v>
      </c>
      <c r="C816">
        <v>175</v>
      </c>
      <c r="D816">
        <v>174</v>
      </c>
      <c r="E816" t="s">
        <v>5</v>
      </c>
      <c r="F816" t="s">
        <v>29</v>
      </c>
      <c r="G816">
        <v>33</v>
      </c>
      <c r="H816" t="s">
        <v>152</v>
      </c>
      <c r="I816">
        <v>0</v>
      </c>
      <c r="J816" t="s">
        <v>196</v>
      </c>
      <c r="K816" t="s">
        <v>153</v>
      </c>
      <c r="L816" t="s">
        <v>154</v>
      </c>
      <c r="M816" t="s">
        <v>155</v>
      </c>
      <c r="N816" t="s">
        <v>107</v>
      </c>
      <c r="O816" t="s">
        <v>97</v>
      </c>
    </row>
    <row r="817" spans="1:15" x14ac:dyDescent="0.2">
      <c r="A817">
        <v>175</v>
      </c>
      <c r="B817">
        <v>176</v>
      </c>
      <c r="C817">
        <v>175</v>
      </c>
      <c r="D817">
        <v>174</v>
      </c>
      <c r="E817" t="s">
        <v>5</v>
      </c>
      <c r="F817" t="s">
        <v>29</v>
      </c>
      <c r="G817">
        <v>34</v>
      </c>
      <c r="H817" t="s">
        <v>152</v>
      </c>
      <c r="I817">
        <v>0</v>
      </c>
      <c r="J817">
        <v>0</v>
      </c>
      <c r="K817" t="s">
        <v>153</v>
      </c>
      <c r="L817" t="s">
        <v>154</v>
      </c>
      <c r="M817" t="s">
        <v>155</v>
      </c>
      <c r="N817" t="s">
        <v>107</v>
      </c>
      <c r="O817" t="s">
        <v>97</v>
      </c>
    </row>
    <row r="818" spans="1:15" x14ac:dyDescent="0.2">
      <c r="A818">
        <v>175</v>
      </c>
      <c r="B818">
        <v>176</v>
      </c>
      <c r="C818">
        <v>175</v>
      </c>
      <c r="D818">
        <v>174</v>
      </c>
      <c r="E818" t="s">
        <v>5</v>
      </c>
      <c r="F818" t="s">
        <v>29</v>
      </c>
      <c r="G818">
        <v>35</v>
      </c>
      <c r="H818" t="s">
        <v>165</v>
      </c>
      <c r="I818">
        <v>0</v>
      </c>
      <c r="J818">
        <v>1</v>
      </c>
      <c r="K818" t="s">
        <v>166</v>
      </c>
      <c r="L818" t="s">
        <v>167</v>
      </c>
      <c r="M818" t="s">
        <v>168</v>
      </c>
      <c r="N818" t="s">
        <v>107</v>
      </c>
      <c r="O818" t="s">
        <v>97</v>
      </c>
    </row>
    <row r="819" spans="1:15" x14ac:dyDescent="0.2">
      <c r="A819">
        <v>175</v>
      </c>
      <c r="B819">
        <v>176</v>
      </c>
      <c r="C819">
        <v>175</v>
      </c>
      <c r="D819">
        <v>174</v>
      </c>
      <c r="E819" t="s">
        <v>5</v>
      </c>
      <c r="F819" t="s">
        <v>29</v>
      </c>
      <c r="G819">
        <v>36</v>
      </c>
      <c r="H819" t="s">
        <v>169</v>
      </c>
      <c r="I819">
        <v>0</v>
      </c>
      <c r="J819">
        <v>0</v>
      </c>
      <c r="K819" t="e">
        <v>#N/A</v>
      </c>
      <c r="L819" t="e">
        <v>#N/A</v>
      </c>
      <c r="M819" t="e">
        <v>#N/A</v>
      </c>
      <c r="N819" t="e">
        <v>#N/A</v>
      </c>
      <c r="O819" t="s">
        <v>97</v>
      </c>
    </row>
    <row r="820" spans="1:15" x14ac:dyDescent="0.2">
      <c r="A820">
        <v>175</v>
      </c>
      <c r="B820">
        <v>176</v>
      </c>
      <c r="C820">
        <v>175</v>
      </c>
      <c r="D820">
        <v>174</v>
      </c>
      <c r="E820" t="s">
        <v>5</v>
      </c>
      <c r="F820" t="s">
        <v>29</v>
      </c>
      <c r="G820">
        <v>38</v>
      </c>
      <c r="H820" t="s">
        <v>170</v>
      </c>
      <c r="I820">
        <v>0</v>
      </c>
      <c r="J820">
        <v>0.5</v>
      </c>
      <c r="K820" t="s">
        <v>112</v>
      </c>
      <c r="L820" t="s">
        <v>171</v>
      </c>
      <c r="M820" t="s">
        <v>172</v>
      </c>
      <c r="N820" t="s">
        <v>96</v>
      </c>
      <c r="O820" t="s">
        <v>97</v>
      </c>
    </row>
    <row r="821" spans="1:15" x14ac:dyDescent="0.2">
      <c r="A821">
        <v>175</v>
      </c>
      <c r="B821">
        <v>176</v>
      </c>
      <c r="C821">
        <v>175</v>
      </c>
      <c r="D821">
        <v>174</v>
      </c>
      <c r="E821" t="s">
        <v>5</v>
      </c>
      <c r="F821" t="s">
        <v>29</v>
      </c>
      <c r="G821">
        <v>39</v>
      </c>
      <c r="H821" t="s">
        <v>170</v>
      </c>
      <c r="I821">
        <v>0</v>
      </c>
      <c r="J821">
        <v>0.5</v>
      </c>
      <c r="K821" t="s">
        <v>112</v>
      </c>
      <c r="L821" t="s">
        <v>171</v>
      </c>
      <c r="M821" t="s">
        <v>172</v>
      </c>
      <c r="N821" t="s">
        <v>96</v>
      </c>
      <c r="O821" t="s">
        <v>97</v>
      </c>
    </row>
    <row r="822" spans="1:15" x14ac:dyDescent="0.2">
      <c r="A822">
        <v>175</v>
      </c>
      <c r="B822">
        <v>176</v>
      </c>
      <c r="C822">
        <v>175</v>
      </c>
      <c r="D822">
        <v>174</v>
      </c>
      <c r="E822" t="s">
        <v>5</v>
      </c>
      <c r="F822" t="s">
        <v>29</v>
      </c>
      <c r="G822">
        <v>40</v>
      </c>
      <c r="H822" t="s">
        <v>170</v>
      </c>
      <c r="I822">
        <v>0</v>
      </c>
      <c r="J822">
        <v>0.5</v>
      </c>
      <c r="K822" t="s">
        <v>112</v>
      </c>
      <c r="L822" t="s">
        <v>171</v>
      </c>
      <c r="M822" t="s">
        <v>172</v>
      </c>
      <c r="N822" t="s">
        <v>96</v>
      </c>
      <c r="O822" t="s">
        <v>97</v>
      </c>
    </row>
    <row r="823" spans="1:15" x14ac:dyDescent="0.2">
      <c r="A823">
        <v>175</v>
      </c>
      <c r="B823">
        <v>176</v>
      </c>
      <c r="C823">
        <v>175</v>
      </c>
      <c r="D823">
        <v>174</v>
      </c>
      <c r="E823" t="s">
        <v>5</v>
      </c>
      <c r="F823" t="s">
        <v>29</v>
      </c>
      <c r="G823">
        <v>41</v>
      </c>
      <c r="H823" t="s">
        <v>173</v>
      </c>
      <c r="I823">
        <v>0</v>
      </c>
      <c r="J823" t="s">
        <v>198</v>
      </c>
      <c r="K823" t="s">
        <v>166</v>
      </c>
      <c r="L823" t="s">
        <v>174</v>
      </c>
      <c r="M823" t="s">
        <v>175</v>
      </c>
      <c r="N823" t="s">
        <v>107</v>
      </c>
      <c r="O823" t="s">
        <v>97</v>
      </c>
    </row>
    <row r="824" spans="1:15" x14ac:dyDescent="0.2">
      <c r="A824">
        <v>175</v>
      </c>
      <c r="B824">
        <v>176</v>
      </c>
      <c r="C824">
        <v>175</v>
      </c>
      <c r="D824">
        <v>174</v>
      </c>
      <c r="E824" t="s">
        <v>5</v>
      </c>
      <c r="F824" t="s">
        <v>29</v>
      </c>
      <c r="G824">
        <v>42</v>
      </c>
      <c r="H824" t="s">
        <v>176</v>
      </c>
      <c r="I824">
        <v>0</v>
      </c>
      <c r="J824" t="s">
        <v>198</v>
      </c>
      <c r="K824" t="s">
        <v>153</v>
      </c>
      <c r="L824" t="s">
        <v>177</v>
      </c>
      <c r="M824" t="s">
        <v>178</v>
      </c>
      <c r="N824" t="s">
        <v>107</v>
      </c>
      <c r="O824" t="s">
        <v>97</v>
      </c>
    </row>
    <row r="825" spans="1:15" x14ac:dyDescent="0.2">
      <c r="A825">
        <v>175</v>
      </c>
      <c r="B825">
        <v>176</v>
      </c>
      <c r="C825">
        <v>175</v>
      </c>
      <c r="D825">
        <v>174</v>
      </c>
      <c r="E825" t="s">
        <v>5</v>
      </c>
      <c r="F825" t="s">
        <v>29</v>
      </c>
      <c r="G825">
        <v>43</v>
      </c>
      <c r="H825" t="s">
        <v>179</v>
      </c>
      <c r="I825">
        <v>0</v>
      </c>
      <c r="J825">
        <v>0</v>
      </c>
      <c r="K825" t="s">
        <v>166</v>
      </c>
      <c r="L825" t="s">
        <v>180</v>
      </c>
      <c r="M825" t="s">
        <v>181</v>
      </c>
      <c r="N825" t="s">
        <v>107</v>
      </c>
      <c r="O825" t="s">
        <v>97</v>
      </c>
    </row>
    <row r="826" spans="1:15" x14ac:dyDescent="0.2">
      <c r="A826">
        <v>175</v>
      </c>
      <c r="B826">
        <v>176</v>
      </c>
      <c r="C826">
        <v>175</v>
      </c>
      <c r="D826">
        <v>174</v>
      </c>
      <c r="E826" t="s">
        <v>5</v>
      </c>
      <c r="F826" t="s">
        <v>29</v>
      </c>
      <c r="G826">
        <v>44</v>
      </c>
      <c r="H826" t="s">
        <v>182</v>
      </c>
      <c r="I826">
        <v>0</v>
      </c>
      <c r="J826">
        <v>1</v>
      </c>
      <c r="K826" t="s">
        <v>166</v>
      </c>
      <c r="L826" t="s">
        <v>183</v>
      </c>
      <c r="M826" t="s">
        <v>184</v>
      </c>
      <c r="N826" t="s">
        <v>107</v>
      </c>
      <c r="O826" t="s">
        <v>97</v>
      </c>
    </row>
    <row r="827" spans="1:15" x14ac:dyDescent="0.2">
      <c r="A827">
        <v>175</v>
      </c>
      <c r="B827">
        <v>176</v>
      </c>
      <c r="C827">
        <v>175</v>
      </c>
      <c r="D827">
        <v>174</v>
      </c>
      <c r="E827" t="s">
        <v>5</v>
      </c>
      <c r="F827" t="s">
        <v>29</v>
      </c>
      <c r="G827">
        <v>45</v>
      </c>
      <c r="H827" t="s">
        <v>185</v>
      </c>
      <c r="I827">
        <v>0</v>
      </c>
      <c r="J827" t="s">
        <v>199</v>
      </c>
      <c r="K827" t="s">
        <v>166</v>
      </c>
      <c r="L827" t="s">
        <v>186</v>
      </c>
      <c r="M827" t="s">
        <v>139</v>
      </c>
      <c r="N827" t="s">
        <v>107</v>
      </c>
      <c r="O827" t="s">
        <v>97</v>
      </c>
    </row>
    <row r="828" spans="1:15" x14ac:dyDescent="0.2">
      <c r="A828">
        <v>175</v>
      </c>
      <c r="B828">
        <v>176</v>
      </c>
      <c r="C828">
        <v>175</v>
      </c>
      <c r="D828">
        <v>174</v>
      </c>
      <c r="E828" t="s">
        <v>5</v>
      </c>
      <c r="F828" t="s">
        <v>29</v>
      </c>
      <c r="G828">
        <v>47</v>
      </c>
      <c r="H828" t="s">
        <v>187</v>
      </c>
      <c r="I828">
        <v>0</v>
      </c>
      <c r="J828">
        <v>0.2</v>
      </c>
      <c r="K828" t="s">
        <v>93</v>
      </c>
      <c r="L828" t="s">
        <v>188</v>
      </c>
      <c r="M828" t="s">
        <v>95</v>
      </c>
      <c r="N828" t="s">
        <v>96</v>
      </c>
      <c r="O828" t="s">
        <v>97</v>
      </c>
    </row>
    <row r="829" spans="1:15" x14ac:dyDescent="0.2">
      <c r="A829">
        <v>175</v>
      </c>
      <c r="B829">
        <v>176</v>
      </c>
      <c r="C829">
        <v>175</v>
      </c>
      <c r="D829">
        <v>174</v>
      </c>
      <c r="E829" t="s">
        <v>5</v>
      </c>
      <c r="F829" t="s">
        <v>29</v>
      </c>
      <c r="G829">
        <v>48</v>
      </c>
      <c r="H829" t="s">
        <v>189</v>
      </c>
      <c r="I829">
        <v>0</v>
      </c>
      <c r="J829">
        <v>0.2</v>
      </c>
      <c r="K829" t="s">
        <v>93</v>
      </c>
      <c r="L829" t="s">
        <v>190</v>
      </c>
      <c r="M829" t="s">
        <v>95</v>
      </c>
      <c r="N829" t="s">
        <v>96</v>
      </c>
      <c r="O829" t="s">
        <v>97</v>
      </c>
    </row>
    <row r="830" spans="1:15" x14ac:dyDescent="0.2">
      <c r="A830">
        <v>175</v>
      </c>
      <c r="B830">
        <v>176</v>
      </c>
      <c r="C830">
        <v>175</v>
      </c>
      <c r="D830">
        <v>174</v>
      </c>
      <c r="E830" t="s">
        <v>5</v>
      </c>
      <c r="F830" t="s">
        <v>29</v>
      </c>
      <c r="G830">
        <v>49</v>
      </c>
      <c r="H830" t="s">
        <v>191</v>
      </c>
      <c r="I830">
        <v>0.2</v>
      </c>
      <c r="J830">
        <v>0.2</v>
      </c>
      <c r="K830" t="s">
        <v>93</v>
      </c>
      <c r="L830" t="s">
        <v>192</v>
      </c>
      <c r="M830" t="s">
        <v>95</v>
      </c>
      <c r="N830" t="s">
        <v>96</v>
      </c>
      <c r="O830" t="s">
        <v>97</v>
      </c>
    </row>
    <row r="831" spans="1:15" x14ac:dyDescent="0.2">
      <c r="A831">
        <v>175</v>
      </c>
      <c r="B831">
        <v>176</v>
      </c>
      <c r="C831">
        <v>175</v>
      </c>
      <c r="D831">
        <v>174</v>
      </c>
      <c r="E831" t="s">
        <v>5</v>
      </c>
      <c r="F831" t="s">
        <v>29</v>
      </c>
      <c r="G831">
        <v>50</v>
      </c>
      <c r="H831" t="s">
        <v>193</v>
      </c>
      <c r="I831">
        <v>0</v>
      </c>
      <c r="J831">
        <v>0</v>
      </c>
      <c r="K831" t="s">
        <v>93</v>
      </c>
      <c r="L831" t="s">
        <v>194</v>
      </c>
      <c r="M831" t="s">
        <v>95</v>
      </c>
      <c r="N831" t="s">
        <v>96</v>
      </c>
      <c r="O831" t="s">
        <v>97</v>
      </c>
    </row>
    <row r="832" spans="1:15" x14ac:dyDescent="0.2">
      <c r="A832">
        <v>175</v>
      </c>
      <c r="B832">
        <v>176</v>
      </c>
      <c r="C832">
        <v>175</v>
      </c>
      <c r="D832">
        <v>174</v>
      </c>
      <c r="E832" t="s">
        <v>5</v>
      </c>
      <c r="F832" t="s">
        <v>29</v>
      </c>
      <c r="G832">
        <v>51</v>
      </c>
      <c r="H832" t="s">
        <v>193</v>
      </c>
      <c r="I832">
        <v>0</v>
      </c>
      <c r="J832">
        <v>0</v>
      </c>
      <c r="K832" t="s">
        <v>93</v>
      </c>
      <c r="L832" t="s">
        <v>194</v>
      </c>
      <c r="M832" t="s">
        <v>95</v>
      </c>
      <c r="N832" t="s">
        <v>96</v>
      </c>
      <c r="O832" t="s">
        <v>97</v>
      </c>
    </row>
    <row r="833" spans="1:15" x14ac:dyDescent="0.2">
      <c r="A833">
        <v>150</v>
      </c>
      <c r="B833">
        <v>151</v>
      </c>
      <c r="C833">
        <v>150</v>
      </c>
      <c r="D833">
        <v>149</v>
      </c>
      <c r="E833" t="s">
        <v>5</v>
      </c>
      <c r="F833" t="s">
        <v>24</v>
      </c>
      <c r="G833">
        <v>4</v>
      </c>
      <c r="H833" t="s">
        <v>104</v>
      </c>
      <c r="I833">
        <v>1</v>
      </c>
      <c r="J833">
        <v>1</v>
      </c>
      <c r="K833" t="s">
        <v>101</v>
      </c>
      <c r="L833" t="s">
        <v>105</v>
      </c>
      <c r="M833" t="s">
        <v>106</v>
      </c>
      <c r="N833" t="s">
        <v>107</v>
      </c>
      <c r="O833" t="s">
        <v>97</v>
      </c>
    </row>
    <row r="834" spans="1:15" x14ac:dyDescent="0.2">
      <c r="A834">
        <v>150</v>
      </c>
      <c r="B834">
        <v>151</v>
      </c>
      <c r="C834">
        <v>150</v>
      </c>
      <c r="D834">
        <v>149</v>
      </c>
      <c r="E834" t="s">
        <v>5</v>
      </c>
      <c r="F834" t="s">
        <v>24</v>
      </c>
      <c r="G834">
        <v>5</v>
      </c>
      <c r="H834" t="s">
        <v>108</v>
      </c>
      <c r="I834">
        <v>0</v>
      </c>
      <c r="J834">
        <v>1</v>
      </c>
      <c r="K834" t="s">
        <v>101</v>
      </c>
      <c r="L834" t="s">
        <v>109</v>
      </c>
      <c r="M834" t="s">
        <v>110</v>
      </c>
      <c r="N834" t="s">
        <v>107</v>
      </c>
      <c r="O834" t="s">
        <v>97</v>
      </c>
    </row>
    <row r="835" spans="1:15" x14ac:dyDescent="0.2">
      <c r="A835">
        <v>150</v>
      </c>
      <c r="B835">
        <v>151</v>
      </c>
      <c r="C835">
        <v>150</v>
      </c>
      <c r="D835">
        <v>149</v>
      </c>
      <c r="E835" t="s">
        <v>5</v>
      </c>
      <c r="F835" t="s">
        <v>24</v>
      </c>
      <c r="G835">
        <v>9</v>
      </c>
      <c r="H835" t="s">
        <v>111</v>
      </c>
      <c r="I835">
        <v>0</v>
      </c>
      <c r="J835">
        <v>0.5</v>
      </c>
      <c r="K835" t="s">
        <v>112</v>
      </c>
      <c r="L835" t="s">
        <v>113</v>
      </c>
      <c r="M835" t="s">
        <v>114</v>
      </c>
      <c r="N835" t="s">
        <v>96</v>
      </c>
      <c r="O835" t="s">
        <v>97</v>
      </c>
    </row>
    <row r="836" spans="1:15" x14ac:dyDescent="0.2">
      <c r="A836">
        <v>150</v>
      </c>
      <c r="B836">
        <v>151</v>
      </c>
      <c r="C836">
        <v>150</v>
      </c>
      <c r="D836">
        <v>149</v>
      </c>
      <c r="E836" t="s">
        <v>5</v>
      </c>
      <c r="F836" t="s">
        <v>24</v>
      </c>
      <c r="G836">
        <v>10</v>
      </c>
      <c r="H836" t="s">
        <v>115</v>
      </c>
      <c r="I836">
        <v>0</v>
      </c>
      <c r="J836">
        <v>0.5</v>
      </c>
      <c r="K836" t="s">
        <v>112</v>
      </c>
      <c r="L836" t="s">
        <v>116</v>
      </c>
      <c r="M836" t="s">
        <v>117</v>
      </c>
      <c r="N836" t="s">
        <v>96</v>
      </c>
      <c r="O836" t="s">
        <v>97</v>
      </c>
    </row>
    <row r="837" spans="1:15" x14ac:dyDescent="0.2">
      <c r="A837">
        <v>150</v>
      </c>
      <c r="B837">
        <v>151</v>
      </c>
      <c r="C837">
        <v>150</v>
      </c>
      <c r="D837">
        <v>149</v>
      </c>
      <c r="E837" t="s">
        <v>5</v>
      </c>
      <c r="F837" t="s">
        <v>24</v>
      </c>
      <c r="G837">
        <v>11</v>
      </c>
      <c r="H837" t="s">
        <v>118</v>
      </c>
      <c r="I837">
        <v>0.5</v>
      </c>
      <c r="J837">
        <v>1</v>
      </c>
      <c r="K837" t="s">
        <v>112</v>
      </c>
      <c r="L837" t="s">
        <v>119</v>
      </c>
      <c r="M837" t="s">
        <v>120</v>
      </c>
      <c r="N837" t="s">
        <v>107</v>
      </c>
      <c r="O837" t="s">
        <v>97</v>
      </c>
    </row>
    <row r="838" spans="1:15" x14ac:dyDescent="0.2">
      <c r="A838">
        <v>150</v>
      </c>
      <c r="B838">
        <v>151</v>
      </c>
      <c r="C838">
        <v>150</v>
      </c>
      <c r="D838">
        <v>149</v>
      </c>
      <c r="E838" t="s">
        <v>5</v>
      </c>
      <c r="F838" t="s">
        <v>24</v>
      </c>
      <c r="G838">
        <v>12</v>
      </c>
      <c r="H838" t="s">
        <v>121</v>
      </c>
      <c r="I838">
        <v>0.5</v>
      </c>
      <c r="J838">
        <v>0.5</v>
      </c>
      <c r="K838" t="s">
        <v>122</v>
      </c>
      <c r="L838" t="s">
        <v>113</v>
      </c>
      <c r="M838" t="s">
        <v>123</v>
      </c>
      <c r="N838" t="s">
        <v>96</v>
      </c>
      <c r="O838" t="s">
        <v>97</v>
      </c>
    </row>
    <row r="839" spans="1:15" x14ac:dyDescent="0.2">
      <c r="A839">
        <v>150</v>
      </c>
      <c r="B839">
        <v>151</v>
      </c>
      <c r="C839">
        <v>150</v>
      </c>
      <c r="D839">
        <v>149</v>
      </c>
      <c r="E839" t="s">
        <v>5</v>
      </c>
      <c r="F839" t="s">
        <v>24</v>
      </c>
      <c r="G839">
        <v>13</v>
      </c>
      <c r="H839" t="s">
        <v>124</v>
      </c>
      <c r="I839">
        <v>0</v>
      </c>
      <c r="J839">
        <v>0.5</v>
      </c>
      <c r="K839" t="s">
        <v>122</v>
      </c>
      <c r="L839" t="s">
        <v>125</v>
      </c>
      <c r="M839" t="s">
        <v>126</v>
      </c>
      <c r="N839" t="s">
        <v>96</v>
      </c>
      <c r="O839" t="s">
        <v>97</v>
      </c>
    </row>
    <row r="840" spans="1:15" x14ac:dyDescent="0.2">
      <c r="A840">
        <v>150</v>
      </c>
      <c r="B840">
        <v>151</v>
      </c>
      <c r="C840">
        <v>150</v>
      </c>
      <c r="D840">
        <v>149</v>
      </c>
      <c r="E840" t="s">
        <v>5</v>
      </c>
      <c r="F840" t="s">
        <v>24</v>
      </c>
      <c r="G840">
        <v>14</v>
      </c>
      <c r="H840" t="s">
        <v>127</v>
      </c>
      <c r="I840">
        <v>1</v>
      </c>
      <c r="J840">
        <v>1</v>
      </c>
      <c r="K840" t="s">
        <v>122</v>
      </c>
      <c r="L840" t="s">
        <v>119</v>
      </c>
      <c r="M840" t="s">
        <v>128</v>
      </c>
      <c r="N840" t="s">
        <v>107</v>
      </c>
      <c r="O840" t="s">
        <v>97</v>
      </c>
    </row>
    <row r="841" spans="1:15" x14ac:dyDescent="0.2">
      <c r="A841">
        <v>150</v>
      </c>
      <c r="B841">
        <v>151</v>
      </c>
      <c r="C841">
        <v>150</v>
      </c>
      <c r="D841">
        <v>149</v>
      </c>
      <c r="E841" t="s">
        <v>5</v>
      </c>
      <c r="F841" t="s">
        <v>24</v>
      </c>
      <c r="G841">
        <v>15</v>
      </c>
      <c r="H841" t="s">
        <v>129</v>
      </c>
      <c r="I841">
        <v>1</v>
      </c>
      <c r="J841">
        <v>1</v>
      </c>
      <c r="K841" t="s">
        <v>130</v>
      </c>
      <c r="L841" t="s">
        <v>131</v>
      </c>
      <c r="M841" t="s">
        <v>132</v>
      </c>
      <c r="N841" t="s">
        <v>107</v>
      </c>
      <c r="O841" t="s">
        <v>97</v>
      </c>
    </row>
    <row r="842" spans="1:15" x14ac:dyDescent="0.2">
      <c r="A842">
        <v>150</v>
      </c>
      <c r="B842">
        <v>151</v>
      </c>
      <c r="C842">
        <v>150</v>
      </c>
      <c r="D842">
        <v>149</v>
      </c>
      <c r="E842" t="s">
        <v>5</v>
      </c>
      <c r="F842" t="s">
        <v>24</v>
      </c>
      <c r="G842">
        <v>16</v>
      </c>
      <c r="H842" t="s">
        <v>133</v>
      </c>
      <c r="I842">
        <v>0</v>
      </c>
      <c r="J842">
        <v>0</v>
      </c>
      <c r="K842" t="e">
        <v>#N/A</v>
      </c>
      <c r="L842" t="e">
        <v>#N/A</v>
      </c>
      <c r="M842" t="e">
        <v>#N/A</v>
      </c>
      <c r="N842" t="e">
        <v>#N/A</v>
      </c>
      <c r="O842" t="s">
        <v>97</v>
      </c>
    </row>
    <row r="843" spans="1:15" x14ac:dyDescent="0.2">
      <c r="A843">
        <v>150</v>
      </c>
      <c r="B843">
        <v>151</v>
      </c>
      <c r="C843">
        <v>150</v>
      </c>
      <c r="D843">
        <v>149</v>
      </c>
      <c r="E843" t="s">
        <v>5</v>
      </c>
      <c r="F843" t="s">
        <v>24</v>
      </c>
      <c r="G843">
        <v>17</v>
      </c>
      <c r="H843" t="s">
        <v>134</v>
      </c>
      <c r="I843">
        <v>0.5</v>
      </c>
      <c r="J843">
        <v>1</v>
      </c>
      <c r="K843" t="s">
        <v>112</v>
      </c>
      <c r="L843" t="s">
        <v>135</v>
      </c>
      <c r="M843" t="s">
        <v>136</v>
      </c>
      <c r="N843" t="s">
        <v>107</v>
      </c>
      <c r="O843" t="s">
        <v>97</v>
      </c>
    </row>
    <row r="844" spans="1:15" x14ac:dyDescent="0.2">
      <c r="A844">
        <v>150</v>
      </c>
      <c r="B844">
        <v>151</v>
      </c>
      <c r="C844">
        <v>150</v>
      </c>
      <c r="D844">
        <v>149</v>
      </c>
      <c r="E844" t="s">
        <v>5</v>
      </c>
      <c r="F844" t="s">
        <v>24</v>
      </c>
      <c r="G844">
        <v>18</v>
      </c>
      <c r="H844" t="s">
        <v>137</v>
      </c>
      <c r="I844">
        <v>1</v>
      </c>
      <c r="J844">
        <v>1</v>
      </c>
      <c r="K844" t="s">
        <v>112</v>
      </c>
      <c r="L844" t="s">
        <v>138</v>
      </c>
      <c r="M844" t="s">
        <v>139</v>
      </c>
      <c r="N844" t="s">
        <v>107</v>
      </c>
      <c r="O844" t="s">
        <v>97</v>
      </c>
    </row>
    <row r="845" spans="1:15" x14ac:dyDescent="0.2">
      <c r="A845">
        <v>150</v>
      </c>
      <c r="B845">
        <v>151</v>
      </c>
      <c r="C845">
        <v>150</v>
      </c>
      <c r="D845">
        <v>149</v>
      </c>
      <c r="E845" t="s">
        <v>5</v>
      </c>
      <c r="F845" t="s">
        <v>24</v>
      </c>
      <c r="G845">
        <v>19</v>
      </c>
      <c r="H845" t="s">
        <v>140</v>
      </c>
      <c r="I845">
        <v>0.5</v>
      </c>
      <c r="J845">
        <v>1</v>
      </c>
      <c r="K845" t="s">
        <v>122</v>
      </c>
      <c r="L845" t="s">
        <v>141</v>
      </c>
      <c r="M845" t="s">
        <v>142</v>
      </c>
      <c r="N845" t="s">
        <v>107</v>
      </c>
      <c r="O845" t="s">
        <v>97</v>
      </c>
    </row>
    <row r="846" spans="1:15" x14ac:dyDescent="0.2">
      <c r="A846">
        <v>150</v>
      </c>
      <c r="B846">
        <v>151</v>
      </c>
      <c r="C846">
        <v>150</v>
      </c>
      <c r="D846">
        <v>149</v>
      </c>
      <c r="E846" t="s">
        <v>5</v>
      </c>
      <c r="F846" t="s">
        <v>24</v>
      </c>
      <c r="G846">
        <v>20</v>
      </c>
      <c r="H846" t="s">
        <v>143</v>
      </c>
      <c r="I846">
        <v>1</v>
      </c>
      <c r="J846">
        <v>1</v>
      </c>
      <c r="K846" t="s">
        <v>122</v>
      </c>
      <c r="L846" t="s">
        <v>144</v>
      </c>
      <c r="M846" t="s">
        <v>145</v>
      </c>
      <c r="N846" t="s">
        <v>107</v>
      </c>
      <c r="O846" t="s">
        <v>97</v>
      </c>
    </row>
    <row r="847" spans="1:15" x14ac:dyDescent="0.2">
      <c r="A847">
        <v>150</v>
      </c>
      <c r="B847">
        <v>151</v>
      </c>
      <c r="C847">
        <v>150</v>
      </c>
      <c r="D847">
        <v>149</v>
      </c>
      <c r="E847" t="s">
        <v>5</v>
      </c>
      <c r="F847" t="s">
        <v>24</v>
      </c>
      <c r="G847">
        <v>21</v>
      </c>
      <c r="H847" t="s">
        <v>146</v>
      </c>
      <c r="I847">
        <v>1</v>
      </c>
      <c r="J847">
        <v>1</v>
      </c>
      <c r="K847" t="s">
        <v>147</v>
      </c>
      <c r="L847" t="s">
        <v>148</v>
      </c>
      <c r="M847" t="s">
        <v>149</v>
      </c>
      <c r="N847" t="s">
        <v>96</v>
      </c>
      <c r="O847" t="s">
        <v>97</v>
      </c>
    </row>
    <row r="848" spans="1:15" x14ac:dyDescent="0.2">
      <c r="A848">
        <v>150</v>
      </c>
      <c r="B848">
        <v>151</v>
      </c>
      <c r="C848">
        <v>150</v>
      </c>
      <c r="D848">
        <v>149</v>
      </c>
      <c r="E848" t="s">
        <v>5</v>
      </c>
      <c r="F848" t="s">
        <v>24</v>
      </c>
      <c r="G848">
        <v>22</v>
      </c>
      <c r="H848" t="s">
        <v>150</v>
      </c>
      <c r="I848">
        <v>0</v>
      </c>
      <c r="J848">
        <v>1</v>
      </c>
      <c r="K848" t="s">
        <v>147</v>
      </c>
      <c r="L848" t="s">
        <v>151</v>
      </c>
      <c r="M848" t="s">
        <v>149</v>
      </c>
      <c r="N848" t="s">
        <v>107</v>
      </c>
      <c r="O848" t="s">
        <v>97</v>
      </c>
    </row>
    <row r="849" spans="1:15" x14ac:dyDescent="0.2">
      <c r="A849">
        <v>150</v>
      </c>
      <c r="B849">
        <v>151</v>
      </c>
      <c r="C849">
        <v>150</v>
      </c>
      <c r="D849">
        <v>149</v>
      </c>
      <c r="E849" t="s">
        <v>5</v>
      </c>
      <c r="F849" t="s">
        <v>24</v>
      </c>
      <c r="G849">
        <v>23</v>
      </c>
      <c r="H849" t="s">
        <v>152</v>
      </c>
      <c r="I849">
        <v>0</v>
      </c>
      <c r="J849">
        <v>0</v>
      </c>
      <c r="K849" t="s">
        <v>153</v>
      </c>
      <c r="L849" t="s">
        <v>154</v>
      </c>
      <c r="M849" t="s">
        <v>155</v>
      </c>
      <c r="N849" t="s">
        <v>107</v>
      </c>
      <c r="O849" t="s">
        <v>97</v>
      </c>
    </row>
    <row r="850" spans="1:15" x14ac:dyDescent="0.2">
      <c r="A850">
        <v>150</v>
      </c>
      <c r="B850">
        <v>151</v>
      </c>
      <c r="C850">
        <v>150</v>
      </c>
      <c r="D850">
        <v>149</v>
      </c>
      <c r="E850" t="s">
        <v>5</v>
      </c>
      <c r="F850" t="s">
        <v>24</v>
      </c>
      <c r="G850">
        <v>24</v>
      </c>
      <c r="H850" t="s">
        <v>156</v>
      </c>
      <c r="I850">
        <v>0.5</v>
      </c>
      <c r="J850">
        <v>0.5</v>
      </c>
      <c r="K850" t="s">
        <v>122</v>
      </c>
      <c r="L850" t="s">
        <v>157</v>
      </c>
      <c r="M850" t="s">
        <v>158</v>
      </c>
      <c r="N850" t="s">
        <v>107</v>
      </c>
      <c r="O850" t="s">
        <v>97</v>
      </c>
    </row>
    <row r="851" spans="1:15" x14ac:dyDescent="0.2">
      <c r="A851">
        <v>150</v>
      </c>
      <c r="B851">
        <v>151</v>
      </c>
      <c r="C851">
        <v>150</v>
      </c>
      <c r="D851">
        <v>149</v>
      </c>
      <c r="E851" t="s">
        <v>5</v>
      </c>
      <c r="F851" t="s">
        <v>24</v>
      </c>
      <c r="G851">
        <v>25</v>
      </c>
      <c r="H851" t="s">
        <v>156</v>
      </c>
      <c r="I851">
        <v>0</v>
      </c>
      <c r="J851">
        <v>0.5</v>
      </c>
      <c r="K851" t="s">
        <v>122</v>
      </c>
      <c r="L851" t="s">
        <v>157</v>
      </c>
      <c r="M851" t="s">
        <v>158</v>
      </c>
      <c r="N851" t="s">
        <v>107</v>
      </c>
      <c r="O851" t="s">
        <v>97</v>
      </c>
    </row>
    <row r="852" spans="1:15" x14ac:dyDescent="0.2">
      <c r="A852">
        <v>150</v>
      </c>
      <c r="B852">
        <v>151</v>
      </c>
      <c r="C852">
        <v>150</v>
      </c>
      <c r="D852">
        <v>149</v>
      </c>
      <c r="E852" t="s">
        <v>5</v>
      </c>
      <c r="F852" t="s">
        <v>24</v>
      </c>
      <c r="G852">
        <v>26</v>
      </c>
      <c r="H852" t="s">
        <v>152</v>
      </c>
      <c r="I852">
        <v>0</v>
      </c>
      <c r="J852">
        <v>0</v>
      </c>
      <c r="K852" t="s">
        <v>153</v>
      </c>
      <c r="L852" t="s">
        <v>154</v>
      </c>
      <c r="M852" t="s">
        <v>155</v>
      </c>
      <c r="N852" t="s">
        <v>107</v>
      </c>
      <c r="O852" t="s">
        <v>97</v>
      </c>
    </row>
    <row r="853" spans="1:15" x14ac:dyDescent="0.2">
      <c r="A853">
        <v>150</v>
      </c>
      <c r="B853">
        <v>151</v>
      </c>
      <c r="C853">
        <v>150</v>
      </c>
      <c r="D853">
        <v>149</v>
      </c>
      <c r="E853" t="s">
        <v>5</v>
      </c>
      <c r="F853" t="s">
        <v>24</v>
      </c>
      <c r="G853">
        <v>27</v>
      </c>
      <c r="H853" t="s">
        <v>159</v>
      </c>
      <c r="I853">
        <v>0.5</v>
      </c>
      <c r="J853">
        <v>0.5</v>
      </c>
      <c r="K853" t="s">
        <v>122</v>
      </c>
      <c r="L853" t="s">
        <v>160</v>
      </c>
      <c r="M853" t="s">
        <v>161</v>
      </c>
      <c r="N853" t="s">
        <v>107</v>
      </c>
      <c r="O853" t="s">
        <v>97</v>
      </c>
    </row>
    <row r="854" spans="1:15" x14ac:dyDescent="0.2">
      <c r="A854">
        <v>150</v>
      </c>
      <c r="B854">
        <v>151</v>
      </c>
      <c r="C854">
        <v>150</v>
      </c>
      <c r="D854">
        <v>149</v>
      </c>
      <c r="E854" t="s">
        <v>5</v>
      </c>
      <c r="F854" t="s">
        <v>24</v>
      </c>
      <c r="G854">
        <v>28</v>
      </c>
      <c r="H854" t="s">
        <v>159</v>
      </c>
      <c r="I854">
        <v>0.5</v>
      </c>
      <c r="J854">
        <v>0.5</v>
      </c>
      <c r="K854" t="s">
        <v>122</v>
      </c>
      <c r="L854" t="s">
        <v>160</v>
      </c>
      <c r="M854" t="s">
        <v>161</v>
      </c>
      <c r="N854" t="s">
        <v>107</v>
      </c>
      <c r="O854" t="s">
        <v>97</v>
      </c>
    </row>
    <row r="855" spans="1:15" x14ac:dyDescent="0.2">
      <c r="A855">
        <v>150</v>
      </c>
      <c r="B855">
        <v>151</v>
      </c>
      <c r="C855">
        <v>150</v>
      </c>
      <c r="D855">
        <v>149</v>
      </c>
      <c r="E855" t="s">
        <v>5</v>
      </c>
      <c r="F855" t="s">
        <v>24</v>
      </c>
      <c r="G855">
        <v>29</v>
      </c>
      <c r="H855" t="s">
        <v>152</v>
      </c>
      <c r="I855">
        <v>0</v>
      </c>
      <c r="J855">
        <v>0</v>
      </c>
      <c r="K855" t="s">
        <v>153</v>
      </c>
      <c r="L855" t="s">
        <v>154</v>
      </c>
      <c r="M855" t="s">
        <v>155</v>
      </c>
      <c r="N855" t="s">
        <v>107</v>
      </c>
      <c r="O855" t="s">
        <v>97</v>
      </c>
    </row>
    <row r="856" spans="1:15" x14ac:dyDescent="0.2">
      <c r="A856">
        <v>150</v>
      </c>
      <c r="B856">
        <v>151</v>
      </c>
      <c r="C856">
        <v>150</v>
      </c>
      <c r="D856">
        <v>149</v>
      </c>
      <c r="E856" t="s">
        <v>5</v>
      </c>
      <c r="F856" t="s">
        <v>24</v>
      </c>
      <c r="G856">
        <v>30</v>
      </c>
      <c r="H856" t="s">
        <v>162</v>
      </c>
      <c r="I856">
        <v>0.5</v>
      </c>
      <c r="J856">
        <v>1</v>
      </c>
      <c r="K856" t="s">
        <v>112</v>
      </c>
      <c r="L856" t="s">
        <v>163</v>
      </c>
      <c r="M856" t="s">
        <v>164</v>
      </c>
      <c r="N856" t="s">
        <v>107</v>
      </c>
      <c r="O856" t="s">
        <v>97</v>
      </c>
    </row>
    <row r="857" spans="1:15" x14ac:dyDescent="0.2">
      <c r="A857">
        <v>150</v>
      </c>
      <c r="B857">
        <v>151</v>
      </c>
      <c r="C857">
        <v>150</v>
      </c>
      <c r="D857">
        <v>149</v>
      </c>
      <c r="E857" t="s">
        <v>5</v>
      </c>
      <c r="F857" t="s">
        <v>24</v>
      </c>
      <c r="G857">
        <v>31</v>
      </c>
      <c r="H857" t="s">
        <v>162</v>
      </c>
      <c r="I857">
        <v>0</v>
      </c>
      <c r="J857">
        <v>0</v>
      </c>
      <c r="K857" t="s">
        <v>112</v>
      </c>
      <c r="L857" t="s">
        <v>163</v>
      </c>
      <c r="M857" t="s">
        <v>164</v>
      </c>
      <c r="N857" t="s">
        <v>107</v>
      </c>
      <c r="O857" t="s">
        <v>97</v>
      </c>
    </row>
    <row r="858" spans="1:15" x14ac:dyDescent="0.2">
      <c r="A858">
        <v>150</v>
      </c>
      <c r="B858">
        <v>151</v>
      </c>
      <c r="C858">
        <v>150</v>
      </c>
      <c r="D858">
        <v>149</v>
      </c>
      <c r="E858" t="s">
        <v>5</v>
      </c>
      <c r="F858" t="s">
        <v>24</v>
      </c>
      <c r="G858">
        <v>32</v>
      </c>
      <c r="H858" t="s">
        <v>162</v>
      </c>
      <c r="I858">
        <v>0</v>
      </c>
      <c r="J858">
        <v>0</v>
      </c>
      <c r="K858" t="s">
        <v>112</v>
      </c>
      <c r="L858" t="s">
        <v>163</v>
      </c>
      <c r="M858" t="s">
        <v>164</v>
      </c>
      <c r="N858" t="s">
        <v>107</v>
      </c>
      <c r="O858" t="s">
        <v>97</v>
      </c>
    </row>
    <row r="859" spans="1:15" x14ac:dyDescent="0.2">
      <c r="A859">
        <v>150</v>
      </c>
      <c r="B859">
        <v>151</v>
      </c>
      <c r="C859">
        <v>150</v>
      </c>
      <c r="D859">
        <v>149</v>
      </c>
      <c r="E859" t="s">
        <v>5</v>
      </c>
      <c r="F859" t="s">
        <v>24</v>
      </c>
      <c r="G859">
        <v>33</v>
      </c>
      <c r="H859" t="s">
        <v>152</v>
      </c>
      <c r="I859">
        <v>1</v>
      </c>
      <c r="J859">
        <v>1</v>
      </c>
      <c r="K859" t="s">
        <v>153</v>
      </c>
      <c r="L859" t="s">
        <v>154</v>
      </c>
      <c r="M859" t="s">
        <v>155</v>
      </c>
      <c r="N859" t="s">
        <v>107</v>
      </c>
      <c r="O859" t="s">
        <v>97</v>
      </c>
    </row>
    <row r="860" spans="1:15" x14ac:dyDescent="0.2">
      <c r="A860">
        <v>150</v>
      </c>
      <c r="B860">
        <v>151</v>
      </c>
      <c r="C860">
        <v>150</v>
      </c>
      <c r="D860">
        <v>149</v>
      </c>
      <c r="E860" t="s">
        <v>5</v>
      </c>
      <c r="F860" t="s">
        <v>24</v>
      </c>
      <c r="G860">
        <v>34</v>
      </c>
      <c r="H860" t="s">
        <v>152</v>
      </c>
      <c r="I860">
        <v>0</v>
      </c>
      <c r="J860">
        <v>0</v>
      </c>
      <c r="K860" t="s">
        <v>153</v>
      </c>
      <c r="L860" t="s">
        <v>154</v>
      </c>
      <c r="M860" t="s">
        <v>155</v>
      </c>
      <c r="N860" t="s">
        <v>107</v>
      </c>
      <c r="O860" t="s">
        <v>97</v>
      </c>
    </row>
    <row r="861" spans="1:15" x14ac:dyDescent="0.2">
      <c r="A861">
        <v>150</v>
      </c>
      <c r="B861">
        <v>151</v>
      </c>
      <c r="C861">
        <v>150</v>
      </c>
      <c r="D861">
        <v>149</v>
      </c>
      <c r="E861" t="s">
        <v>5</v>
      </c>
      <c r="F861" t="s">
        <v>24</v>
      </c>
      <c r="G861">
        <v>35</v>
      </c>
      <c r="H861" t="s">
        <v>165</v>
      </c>
      <c r="I861">
        <v>0</v>
      </c>
      <c r="J861">
        <v>1</v>
      </c>
      <c r="K861" t="s">
        <v>166</v>
      </c>
      <c r="L861" t="s">
        <v>167</v>
      </c>
      <c r="M861" t="s">
        <v>168</v>
      </c>
      <c r="N861" t="s">
        <v>107</v>
      </c>
      <c r="O861" t="s">
        <v>97</v>
      </c>
    </row>
    <row r="862" spans="1:15" x14ac:dyDescent="0.2">
      <c r="A862">
        <v>150</v>
      </c>
      <c r="B862">
        <v>151</v>
      </c>
      <c r="C862">
        <v>150</v>
      </c>
      <c r="D862">
        <v>149</v>
      </c>
      <c r="E862" t="s">
        <v>5</v>
      </c>
      <c r="F862" t="s">
        <v>24</v>
      </c>
      <c r="G862">
        <v>36</v>
      </c>
      <c r="H862" t="s">
        <v>169</v>
      </c>
      <c r="I862">
        <v>0</v>
      </c>
      <c r="J862">
        <v>0</v>
      </c>
      <c r="K862" t="e">
        <v>#N/A</v>
      </c>
      <c r="L862" t="e">
        <v>#N/A</v>
      </c>
      <c r="M862" t="e">
        <v>#N/A</v>
      </c>
      <c r="N862" t="e">
        <v>#N/A</v>
      </c>
      <c r="O862" t="s">
        <v>97</v>
      </c>
    </row>
    <row r="863" spans="1:15" x14ac:dyDescent="0.2">
      <c r="A863">
        <v>150</v>
      </c>
      <c r="B863">
        <v>151</v>
      </c>
      <c r="C863">
        <v>150</v>
      </c>
      <c r="D863">
        <v>149</v>
      </c>
      <c r="E863" t="s">
        <v>5</v>
      </c>
      <c r="F863" t="s">
        <v>24</v>
      </c>
      <c r="G863">
        <v>38</v>
      </c>
      <c r="H863" t="s">
        <v>170</v>
      </c>
      <c r="I863">
        <v>0</v>
      </c>
      <c r="J863">
        <v>0.5</v>
      </c>
      <c r="K863" t="s">
        <v>112</v>
      </c>
      <c r="L863" t="s">
        <v>171</v>
      </c>
      <c r="M863" t="s">
        <v>172</v>
      </c>
      <c r="N863" t="s">
        <v>96</v>
      </c>
      <c r="O863" t="s">
        <v>97</v>
      </c>
    </row>
    <row r="864" spans="1:15" x14ac:dyDescent="0.2">
      <c r="A864">
        <v>150</v>
      </c>
      <c r="B864">
        <v>151</v>
      </c>
      <c r="C864">
        <v>150</v>
      </c>
      <c r="D864">
        <v>149</v>
      </c>
      <c r="E864" t="s">
        <v>5</v>
      </c>
      <c r="F864" t="s">
        <v>24</v>
      </c>
      <c r="G864">
        <v>39</v>
      </c>
      <c r="H864" t="s">
        <v>170</v>
      </c>
      <c r="I864">
        <v>0</v>
      </c>
      <c r="J864">
        <v>0.5</v>
      </c>
      <c r="K864" t="s">
        <v>112</v>
      </c>
      <c r="L864" t="s">
        <v>171</v>
      </c>
      <c r="M864" t="s">
        <v>172</v>
      </c>
      <c r="N864" t="s">
        <v>96</v>
      </c>
      <c r="O864" t="s">
        <v>97</v>
      </c>
    </row>
    <row r="865" spans="1:15" x14ac:dyDescent="0.2">
      <c r="A865">
        <v>150</v>
      </c>
      <c r="B865">
        <v>151</v>
      </c>
      <c r="C865">
        <v>150</v>
      </c>
      <c r="D865">
        <v>149</v>
      </c>
      <c r="E865" t="s">
        <v>5</v>
      </c>
      <c r="F865" t="s">
        <v>24</v>
      </c>
      <c r="G865">
        <v>40</v>
      </c>
      <c r="H865" t="s">
        <v>170</v>
      </c>
      <c r="I865">
        <v>0</v>
      </c>
      <c r="J865">
        <v>0.5</v>
      </c>
      <c r="K865" t="s">
        <v>112</v>
      </c>
      <c r="L865" t="s">
        <v>171</v>
      </c>
      <c r="M865" t="s">
        <v>172</v>
      </c>
      <c r="N865" t="s">
        <v>96</v>
      </c>
      <c r="O865" t="s">
        <v>97</v>
      </c>
    </row>
    <row r="866" spans="1:15" x14ac:dyDescent="0.2">
      <c r="A866">
        <v>150</v>
      </c>
      <c r="B866">
        <v>151</v>
      </c>
      <c r="C866">
        <v>150</v>
      </c>
      <c r="D866">
        <v>149</v>
      </c>
      <c r="E866" t="s">
        <v>5</v>
      </c>
      <c r="F866" t="s">
        <v>24</v>
      </c>
      <c r="G866">
        <v>41</v>
      </c>
      <c r="H866" t="s">
        <v>173</v>
      </c>
      <c r="I866">
        <v>0.5</v>
      </c>
      <c r="J866">
        <v>1</v>
      </c>
      <c r="K866" t="s">
        <v>166</v>
      </c>
      <c r="L866" t="s">
        <v>174</v>
      </c>
      <c r="M866" t="s">
        <v>175</v>
      </c>
      <c r="N866" t="s">
        <v>107</v>
      </c>
      <c r="O866" t="s">
        <v>97</v>
      </c>
    </row>
    <row r="867" spans="1:15" x14ac:dyDescent="0.2">
      <c r="A867">
        <v>150</v>
      </c>
      <c r="B867">
        <v>151</v>
      </c>
      <c r="C867">
        <v>150</v>
      </c>
      <c r="D867">
        <v>149</v>
      </c>
      <c r="E867" t="s">
        <v>5</v>
      </c>
      <c r="F867" t="s">
        <v>24</v>
      </c>
      <c r="G867">
        <v>42</v>
      </c>
      <c r="H867" t="s">
        <v>176</v>
      </c>
      <c r="I867">
        <v>0</v>
      </c>
      <c r="J867" t="s">
        <v>198</v>
      </c>
      <c r="K867" t="s">
        <v>153</v>
      </c>
      <c r="L867" t="s">
        <v>177</v>
      </c>
      <c r="M867" t="s">
        <v>178</v>
      </c>
      <c r="N867" t="s">
        <v>107</v>
      </c>
      <c r="O867" t="s">
        <v>97</v>
      </c>
    </row>
    <row r="868" spans="1:15" x14ac:dyDescent="0.2">
      <c r="A868">
        <v>150</v>
      </c>
      <c r="B868">
        <v>151</v>
      </c>
      <c r="C868">
        <v>150</v>
      </c>
      <c r="D868">
        <v>149</v>
      </c>
      <c r="E868" t="s">
        <v>5</v>
      </c>
      <c r="F868" t="s">
        <v>24</v>
      </c>
      <c r="G868">
        <v>43</v>
      </c>
      <c r="H868" t="s">
        <v>179</v>
      </c>
      <c r="I868">
        <v>0</v>
      </c>
      <c r="J868">
        <v>0</v>
      </c>
      <c r="K868" t="s">
        <v>166</v>
      </c>
      <c r="L868" t="s">
        <v>180</v>
      </c>
      <c r="M868" t="s">
        <v>181</v>
      </c>
      <c r="N868" t="s">
        <v>107</v>
      </c>
      <c r="O868" t="s">
        <v>97</v>
      </c>
    </row>
    <row r="869" spans="1:15" x14ac:dyDescent="0.2">
      <c r="A869">
        <v>150</v>
      </c>
      <c r="B869">
        <v>151</v>
      </c>
      <c r="C869">
        <v>150</v>
      </c>
      <c r="D869">
        <v>149</v>
      </c>
      <c r="E869" t="s">
        <v>5</v>
      </c>
      <c r="F869" t="s">
        <v>24</v>
      </c>
      <c r="G869">
        <v>44</v>
      </c>
      <c r="H869" t="s">
        <v>182</v>
      </c>
      <c r="I869">
        <v>0</v>
      </c>
      <c r="J869">
        <v>1</v>
      </c>
      <c r="K869" t="s">
        <v>166</v>
      </c>
      <c r="L869" t="s">
        <v>183</v>
      </c>
      <c r="M869" t="s">
        <v>184</v>
      </c>
      <c r="N869" t="s">
        <v>107</v>
      </c>
      <c r="O869" t="s">
        <v>97</v>
      </c>
    </row>
    <row r="870" spans="1:15" x14ac:dyDescent="0.2">
      <c r="A870">
        <v>150</v>
      </c>
      <c r="B870">
        <v>151</v>
      </c>
      <c r="C870">
        <v>150</v>
      </c>
      <c r="D870">
        <v>149</v>
      </c>
      <c r="E870" t="s">
        <v>5</v>
      </c>
      <c r="F870" t="s">
        <v>24</v>
      </c>
      <c r="G870">
        <v>45</v>
      </c>
      <c r="H870" t="s">
        <v>185</v>
      </c>
      <c r="I870">
        <v>0</v>
      </c>
      <c r="J870">
        <v>1</v>
      </c>
      <c r="K870" t="s">
        <v>166</v>
      </c>
      <c r="L870" t="s">
        <v>186</v>
      </c>
      <c r="M870" t="s">
        <v>139</v>
      </c>
      <c r="N870" t="s">
        <v>107</v>
      </c>
      <c r="O870" t="s">
        <v>97</v>
      </c>
    </row>
    <row r="871" spans="1:15" x14ac:dyDescent="0.2">
      <c r="A871">
        <v>150</v>
      </c>
      <c r="B871">
        <v>151</v>
      </c>
      <c r="C871">
        <v>150</v>
      </c>
      <c r="D871">
        <v>149</v>
      </c>
      <c r="E871" t="s">
        <v>5</v>
      </c>
      <c r="F871" t="s">
        <v>24</v>
      </c>
      <c r="G871">
        <v>47</v>
      </c>
      <c r="H871" t="s">
        <v>187</v>
      </c>
      <c r="I871">
        <v>0.2</v>
      </c>
      <c r="J871">
        <v>0.2</v>
      </c>
      <c r="K871" t="s">
        <v>93</v>
      </c>
      <c r="L871" t="s">
        <v>188</v>
      </c>
      <c r="M871" t="s">
        <v>95</v>
      </c>
      <c r="N871" t="s">
        <v>96</v>
      </c>
      <c r="O871" t="s">
        <v>97</v>
      </c>
    </row>
    <row r="872" spans="1:15" x14ac:dyDescent="0.2">
      <c r="A872">
        <v>150</v>
      </c>
      <c r="B872">
        <v>151</v>
      </c>
      <c r="C872">
        <v>150</v>
      </c>
      <c r="D872">
        <v>149</v>
      </c>
      <c r="E872" t="s">
        <v>5</v>
      </c>
      <c r="F872" t="s">
        <v>24</v>
      </c>
      <c r="G872">
        <v>48</v>
      </c>
      <c r="H872" t="s">
        <v>189</v>
      </c>
      <c r="I872">
        <v>0.2</v>
      </c>
      <c r="J872">
        <v>0.2</v>
      </c>
      <c r="K872" t="s">
        <v>93</v>
      </c>
      <c r="L872" t="s">
        <v>190</v>
      </c>
      <c r="M872" t="s">
        <v>95</v>
      </c>
      <c r="N872" t="s">
        <v>96</v>
      </c>
      <c r="O872" t="s">
        <v>97</v>
      </c>
    </row>
    <row r="873" spans="1:15" x14ac:dyDescent="0.2">
      <c r="A873">
        <v>150</v>
      </c>
      <c r="B873">
        <v>151</v>
      </c>
      <c r="C873">
        <v>150</v>
      </c>
      <c r="D873">
        <v>149</v>
      </c>
      <c r="E873" t="s">
        <v>5</v>
      </c>
      <c r="F873" t="s">
        <v>24</v>
      </c>
      <c r="G873">
        <v>49</v>
      </c>
      <c r="H873" t="s">
        <v>191</v>
      </c>
      <c r="I873">
        <v>0.2</v>
      </c>
      <c r="J873">
        <v>0.2</v>
      </c>
      <c r="K873" t="s">
        <v>93</v>
      </c>
      <c r="L873" t="s">
        <v>192</v>
      </c>
      <c r="M873" t="s">
        <v>95</v>
      </c>
      <c r="N873" t="s">
        <v>96</v>
      </c>
      <c r="O873" t="s">
        <v>97</v>
      </c>
    </row>
    <row r="874" spans="1:15" x14ac:dyDescent="0.2">
      <c r="A874">
        <v>150</v>
      </c>
      <c r="B874">
        <v>151</v>
      </c>
      <c r="C874">
        <v>150</v>
      </c>
      <c r="D874">
        <v>149</v>
      </c>
      <c r="E874" t="s">
        <v>5</v>
      </c>
      <c r="F874" t="s">
        <v>24</v>
      </c>
      <c r="G874">
        <v>50</v>
      </c>
      <c r="H874" t="s">
        <v>193</v>
      </c>
      <c r="I874">
        <v>0.1</v>
      </c>
      <c r="J874">
        <v>0.1</v>
      </c>
      <c r="K874" t="s">
        <v>93</v>
      </c>
      <c r="L874" t="s">
        <v>194</v>
      </c>
      <c r="M874" t="s">
        <v>95</v>
      </c>
      <c r="N874" t="s">
        <v>96</v>
      </c>
      <c r="O874" t="s">
        <v>97</v>
      </c>
    </row>
    <row r="875" spans="1:15" x14ac:dyDescent="0.2">
      <c r="A875">
        <v>150</v>
      </c>
      <c r="B875">
        <v>151</v>
      </c>
      <c r="C875">
        <v>150</v>
      </c>
      <c r="D875">
        <v>149</v>
      </c>
      <c r="E875" t="s">
        <v>5</v>
      </c>
      <c r="F875" t="s">
        <v>24</v>
      </c>
      <c r="G875">
        <v>51</v>
      </c>
      <c r="H875" t="s">
        <v>193</v>
      </c>
      <c r="I875">
        <v>0.1</v>
      </c>
      <c r="J875">
        <v>0.1</v>
      </c>
      <c r="K875" t="s">
        <v>93</v>
      </c>
      <c r="L875" t="s">
        <v>194</v>
      </c>
      <c r="M875" t="s">
        <v>95</v>
      </c>
      <c r="N875" t="s">
        <v>96</v>
      </c>
      <c r="O875" t="s">
        <v>97</v>
      </c>
    </row>
    <row r="876" spans="1:15" x14ac:dyDescent="0.2">
      <c r="A876">
        <v>150</v>
      </c>
      <c r="B876">
        <v>151</v>
      </c>
      <c r="C876">
        <v>150</v>
      </c>
      <c r="D876">
        <v>149</v>
      </c>
      <c r="E876" t="s">
        <v>5</v>
      </c>
      <c r="F876" t="s">
        <v>24</v>
      </c>
      <c r="G876">
        <v>52</v>
      </c>
      <c r="H876" t="s">
        <v>200</v>
      </c>
      <c r="I876">
        <v>0</v>
      </c>
      <c r="J876">
        <v>0</v>
      </c>
      <c r="K876" t="e">
        <v>#N/A</v>
      </c>
      <c r="L876" t="e">
        <v>#N/A</v>
      </c>
      <c r="M876" t="e">
        <v>#N/A</v>
      </c>
      <c r="N876" t="e">
        <v>#N/A</v>
      </c>
      <c r="O876" t="s">
        <v>97</v>
      </c>
    </row>
    <row r="877" spans="1:15" x14ac:dyDescent="0.2">
      <c r="A877">
        <v>150</v>
      </c>
      <c r="B877">
        <v>151</v>
      </c>
      <c r="C877">
        <v>150</v>
      </c>
      <c r="D877">
        <v>149</v>
      </c>
      <c r="E877" t="s">
        <v>5</v>
      </c>
      <c r="F877" t="s">
        <v>24</v>
      </c>
      <c r="G877">
        <v>53</v>
      </c>
      <c r="H877" t="s">
        <v>201</v>
      </c>
      <c r="I877">
        <v>0</v>
      </c>
      <c r="J877" t="s">
        <v>202</v>
      </c>
      <c r="K877" t="e">
        <v>#N/A</v>
      </c>
      <c r="L877" t="e">
        <v>#N/A</v>
      </c>
      <c r="M877" t="e">
        <v>#N/A</v>
      </c>
      <c r="N877" t="e">
        <v>#N/A</v>
      </c>
      <c r="O877" t="s">
        <v>97</v>
      </c>
    </row>
    <row r="878" spans="1:15" x14ac:dyDescent="0.2">
      <c r="A878">
        <v>150</v>
      </c>
      <c r="B878">
        <v>151</v>
      </c>
      <c r="C878">
        <v>150</v>
      </c>
      <c r="D878">
        <v>149</v>
      </c>
      <c r="E878" t="s">
        <v>5</v>
      </c>
      <c r="F878" t="s">
        <v>24</v>
      </c>
      <c r="G878">
        <v>54</v>
      </c>
      <c r="H878" t="s">
        <v>203</v>
      </c>
      <c r="I878">
        <v>0</v>
      </c>
      <c r="J878">
        <v>0</v>
      </c>
      <c r="K878" t="e">
        <v>#N/A</v>
      </c>
      <c r="L878" t="e">
        <v>#N/A</v>
      </c>
      <c r="M878" t="e">
        <v>#N/A</v>
      </c>
      <c r="N878" t="e">
        <v>#N/A</v>
      </c>
      <c r="O878" t="s">
        <v>97</v>
      </c>
    </row>
    <row r="879" spans="1:15" x14ac:dyDescent="0.2">
      <c r="A879">
        <v>150</v>
      </c>
      <c r="B879">
        <v>151</v>
      </c>
      <c r="C879">
        <v>150</v>
      </c>
      <c r="D879">
        <v>149</v>
      </c>
      <c r="E879" t="s">
        <v>5</v>
      </c>
      <c r="F879" t="s">
        <v>24</v>
      </c>
      <c r="G879">
        <v>99</v>
      </c>
      <c r="H879" t="s">
        <v>152</v>
      </c>
      <c r="I879">
        <v>0</v>
      </c>
      <c r="J879">
        <v>0</v>
      </c>
      <c r="K879" t="s">
        <v>153</v>
      </c>
      <c r="L879" t="s">
        <v>154</v>
      </c>
      <c r="M879" t="s">
        <v>155</v>
      </c>
      <c r="N879" t="s">
        <v>107</v>
      </c>
      <c r="O879" t="s">
        <v>97</v>
      </c>
    </row>
    <row r="880" spans="1:15" x14ac:dyDescent="0.2">
      <c r="A880">
        <v>150</v>
      </c>
      <c r="B880">
        <v>151</v>
      </c>
      <c r="C880">
        <v>150</v>
      </c>
      <c r="D880">
        <v>149</v>
      </c>
      <c r="E880" t="s">
        <v>5</v>
      </c>
      <c r="F880" t="s">
        <v>24</v>
      </c>
      <c r="G880">
        <v>98</v>
      </c>
      <c r="H880" t="s">
        <v>204</v>
      </c>
      <c r="I880">
        <v>0</v>
      </c>
      <c r="J880">
        <v>1</v>
      </c>
      <c r="K880" t="s">
        <v>122</v>
      </c>
      <c r="L880" t="s">
        <v>205</v>
      </c>
      <c r="M880" t="s">
        <v>206</v>
      </c>
      <c r="N880" t="s">
        <v>207</v>
      </c>
      <c r="O880" t="s">
        <v>97</v>
      </c>
    </row>
    <row r="881" spans="1:15" x14ac:dyDescent="0.2">
      <c r="A881">
        <v>150</v>
      </c>
      <c r="B881">
        <v>151</v>
      </c>
      <c r="C881">
        <v>150</v>
      </c>
      <c r="D881">
        <v>149</v>
      </c>
      <c r="E881" t="s">
        <v>5</v>
      </c>
      <c r="F881" t="s">
        <v>24</v>
      </c>
      <c r="G881">
        <v>97</v>
      </c>
      <c r="H881" t="s">
        <v>152</v>
      </c>
      <c r="I881">
        <v>0.25</v>
      </c>
      <c r="J881">
        <v>0.25</v>
      </c>
      <c r="K881" t="s">
        <v>153</v>
      </c>
      <c r="L881" t="s">
        <v>154</v>
      </c>
      <c r="M881" t="s">
        <v>155</v>
      </c>
      <c r="N881" t="s">
        <v>107</v>
      </c>
      <c r="O881" t="s">
        <v>97</v>
      </c>
    </row>
    <row r="882" spans="1:15" x14ac:dyDescent="0.2">
      <c r="A882">
        <v>150</v>
      </c>
      <c r="B882">
        <v>151</v>
      </c>
      <c r="C882">
        <v>150</v>
      </c>
      <c r="D882">
        <v>149</v>
      </c>
      <c r="E882" t="s">
        <v>5</v>
      </c>
      <c r="F882" t="s">
        <v>24</v>
      </c>
      <c r="G882">
        <v>96</v>
      </c>
      <c r="H882" t="s">
        <v>152</v>
      </c>
      <c r="I882">
        <v>0</v>
      </c>
      <c r="J882">
        <v>0</v>
      </c>
      <c r="K882" t="s">
        <v>153</v>
      </c>
      <c r="L882" t="s">
        <v>154</v>
      </c>
      <c r="M882" t="s">
        <v>155</v>
      </c>
      <c r="N882" t="s">
        <v>107</v>
      </c>
      <c r="O882" t="s">
        <v>97</v>
      </c>
    </row>
    <row r="883" spans="1:15" x14ac:dyDescent="0.2">
      <c r="A883">
        <v>150</v>
      </c>
      <c r="B883">
        <v>151</v>
      </c>
      <c r="C883">
        <v>150</v>
      </c>
      <c r="D883">
        <v>149</v>
      </c>
      <c r="E883" t="s">
        <v>5</v>
      </c>
      <c r="F883" t="s">
        <v>24</v>
      </c>
      <c r="G883">
        <v>101</v>
      </c>
      <c r="H883" t="s">
        <v>208</v>
      </c>
      <c r="I883">
        <v>1</v>
      </c>
      <c r="J883">
        <v>1</v>
      </c>
      <c r="K883" t="e">
        <v>#N/A</v>
      </c>
      <c r="L883" t="e">
        <v>#N/A</v>
      </c>
      <c r="M883" t="e">
        <v>#N/A</v>
      </c>
      <c r="N883" t="e">
        <v>#N/A</v>
      </c>
      <c r="O883" t="s">
        <v>97</v>
      </c>
    </row>
    <row r="884" spans="1:15" x14ac:dyDescent="0.2">
      <c r="A884">
        <v>150</v>
      </c>
      <c r="B884">
        <v>151</v>
      </c>
      <c r="C884">
        <v>150</v>
      </c>
      <c r="D884">
        <v>149</v>
      </c>
      <c r="E884" t="s">
        <v>5</v>
      </c>
      <c r="F884" t="s">
        <v>24</v>
      </c>
      <c r="G884">
        <v>102</v>
      </c>
      <c r="H884" t="s">
        <v>209</v>
      </c>
      <c r="I884">
        <v>1</v>
      </c>
      <c r="J884">
        <v>1</v>
      </c>
      <c r="K884" t="e">
        <v>#N/A</v>
      </c>
      <c r="L884" t="e">
        <v>#N/A</v>
      </c>
      <c r="M884" t="e">
        <v>#N/A</v>
      </c>
      <c r="N884" t="e">
        <v>#N/A</v>
      </c>
      <c r="O884" t="s">
        <v>97</v>
      </c>
    </row>
    <row r="885" spans="1:15" x14ac:dyDescent="0.2">
      <c r="A885">
        <v>150</v>
      </c>
      <c r="B885">
        <v>151</v>
      </c>
      <c r="C885">
        <v>150</v>
      </c>
      <c r="D885">
        <v>149</v>
      </c>
      <c r="E885" t="s">
        <v>5</v>
      </c>
      <c r="F885" t="s">
        <v>24</v>
      </c>
      <c r="G885">
        <v>103</v>
      </c>
      <c r="H885" t="s">
        <v>210</v>
      </c>
      <c r="I885">
        <v>0</v>
      </c>
      <c r="J885">
        <v>1</v>
      </c>
      <c r="K885" t="e">
        <v>#N/A</v>
      </c>
      <c r="L885" t="e">
        <v>#N/A</v>
      </c>
      <c r="M885" t="e">
        <v>#N/A</v>
      </c>
      <c r="N885" t="e">
        <v>#N/A</v>
      </c>
      <c r="O885" t="s">
        <v>97</v>
      </c>
    </row>
    <row r="886" spans="1:15" x14ac:dyDescent="0.2">
      <c r="A886">
        <v>24</v>
      </c>
      <c r="B886">
        <v>25</v>
      </c>
      <c r="C886">
        <v>24</v>
      </c>
      <c r="D886">
        <v>23</v>
      </c>
      <c r="E886" t="s">
        <v>30</v>
      </c>
      <c r="F886" t="s">
        <v>33</v>
      </c>
      <c r="G886">
        <v>1</v>
      </c>
      <c r="H886" t="s">
        <v>92</v>
      </c>
      <c r="I886">
        <v>0.2</v>
      </c>
      <c r="J886">
        <v>0.2</v>
      </c>
      <c r="K886" t="s">
        <v>93</v>
      </c>
      <c r="L886" t="s">
        <v>94</v>
      </c>
      <c r="M886" t="s">
        <v>95</v>
      </c>
      <c r="N886" t="s">
        <v>96</v>
      </c>
      <c r="O886" t="s">
        <v>97</v>
      </c>
    </row>
    <row r="887" spans="1:15" x14ac:dyDescent="0.2">
      <c r="A887">
        <v>24</v>
      </c>
      <c r="B887">
        <v>25</v>
      </c>
      <c r="C887">
        <v>24</v>
      </c>
      <c r="D887">
        <v>23</v>
      </c>
      <c r="E887" t="s">
        <v>30</v>
      </c>
      <c r="F887" t="s">
        <v>33</v>
      </c>
      <c r="G887">
        <v>2</v>
      </c>
      <c r="H887" t="s">
        <v>98</v>
      </c>
      <c r="I887">
        <v>0.25</v>
      </c>
      <c r="J887">
        <v>0.5</v>
      </c>
      <c r="K887" t="s">
        <v>93</v>
      </c>
      <c r="L887" t="s">
        <v>99</v>
      </c>
      <c r="M887" t="s">
        <v>95</v>
      </c>
      <c r="N887" t="s">
        <v>96</v>
      </c>
      <c r="O887" t="s">
        <v>97</v>
      </c>
    </row>
    <row r="888" spans="1:15" x14ac:dyDescent="0.2">
      <c r="A888">
        <v>24</v>
      </c>
      <c r="B888">
        <v>25</v>
      </c>
      <c r="C888">
        <v>24</v>
      </c>
      <c r="D888">
        <v>23</v>
      </c>
      <c r="E888" t="s">
        <v>30</v>
      </c>
      <c r="F888" t="s">
        <v>33</v>
      </c>
      <c r="G888">
        <v>3</v>
      </c>
      <c r="H888" t="s">
        <v>100</v>
      </c>
      <c r="I888">
        <v>0.5</v>
      </c>
      <c r="J888">
        <v>1</v>
      </c>
      <c r="K888" t="s">
        <v>101</v>
      </c>
      <c r="L888" t="s">
        <v>102</v>
      </c>
      <c r="M888" t="s">
        <v>103</v>
      </c>
      <c r="N888" t="s">
        <v>96</v>
      </c>
      <c r="O888" t="s">
        <v>97</v>
      </c>
    </row>
    <row r="889" spans="1:15" x14ac:dyDescent="0.2">
      <c r="A889">
        <v>24</v>
      </c>
      <c r="B889">
        <v>25</v>
      </c>
      <c r="C889">
        <v>24</v>
      </c>
      <c r="D889">
        <v>23</v>
      </c>
      <c r="E889" t="s">
        <v>30</v>
      </c>
      <c r="F889" t="s">
        <v>33</v>
      </c>
      <c r="G889">
        <v>4</v>
      </c>
      <c r="H889" t="s">
        <v>104</v>
      </c>
      <c r="I889">
        <v>0.5</v>
      </c>
      <c r="J889">
        <v>1</v>
      </c>
      <c r="K889" t="s">
        <v>101</v>
      </c>
      <c r="L889" t="s">
        <v>105</v>
      </c>
      <c r="M889" t="s">
        <v>106</v>
      </c>
      <c r="N889" t="s">
        <v>107</v>
      </c>
      <c r="O889" t="s">
        <v>97</v>
      </c>
    </row>
    <row r="890" spans="1:15" x14ac:dyDescent="0.2">
      <c r="A890">
        <v>24</v>
      </c>
      <c r="B890">
        <v>25</v>
      </c>
      <c r="C890">
        <v>24</v>
      </c>
      <c r="D890">
        <v>23</v>
      </c>
      <c r="E890" t="s">
        <v>30</v>
      </c>
      <c r="F890" t="s">
        <v>33</v>
      </c>
      <c r="G890">
        <v>5</v>
      </c>
      <c r="H890" t="s">
        <v>108</v>
      </c>
      <c r="I890">
        <v>0.5</v>
      </c>
      <c r="J890">
        <v>1</v>
      </c>
      <c r="K890" t="s">
        <v>101</v>
      </c>
      <c r="L890" t="s">
        <v>109</v>
      </c>
      <c r="M890" t="s">
        <v>110</v>
      </c>
      <c r="N890" t="s">
        <v>107</v>
      </c>
      <c r="O890" t="s">
        <v>97</v>
      </c>
    </row>
    <row r="891" spans="1:15" x14ac:dyDescent="0.2">
      <c r="A891">
        <v>24</v>
      </c>
      <c r="B891">
        <v>25</v>
      </c>
      <c r="C891">
        <v>24</v>
      </c>
      <c r="D891">
        <v>23</v>
      </c>
      <c r="E891" t="s">
        <v>30</v>
      </c>
      <c r="F891" t="s">
        <v>33</v>
      </c>
      <c r="G891">
        <v>9</v>
      </c>
      <c r="H891" t="s">
        <v>111</v>
      </c>
      <c r="I891">
        <v>0</v>
      </c>
      <c r="J891">
        <v>0.5</v>
      </c>
      <c r="K891" t="s">
        <v>112</v>
      </c>
      <c r="L891" t="s">
        <v>113</v>
      </c>
      <c r="M891" t="s">
        <v>114</v>
      </c>
      <c r="N891" t="s">
        <v>96</v>
      </c>
      <c r="O891" t="s">
        <v>97</v>
      </c>
    </row>
    <row r="892" spans="1:15" x14ac:dyDescent="0.2">
      <c r="A892">
        <v>24</v>
      </c>
      <c r="B892">
        <v>25</v>
      </c>
      <c r="C892">
        <v>24</v>
      </c>
      <c r="D892">
        <v>23</v>
      </c>
      <c r="E892" t="s">
        <v>30</v>
      </c>
      <c r="F892" t="s">
        <v>33</v>
      </c>
      <c r="G892">
        <v>10</v>
      </c>
      <c r="H892" t="s">
        <v>115</v>
      </c>
      <c r="I892">
        <v>0</v>
      </c>
      <c r="J892">
        <v>0.5</v>
      </c>
      <c r="K892" t="s">
        <v>112</v>
      </c>
      <c r="L892" t="s">
        <v>116</v>
      </c>
      <c r="M892" t="s">
        <v>117</v>
      </c>
      <c r="N892" t="s">
        <v>96</v>
      </c>
      <c r="O892" t="s">
        <v>97</v>
      </c>
    </row>
    <row r="893" spans="1:15" x14ac:dyDescent="0.2">
      <c r="A893">
        <v>24</v>
      </c>
      <c r="B893">
        <v>25</v>
      </c>
      <c r="C893">
        <v>24</v>
      </c>
      <c r="D893">
        <v>23</v>
      </c>
      <c r="E893" t="s">
        <v>30</v>
      </c>
      <c r="F893" t="s">
        <v>33</v>
      </c>
      <c r="G893">
        <v>11</v>
      </c>
      <c r="H893" t="s">
        <v>118</v>
      </c>
      <c r="I893">
        <v>0.5</v>
      </c>
      <c r="J893">
        <v>1</v>
      </c>
      <c r="K893" t="s">
        <v>112</v>
      </c>
      <c r="L893" t="s">
        <v>119</v>
      </c>
      <c r="M893" t="s">
        <v>120</v>
      </c>
      <c r="N893" t="s">
        <v>107</v>
      </c>
      <c r="O893" t="s">
        <v>97</v>
      </c>
    </row>
    <row r="894" spans="1:15" x14ac:dyDescent="0.2">
      <c r="A894">
        <v>24</v>
      </c>
      <c r="B894">
        <v>25</v>
      </c>
      <c r="C894">
        <v>24</v>
      </c>
      <c r="D894">
        <v>23</v>
      </c>
      <c r="E894" t="s">
        <v>30</v>
      </c>
      <c r="F894" t="s">
        <v>33</v>
      </c>
      <c r="G894">
        <v>12</v>
      </c>
      <c r="H894" t="s">
        <v>121</v>
      </c>
      <c r="I894">
        <v>0</v>
      </c>
      <c r="J894">
        <v>0.5</v>
      </c>
      <c r="K894" t="s">
        <v>122</v>
      </c>
      <c r="L894" t="s">
        <v>113</v>
      </c>
      <c r="M894" t="s">
        <v>123</v>
      </c>
      <c r="N894" t="s">
        <v>96</v>
      </c>
      <c r="O894" t="s">
        <v>97</v>
      </c>
    </row>
    <row r="895" spans="1:15" x14ac:dyDescent="0.2">
      <c r="A895">
        <v>24</v>
      </c>
      <c r="B895">
        <v>25</v>
      </c>
      <c r="C895">
        <v>24</v>
      </c>
      <c r="D895">
        <v>23</v>
      </c>
      <c r="E895" t="s">
        <v>30</v>
      </c>
      <c r="F895" t="s">
        <v>33</v>
      </c>
      <c r="G895">
        <v>13</v>
      </c>
      <c r="H895" t="s">
        <v>124</v>
      </c>
      <c r="I895">
        <v>0</v>
      </c>
      <c r="J895">
        <v>0.5</v>
      </c>
      <c r="K895" t="s">
        <v>122</v>
      </c>
      <c r="L895" t="s">
        <v>125</v>
      </c>
      <c r="M895" t="s">
        <v>126</v>
      </c>
      <c r="N895" t="s">
        <v>96</v>
      </c>
      <c r="O895" t="s">
        <v>97</v>
      </c>
    </row>
    <row r="896" spans="1:15" x14ac:dyDescent="0.2">
      <c r="A896">
        <v>24</v>
      </c>
      <c r="B896">
        <v>25</v>
      </c>
      <c r="C896">
        <v>24</v>
      </c>
      <c r="D896">
        <v>23</v>
      </c>
      <c r="E896" t="s">
        <v>30</v>
      </c>
      <c r="F896" t="s">
        <v>33</v>
      </c>
      <c r="G896">
        <v>14</v>
      </c>
      <c r="H896" t="s">
        <v>127</v>
      </c>
      <c r="I896">
        <v>0</v>
      </c>
      <c r="J896">
        <v>1</v>
      </c>
      <c r="K896" t="s">
        <v>122</v>
      </c>
      <c r="L896" t="s">
        <v>119</v>
      </c>
      <c r="M896" t="s">
        <v>128</v>
      </c>
      <c r="N896" t="s">
        <v>107</v>
      </c>
      <c r="O896" t="s">
        <v>97</v>
      </c>
    </row>
    <row r="897" spans="1:15" x14ac:dyDescent="0.2">
      <c r="A897">
        <v>24</v>
      </c>
      <c r="B897">
        <v>25</v>
      </c>
      <c r="C897">
        <v>24</v>
      </c>
      <c r="D897">
        <v>23</v>
      </c>
      <c r="E897" t="s">
        <v>30</v>
      </c>
      <c r="F897" t="s">
        <v>33</v>
      </c>
      <c r="G897">
        <v>15</v>
      </c>
      <c r="H897" t="s">
        <v>129</v>
      </c>
      <c r="I897">
        <v>0</v>
      </c>
      <c r="J897">
        <v>1</v>
      </c>
      <c r="K897" t="s">
        <v>130</v>
      </c>
      <c r="L897" t="s">
        <v>131</v>
      </c>
      <c r="M897" t="s">
        <v>132</v>
      </c>
      <c r="N897" t="s">
        <v>107</v>
      </c>
      <c r="O897" t="s">
        <v>97</v>
      </c>
    </row>
    <row r="898" spans="1:15" x14ac:dyDescent="0.2">
      <c r="A898">
        <v>24</v>
      </c>
      <c r="B898">
        <v>25</v>
      </c>
      <c r="C898">
        <v>24</v>
      </c>
      <c r="D898">
        <v>23</v>
      </c>
      <c r="E898" t="s">
        <v>30</v>
      </c>
      <c r="F898" t="s">
        <v>33</v>
      </c>
      <c r="G898">
        <v>16</v>
      </c>
      <c r="H898" t="s">
        <v>133</v>
      </c>
      <c r="I898">
        <v>0</v>
      </c>
      <c r="J898">
        <v>0</v>
      </c>
      <c r="K898" t="e">
        <v>#N/A</v>
      </c>
      <c r="L898" t="e">
        <v>#N/A</v>
      </c>
      <c r="M898" t="e">
        <v>#N/A</v>
      </c>
      <c r="N898" t="e">
        <v>#N/A</v>
      </c>
      <c r="O898" t="s">
        <v>97</v>
      </c>
    </row>
    <row r="899" spans="1:15" x14ac:dyDescent="0.2">
      <c r="A899">
        <v>24</v>
      </c>
      <c r="B899">
        <v>25</v>
      </c>
      <c r="C899">
        <v>24</v>
      </c>
      <c r="D899">
        <v>23</v>
      </c>
      <c r="E899" t="s">
        <v>30</v>
      </c>
      <c r="F899" t="s">
        <v>33</v>
      </c>
      <c r="G899">
        <v>17</v>
      </c>
      <c r="H899" t="s">
        <v>134</v>
      </c>
      <c r="I899">
        <v>0.5</v>
      </c>
      <c r="J899">
        <v>1</v>
      </c>
      <c r="K899" t="s">
        <v>112</v>
      </c>
      <c r="L899" t="s">
        <v>135</v>
      </c>
      <c r="M899" t="s">
        <v>136</v>
      </c>
      <c r="N899" t="s">
        <v>107</v>
      </c>
      <c r="O899" t="s">
        <v>97</v>
      </c>
    </row>
    <row r="900" spans="1:15" x14ac:dyDescent="0.2">
      <c r="A900">
        <v>24</v>
      </c>
      <c r="B900">
        <v>25</v>
      </c>
      <c r="C900">
        <v>24</v>
      </c>
      <c r="D900">
        <v>23</v>
      </c>
      <c r="E900" t="s">
        <v>30</v>
      </c>
      <c r="F900" t="s">
        <v>33</v>
      </c>
      <c r="G900">
        <v>18</v>
      </c>
      <c r="H900" t="s">
        <v>137</v>
      </c>
      <c r="I900">
        <v>1</v>
      </c>
      <c r="J900">
        <v>1</v>
      </c>
      <c r="K900" t="s">
        <v>112</v>
      </c>
      <c r="L900" t="s">
        <v>138</v>
      </c>
      <c r="M900" t="s">
        <v>139</v>
      </c>
      <c r="N900" t="s">
        <v>107</v>
      </c>
      <c r="O900" t="s">
        <v>97</v>
      </c>
    </row>
    <row r="901" spans="1:15" x14ac:dyDescent="0.2">
      <c r="A901">
        <v>24</v>
      </c>
      <c r="B901">
        <v>25</v>
      </c>
      <c r="C901">
        <v>24</v>
      </c>
      <c r="D901">
        <v>23</v>
      </c>
      <c r="E901" t="s">
        <v>30</v>
      </c>
      <c r="F901" t="s">
        <v>33</v>
      </c>
      <c r="G901">
        <v>19</v>
      </c>
      <c r="H901" t="s">
        <v>140</v>
      </c>
      <c r="I901">
        <v>0.5</v>
      </c>
      <c r="J901">
        <v>1</v>
      </c>
      <c r="K901" t="s">
        <v>122</v>
      </c>
      <c r="L901" t="s">
        <v>141</v>
      </c>
      <c r="M901" t="s">
        <v>142</v>
      </c>
      <c r="N901" t="s">
        <v>107</v>
      </c>
      <c r="O901" t="s">
        <v>97</v>
      </c>
    </row>
    <row r="902" spans="1:15" x14ac:dyDescent="0.2">
      <c r="A902">
        <v>24</v>
      </c>
      <c r="B902">
        <v>25</v>
      </c>
      <c r="C902">
        <v>24</v>
      </c>
      <c r="D902">
        <v>23</v>
      </c>
      <c r="E902" t="s">
        <v>30</v>
      </c>
      <c r="F902" t="s">
        <v>33</v>
      </c>
      <c r="G902">
        <v>20</v>
      </c>
      <c r="H902" t="s">
        <v>143</v>
      </c>
      <c r="I902">
        <v>1</v>
      </c>
      <c r="J902">
        <v>1</v>
      </c>
      <c r="K902" t="s">
        <v>122</v>
      </c>
      <c r="L902" t="s">
        <v>144</v>
      </c>
      <c r="M902" t="s">
        <v>145</v>
      </c>
      <c r="N902" t="s">
        <v>107</v>
      </c>
      <c r="O902" t="s">
        <v>97</v>
      </c>
    </row>
    <row r="903" spans="1:15" x14ac:dyDescent="0.2">
      <c r="A903">
        <v>24</v>
      </c>
      <c r="B903">
        <v>25</v>
      </c>
      <c r="C903">
        <v>24</v>
      </c>
      <c r="D903">
        <v>23</v>
      </c>
      <c r="E903" t="s">
        <v>30</v>
      </c>
      <c r="F903" t="s">
        <v>33</v>
      </c>
      <c r="G903">
        <v>21</v>
      </c>
      <c r="H903" t="s">
        <v>146</v>
      </c>
      <c r="I903">
        <v>0.5</v>
      </c>
      <c r="J903">
        <v>1</v>
      </c>
      <c r="K903" t="s">
        <v>147</v>
      </c>
      <c r="L903" t="s">
        <v>148</v>
      </c>
      <c r="M903" t="s">
        <v>149</v>
      </c>
      <c r="N903" t="s">
        <v>96</v>
      </c>
      <c r="O903" t="s">
        <v>97</v>
      </c>
    </row>
    <row r="904" spans="1:15" x14ac:dyDescent="0.2">
      <c r="A904">
        <v>24</v>
      </c>
      <c r="B904">
        <v>25</v>
      </c>
      <c r="C904">
        <v>24</v>
      </c>
      <c r="D904">
        <v>23</v>
      </c>
      <c r="E904" t="s">
        <v>30</v>
      </c>
      <c r="F904" t="s">
        <v>33</v>
      </c>
      <c r="G904">
        <v>22</v>
      </c>
      <c r="H904" t="s">
        <v>150</v>
      </c>
      <c r="I904">
        <v>0.5</v>
      </c>
      <c r="J904">
        <v>1</v>
      </c>
      <c r="K904" t="s">
        <v>147</v>
      </c>
      <c r="L904" t="s">
        <v>151</v>
      </c>
      <c r="M904" t="s">
        <v>149</v>
      </c>
      <c r="N904" t="s">
        <v>107</v>
      </c>
      <c r="O904" t="s">
        <v>97</v>
      </c>
    </row>
    <row r="905" spans="1:15" x14ac:dyDescent="0.2">
      <c r="A905">
        <v>24</v>
      </c>
      <c r="B905">
        <v>25</v>
      </c>
      <c r="C905">
        <v>24</v>
      </c>
      <c r="D905">
        <v>23</v>
      </c>
      <c r="E905" t="s">
        <v>30</v>
      </c>
      <c r="F905" t="s">
        <v>33</v>
      </c>
      <c r="G905">
        <v>23</v>
      </c>
      <c r="H905" t="s">
        <v>152</v>
      </c>
      <c r="I905">
        <v>0</v>
      </c>
      <c r="J905">
        <v>0</v>
      </c>
      <c r="K905" t="s">
        <v>153</v>
      </c>
      <c r="L905" t="s">
        <v>154</v>
      </c>
      <c r="M905" t="s">
        <v>155</v>
      </c>
      <c r="N905" t="s">
        <v>107</v>
      </c>
      <c r="O905" t="s">
        <v>97</v>
      </c>
    </row>
    <row r="906" spans="1:15" x14ac:dyDescent="0.2">
      <c r="A906">
        <v>24</v>
      </c>
      <c r="B906">
        <v>25</v>
      </c>
      <c r="C906">
        <v>24</v>
      </c>
      <c r="D906">
        <v>23</v>
      </c>
      <c r="E906" t="s">
        <v>30</v>
      </c>
      <c r="F906" t="s">
        <v>33</v>
      </c>
      <c r="G906">
        <v>24</v>
      </c>
      <c r="H906" t="s">
        <v>156</v>
      </c>
      <c r="I906">
        <v>0</v>
      </c>
      <c r="J906">
        <v>0.5</v>
      </c>
      <c r="K906" t="s">
        <v>122</v>
      </c>
      <c r="L906" t="s">
        <v>157</v>
      </c>
      <c r="M906" t="s">
        <v>158</v>
      </c>
      <c r="N906" t="s">
        <v>107</v>
      </c>
      <c r="O906" t="s">
        <v>97</v>
      </c>
    </row>
    <row r="907" spans="1:15" x14ac:dyDescent="0.2">
      <c r="A907">
        <v>24</v>
      </c>
      <c r="B907">
        <v>25</v>
      </c>
      <c r="C907">
        <v>24</v>
      </c>
      <c r="D907">
        <v>23</v>
      </c>
      <c r="E907" t="s">
        <v>30</v>
      </c>
      <c r="F907" t="s">
        <v>33</v>
      </c>
      <c r="G907">
        <v>25</v>
      </c>
      <c r="H907" t="s">
        <v>156</v>
      </c>
      <c r="I907">
        <v>0</v>
      </c>
      <c r="J907">
        <v>0.5</v>
      </c>
      <c r="K907" t="s">
        <v>122</v>
      </c>
      <c r="L907" t="s">
        <v>157</v>
      </c>
      <c r="M907" t="s">
        <v>158</v>
      </c>
      <c r="N907" t="s">
        <v>107</v>
      </c>
      <c r="O907" t="s">
        <v>97</v>
      </c>
    </row>
    <row r="908" spans="1:15" x14ac:dyDescent="0.2">
      <c r="A908">
        <v>24</v>
      </c>
      <c r="B908">
        <v>25</v>
      </c>
      <c r="C908">
        <v>24</v>
      </c>
      <c r="D908">
        <v>23</v>
      </c>
      <c r="E908" t="s">
        <v>30</v>
      </c>
      <c r="F908" t="s">
        <v>33</v>
      </c>
      <c r="G908">
        <v>26</v>
      </c>
      <c r="H908" t="s">
        <v>152</v>
      </c>
      <c r="I908">
        <v>0</v>
      </c>
      <c r="J908">
        <v>0</v>
      </c>
      <c r="K908" t="s">
        <v>153</v>
      </c>
      <c r="L908" t="s">
        <v>154</v>
      </c>
      <c r="M908" t="s">
        <v>155</v>
      </c>
      <c r="N908" t="s">
        <v>107</v>
      </c>
      <c r="O908" t="s">
        <v>97</v>
      </c>
    </row>
    <row r="909" spans="1:15" x14ac:dyDescent="0.2">
      <c r="A909">
        <v>24</v>
      </c>
      <c r="B909">
        <v>25</v>
      </c>
      <c r="C909">
        <v>24</v>
      </c>
      <c r="D909">
        <v>23</v>
      </c>
      <c r="E909" t="s">
        <v>30</v>
      </c>
      <c r="F909" t="s">
        <v>33</v>
      </c>
      <c r="G909">
        <v>27</v>
      </c>
      <c r="H909" t="s">
        <v>159</v>
      </c>
      <c r="I909">
        <v>0.5</v>
      </c>
      <c r="J909">
        <v>0.5</v>
      </c>
      <c r="K909" t="s">
        <v>122</v>
      </c>
      <c r="L909" t="s">
        <v>160</v>
      </c>
      <c r="M909" t="s">
        <v>161</v>
      </c>
      <c r="N909" t="s">
        <v>107</v>
      </c>
      <c r="O909" t="s">
        <v>97</v>
      </c>
    </row>
    <row r="910" spans="1:15" x14ac:dyDescent="0.2">
      <c r="A910">
        <v>24</v>
      </c>
      <c r="B910">
        <v>25</v>
      </c>
      <c r="C910">
        <v>24</v>
      </c>
      <c r="D910">
        <v>23</v>
      </c>
      <c r="E910" t="s">
        <v>30</v>
      </c>
      <c r="F910" t="s">
        <v>33</v>
      </c>
      <c r="G910">
        <v>28</v>
      </c>
      <c r="H910" t="s">
        <v>159</v>
      </c>
      <c r="I910">
        <v>0.5</v>
      </c>
      <c r="J910">
        <v>0.5</v>
      </c>
      <c r="K910" t="s">
        <v>122</v>
      </c>
      <c r="L910" t="s">
        <v>160</v>
      </c>
      <c r="M910" t="s">
        <v>161</v>
      </c>
      <c r="N910" t="s">
        <v>107</v>
      </c>
      <c r="O910" t="s">
        <v>97</v>
      </c>
    </row>
    <row r="911" spans="1:15" x14ac:dyDescent="0.2">
      <c r="A911">
        <v>24</v>
      </c>
      <c r="B911">
        <v>25</v>
      </c>
      <c r="C911">
        <v>24</v>
      </c>
      <c r="D911">
        <v>23</v>
      </c>
      <c r="E911" t="s">
        <v>30</v>
      </c>
      <c r="F911" t="s">
        <v>33</v>
      </c>
      <c r="G911">
        <v>29</v>
      </c>
      <c r="H911" t="s">
        <v>152</v>
      </c>
      <c r="I911">
        <v>0</v>
      </c>
      <c r="J911">
        <v>0</v>
      </c>
      <c r="K911" t="s">
        <v>153</v>
      </c>
      <c r="L911" t="s">
        <v>154</v>
      </c>
      <c r="M911" t="s">
        <v>155</v>
      </c>
      <c r="N911" t="s">
        <v>107</v>
      </c>
      <c r="O911" t="s">
        <v>97</v>
      </c>
    </row>
    <row r="912" spans="1:15" x14ac:dyDescent="0.2">
      <c r="A912">
        <v>24</v>
      </c>
      <c r="B912">
        <v>25</v>
      </c>
      <c r="C912">
        <v>24</v>
      </c>
      <c r="D912">
        <v>23</v>
      </c>
      <c r="E912" t="s">
        <v>30</v>
      </c>
      <c r="F912" t="s">
        <v>33</v>
      </c>
      <c r="G912">
        <v>30</v>
      </c>
      <c r="H912" t="s">
        <v>162</v>
      </c>
      <c r="I912">
        <v>1</v>
      </c>
      <c r="J912">
        <v>1</v>
      </c>
      <c r="K912" t="s">
        <v>112</v>
      </c>
      <c r="L912" t="s">
        <v>163</v>
      </c>
      <c r="M912" t="s">
        <v>164</v>
      </c>
      <c r="N912" t="s">
        <v>107</v>
      </c>
      <c r="O912" t="s">
        <v>97</v>
      </c>
    </row>
    <row r="913" spans="1:15" x14ac:dyDescent="0.2">
      <c r="A913">
        <v>24</v>
      </c>
      <c r="B913">
        <v>25</v>
      </c>
      <c r="C913">
        <v>24</v>
      </c>
      <c r="D913">
        <v>23</v>
      </c>
      <c r="E913" t="s">
        <v>30</v>
      </c>
      <c r="F913" t="s">
        <v>33</v>
      </c>
      <c r="G913">
        <v>31</v>
      </c>
      <c r="H913" t="s">
        <v>162</v>
      </c>
      <c r="I913">
        <v>0</v>
      </c>
      <c r="J913">
        <v>0</v>
      </c>
      <c r="K913" t="s">
        <v>112</v>
      </c>
      <c r="L913" t="s">
        <v>163</v>
      </c>
      <c r="M913" t="s">
        <v>164</v>
      </c>
      <c r="N913" t="s">
        <v>107</v>
      </c>
      <c r="O913" t="s">
        <v>97</v>
      </c>
    </row>
    <row r="914" spans="1:15" x14ac:dyDescent="0.2">
      <c r="A914">
        <v>24</v>
      </c>
      <c r="B914">
        <v>25</v>
      </c>
      <c r="C914">
        <v>24</v>
      </c>
      <c r="D914">
        <v>23</v>
      </c>
      <c r="E914" t="s">
        <v>30</v>
      </c>
      <c r="F914" t="s">
        <v>33</v>
      </c>
      <c r="G914">
        <v>32</v>
      </c>
      <c r="H914" t="s">
        <v>162</v>
      </c>
      <c r="I914">
        <v>0</v>
      </c>
      <c r="J914">
        <v>0</v>
      </c>
      <c r="K914" t="s">
        <v>112</v>
      </c>
      <c r="L914" t="s">
        <v>163</v>
      </c>
      <c r="M914" t="s">
        <v>164</v>
      </c>
      <c r="N914" t="s">
        <v>107</v>
      </c>
      <c r="O914" t="s">
        <v>97</v>
      </c>
    </row>
    <row r="915" spans="1:15" x14ac:dyDescent="0.2">
      <c r="A915">
        <v>24</v>
      </c>
      <c r="B915">
        <v>25</v>
      </c>
      <c r="C915">
        <v>24</v>
      </c>
      <c r="D915">
        <v>23</v>
      </c>
      <c r="E915" t="s">
        <v>30</v>
      </c>
      <c r="F915" t="s">
        <v>33</v>
      </c>
      <c r="G915">
        <v>33</v>
      </c>
      <c r="H915" t="s">
        <v>152</v>
      </c>
      <c r="I915">
        <v>1</v>
      </c>
      <c r="J915">
        <v>1</v>
      </c>
      <c r="K915" t="s">
        <v>153</v>
      </c>
      <c r="L915" t="s">
        <v>154</v>
      </c>
      <c r="M915" t="s">
        <v>155</v>
      </c>
      <c r="N915" t="s">
        <v>107</v>
      </c>
      <c r="O915" t="s">
        <v>97</v>
      </c>
    </row>
    <row r="916" spans="1:15" x14ac:dyDescent="0.2">
      <c r="A916">
        <v>24</v>
      </c>
      <c r="B916">
        <v>25</v>
      </c>
      <c r="C916">
        <v>24</v>
      </c>
      <c r="D916">
        <v>23</v>
      </c>
      <c r="E916" t="s">
        <v>30</v>
      </c>
      <c r="F916" t="s">
        <v>33</v>
      </c>
      <c r="G916">
        <v>34</v>
      </c>
      <c r="H916" t="s">
        <v>152</v>
      </c>
      <c r="I916">
        <v>0</v>
      </c>
      <c r="J916">
        <v>0</v>
      </c>
      <c r="K916" t="s">
        <v>153</v>
      </c>
      <c r="L916" t="s">
        <v>154</v>
      </c>
      <c r="M916" t="s">
        <v>155</v>
      </c>
      <c r="N916" t="s">
        <v>107</v>
      </c>
      <c r="O916" t="s">
        <v>97</v>
      </c>
    </row>
    <row r="917" spans="1:15" x14ac:dyDescent="0.2">
      <c r="A917">
        <v>24</v>
      </c>
      <c r="B917">
        <v>25</v>
      </c>
      <c r="C917">
        <v>24</v>
      </c>
      <c r="D917">
        <v>23</v>
      </c>
      <c r="E917" t="s">
        <v>30</v>
      </c>
      <c r="F917" t="s">
        <v>33</v>
      </c>
      <c r="G917">
        <v>35</v>
      </c>
      <c r="H917" t="s">
        <v>165</v>
      </c>
      <c r="I917">
        <v>1</v>
      </c>
      <c r="J917">
        <v>1</v>
      </c>
      <c r="K917" t="s">
        <v>166</v>
      </c>
      <c r="L917" t="s">
        <v>167</v>
      </c>
      <c r="M917" t="s">
        <v>168</v>
      </c>
      <c r="N917" t="s">
        <v>107</v>
      </c>
      <c r="O917" t="s">
        <v>97</v>
      </c>
    </row>
    <row r="918" spans="1:15" x14ac:dyDescent="0.2">
      <c r="A918">
        <v>24</v>
      </c>
      <c r="B918">
        <v>25</v>
      </c>
      <c r="C918">
        <v>24</v>
      </c>
      <c r="D918">
        <v>23</v>
      </c>
      <c r="E918" t="s">
        <v>30</v>
      </c>
      <c r="F918" t="s">
        <v>33</v>
      </c>
      <c r="G918">
        <v>36</v>
      </c>
      <c r="H918" t="s">
        <v>169</v>
      </c>
      <c r="I918">
        <v>0</v>
      </c>
      <c r="J918">
        <v>0</v>
      </c>
      <c r="K918" t="e">
        <v>#N/A</v>
      </c>
      <c r="L918" t="e">
        <v>#N/A</v>
      </c>
      <c r="M918" t="e">
        <v>#N/A</v>
      </c>
      <c r="N918" t="e">
        <v>#N/A</v>
      </c>
      <c r="O918" t="s">
        <v>97</v>
      </c>
    </row>
    <row r="919" spans="1:15" x14ac:dyDescent="0.2">
      <c r="A919">
        <v>24</v>
      </c>
      <c r="B919">
        <v>25</v>
      </c>
      <c r="C919">
        <v>24</v>
      </c>
      <c r="D919">
        <v>23</v>
      </c>
      <c r="E919" t="s">
        <v>30</v>
      </c>
      <c r="F919" t="s">
        <v>33</v>
      </c>
      <c r="G919">
        <v>38</v>
      </c>
      <c r="H919" t="s">
        <v>170</v>
      </c>
      <c r="I919">
        <v>0.5</v>
      </c>
      <c r="J919">
        <v>0.5</v>
      </c>
      <c r="K919" t="s">
        <v>112</v>
      </c>
      <c r="L919" t="s">
        <v>171</v>
      </c>
      <c r="M919" t="s">
        <v>172</v>
      </c>
      <c r="N919" t="s">
        <v>96</v>
      </c>
      <c r="O919" t="s">
        <v>97</v>
      </c>
    </row>
    <row r="920" spans="1:15" x14ac:dyDescent="0.2">
      <c r="A920">
        <v>24</v>
      </c>
      <c r="B920">
        <v>25</v>
      </c>
      <c r="C920">
        <v>24</v>
      </c>
      <c r="D920">
        <v>23</v>
      </c>
      <c r="E920" t="s">
        <v>30</v>
      </c>
      <c r="F920" t="s">
        <v>33</v>
      </c>
      <c r="G920">
        <v>39</v>
      </c>
      <c r="H920" t="s">
        <v>170</v>
      </c>
      <c r="I920">
        <v>0</v>
      </c>
      <c r="J920">
        <v>0.5</v>
      </c>
      <c r="K920" t="s">
        <v>112</v>
      </c>
      <c r="L920" t="s">
        <v>171</v>
      </c>
      <c r="M920" t="s">
        <v>172</v>
      </c>
      <c r="N920" t="s">
        <v>96</v>
      </c>
      <c r="O920" t="s">
        <v>97</v>
      </c>
    </row>
    <row r="921" spans="1:15" x14ac:dyDescent="0.2">
      <c r="A921">
        <v>24</v>
      </c>
      <c r="B921">
        <v>25</v>
      </c>
      <c r="C921">
        <v>24</v>
      </c>
      <c r="D921">
        <v>23</v>
      </c>
      <c r="E921" t="s">
        <v>30</v>
      </c>
      <c r="F921" t="s">
        <v>33</v>
      </c>
      <c r="G921">
        <v>40</v>
      </c>
      <c r="H921" t="s">
        <v>170</v>
      </c>
      <c r="I921">
        <v>0.5</v>
      </c>
      <c r="J921">
        <v>0.5</v>
      </c>
      <c r="K921" t="s">
        <v>112</v>
      </c>
      <c r="L921" t="s">
        <v>171</v>
      </c>
      <c r="M921" t="s">
        <v>172</v>
      </c>
      <c r="N921" t="s">
        <v>96</v>
      </c>
      <c r="O921" t="s">
        <v>97</v>
      </c>
    </row>
    <row r="922" spans="1:15" x14ac:dyDescent="0.2">
      <c r="A922">
        <v>24</v>
      </c>
      <c r="B922">
        <v>25</v>
      </c>
      <c r="C922">
        <v>24</v>
      </c>
      <c r="D922">
        <v>23</v>
      </c>
      <c r="E922" t="s">
        <v>30</v>
      </c>
      <c r="F922" t="s">
        <v>33</v>
      </c>
      <c r="G922">
        <v>41</v>
      </c>
      <c r="H922" t="s">
        <v>173</v>
      </c>
      <c r="I922">
        <v>0</v>
      </c>
      <c r="J922">
        <v>1</v>
      </c>
      <c r="K922" t="s">
        <v>166</v>
      </c>
      <c r="L922" t="s">
        <v>174</v>
      </c>
      <c r="M922" t="s">
        <v>175</v>
      </c>
      <c r="N922" t="s">
        <v>107</v>
      </c>
      <c r="O922" t="s">
        <v>97</v>
      </c>
    </row>
    <row r="923" spans="1:15" x14ac:dyDescent="0.2">
      <c r="A923">
        <v>24</v>
      </c>
      <c r="B923">
        <v>25</v>
      </c>
      <c r="C923">
        <v>24</v>
      </c>
      <c r="D923">
        <v>23</v>
      </c>
      <c r="E923" t="s">
        <v>30</v>
      </c>
      <c r="F923" t="s">
        <v>33</v>
      </c>
      <c r="G923">
        <v>42</v>
      </c>
      <c r="H923" t="s">
        <v>176</v>
      </c>
      <c r="I923">
        <v>1</v>
      </c>
      <c r="J923">
        <v>1</v>
      </c>
      <c r="K923" t="s">
        <v>153</v>
      </c>
      <c r="L923" t="s">
        <v>177</v>
      </c>
      <c r="M923" t="s">
        <v>178</v>
      </c>
      <c r="N923" t="s">
        <v>107</v>
      </c>
      <c r="O923" t="s">
        <v>97</v>
      </c>
    </row>
    <row r="924" spans="1:15" x14ac:dyDescent="0.2">
      <c r="A924">
        <v>24</v>
      </c>
      <c r="B924">
        <v>25</v>
      </c>
      <c r="C924">
        <v>24</v>
      </c>
      <c r="D924">
        <v>23</v>
      </c>
      <c r="E924" t="s">
        <v>30</v>
      </c>
      <c r="F924" t="s">
        <v>33</v>
      </c>
      <c r="G924">
        <v>43</v>
      </c>
      <c r="H924" t="s">
        <v>179</v>
      </c>
      <c r="I924">
        <v>0</v>
      </c>
      <c r="J924">
        <v>0</v>
      </c>
      <c r="K924" t="s">
        <v>166</v>
      </c>
      <c r="L924" t="s">
        <v>180</v>
      </c>
      <c r="M924" t="s">
        <v>181</v>
      </c>
      <c r="N924" t="s">
        <v>107</v>
      </c>
      <c r="O924" t="s">
        <v>97</v>
      </c>
    </row>
    <row r="925" spans="1:15" x14ac:dyDescent="0.2">
      <c r="A925">
        <v>24</v>
      </c>
      <c r="B925">
        <v>25</v>
      </c>
      <c r="C925">
        <v>24</v>
      </c>
      <c r="D925">
        <v>23</v>
      </c>
      <c r="E925" t="s">
        <v>30</v>
      </c>
      <c r="F925" t="s">
        <v>33</v>
      </c>
      <c r="G925">
        <v>44</v>
      </c>
      <c r="H925" t="s">
        <v>182</v>
      </c>
      <c r="I925">
        <v>1</v>
      </c>
      <c r="J925">
        <v>1</v>
      </c>
      <c r="K925" t="s">
        <v>166</v>
      </c>
      <c r="L925" t="s">
        <v>183</v>
      </c>
      <c r="M925" t="s">
        <v>184</v>
      </c>
      <c r="N925" t="s">
        <v>107</v>
      </c>
      <c r="O925" t="s">
        <v>97</v>
      </c>
    </row>
    <row r="926" spans="1:15" x14ac:dyDescent="0.2">
      <c r="A926">
        <v>24</v>
      </c>
      <c r="B926">
        <v>25</v>
      </c>
      <c r="C926">
        <v>24</v>
      </c>
      <c r="D926">
        <v>23</v>
      </c>
      <c r="E926" t="s">
        <v>30</v>
      </c>
      <c r="F926" t="s">
        <v>33</v>
      </c>
      <c r="G926">
        <v>45</v>
      </c>
      <c r="H926" t="s">
        <v>185</v>
      </c>
      <c r="I926">
        <v>0</v>
      </c>
      <c r="J926">
        <v>1</v>
      </c>
      <c r="K926" t="s">
        <v>166</v>
      </c>
      <c r="L926" t="s">
        <v>186</v>
      </c>
      <c r="M926" t="s">
        <v>139</v>
      </c>
      <c r="N926" t="s">
        <v>107</v>
      </c>
      <c r="O926" t="s">
        <v>97</v>
      </c>
    </row>
    <row r="927" spans="1:15" x14ac:dyDescent="0.2">
      <c r="A927">
        <v>24</v>
      </c>
      <c r="B927">
        <v>25</v>
      </c>
      <c r="C927">
        <v>24</v>
      </c>
      <c r="D927">
        <v>23</v>
      </c>
      <c r="E927" t="s">
        <v>30</v>
      </c>
      <c r="F927" t="s">
        <v>33</v>
      </c>
      <c r="G927">
        <v>47</v>
      </c>
      <c r="H927" t="s">
        <v>187</v>
      </c>
      <c r="I927">
        <v>0.2</v>
      </c>
      <c r="J927">
        <v>0.2</v>
      </c>
      <c r="K927" t="s">
        <v>93</v>
      </c>
      <c r="L927" t="s">
        <v>188</v>
      </c>
      <c r="M927" t="s">
        <v>95</v>
      </c>
      <c r="N927" t="s">
        <v>96</v>
      </c>
      <c r="O927" t="s">
        <v>97</v>
      </c>
    </row>
    <row r="928" spans="1:15" x14ac:dyDescent="0.2">
      <c r="A928">
        <v>24</v>
      </c>
      <c r="B928">
        <v>25</v>
      </c>
      <c r="C928">
        <v>24</v>
      </c>
      <c r="D928">
        <v>23</v>
      </c>
      <c r="E928" t="s">
        <v>30</v>
      </c>
      <c r="F928" t="s">
        <v>33</v>
      </c>
      <c r="G928">
        <v>48</v>
      </c>
      <c r="H928" t="s">
        <v>189</v>
      </c>
      <c r="I928">
        <v>0.2</v>
      </c>
      <c r="J928">
        <v>0.2</v>
      </c>
      <c r="K928" t="s">
        <v>93</v>
      </c>
      <c r="L928" t="s">
        <v>190</v>
      </c>
      <c r="M928" t="s">
        <v>95</v>
      </c>
      <c r="N928" t="s">
        <v>96</v>
      </c>
      <c r="O928" t="s">
        <v>97</v>
      </c>
    </row>
    <row r="929" spans="1:15" x14ac:dyDescent="0.2">
      <c r="A929">
        <v>24</v>
      </c>
      <c r="B929">
        <v>25</v>
      </c>
      <c r="C929">
        <v>24</v>
      </c>
      <c r="D929">
        <v>23</v>
      </c>
      <c r="E929" t="s">
        <v>30</v>
      </c>
      <c r="F929" t="s">
        <v>33</v>
      </c>
      <c r="G929">
        <v>49</v>
      </c>
      <c r="H929" t="s">
        <v>191</v>
      </c>
      <c r="I929">
        <v>0.2</v>
      </c>
      <c r="J929">
        <v>0.2</v>
      </c>
      <c r="K929" t="s">
        <v>93</v>
      </c>
      <c r="L929" t="s">
        <v>192</v>
      </c>
      <c r="M929" t="s">
        <v>95</v>
      </c>
      <c r="N929" t="s">
        <v>96</v>
      </c>
      <c r="O929" t="s">
        <v>97</v>
      </c>
    </row>
    <row r="930" spans="1:15" x14ac:dyDescent="0.2">
      <c r="A930">
        <v>24</v>
      </c>
      <c r="B930">
        <v>25</v>
      </c>
      <c r="C930">
        <v>24</v>
      </c>
      <c r="D930">
        <v>23</v>
      </c>
      <c r="E930" t="s">
        <v>30</v>
      </c>
      <c r="F930" t="s">
        <v>33</v>
      </c>
      <c r="G930">
        <v>50</v>
      </c>
      <c r="H930" t="s">
        <v>193</v>
      </c>
      <c r="I930">
        <v>0</v>
      </c>
      <c r="J930">
        <v>0</v>
      </c>
      <c r="K930" t="s">
        <v>93</v>
      </c>
      <c r="L930" t="s">
        <v>194</v>
      </c>
      <c r="M930" t="s">
        <v>95</v>
      </c>
      <c r="N930" t="s">
        <v>96</v>
      </c>
      <c r="O930" t="s">
        <v>97</v>
      </c>
    </row>
    <row r="931" spans="1:15" x14ac:dyDescent="0.2">
      <c r="A931">
        <v>24</v>
      </c>
      <c r="B931">
        <v>25</v>
      </c>
      <c r="C931">
        <v>24</v>
      </c>
      <c r="D931">
        <v>23</v>
      </c>
      <c r="E931" t="s">
        <v>30</v>
      </c>
      <c r="F931" t="s">
        <v>33</v>
      </c>
      <c r="G931">
        <v>51</v>
      </c>
      <c r="H931" t="s">
        <v>193</v>
      </c>
      <c r="I931">
        <v>0</v>
      </c>
      <c r="J931">
        <v>0</v>
      </c>
      <c r="K931" t="s">
        <v>93</v>
      </c>
      <c r="L931" t="s">
        <v>194</v>
      </c>
      <c r="M931" t="s">
        <v>95</v>
      </c>
      <c r="N931" t="s">
        <v>96</v>
      </c>
      <c r="O931" t="s">
        <v>97</v>
      </c>
    </row>
    <row r="932" spans="1:15" x14ac:dyDescent="0.2">
      <c r="A932">
        <v>29</v>
      </c>
      <c r="B932">
        <v>30</v>
      </c>
      <c r="C932">
        <v>29</v>
      </c>
      <c r="D932">
        <v>28</v>
      </c>
      <c r="E932" t="s">
        <v>30</v>
      </c>
      <c r="F932" t="s">
        <v>211</v>
      </c>
      <c r="G932">
        <v>1</v>
      </c>
      <c r="H932" t="s">
        <v>92</v>
      </c>
      <c r="I932">
        <v>0.2</v>
      </c>
      <c r="J932">
        <v>0.2</v>
      </c>
      <c r="K932" t="s">
        <v>93</v>
      </c>
      <c r="L932" t="s">
        <v>94</v>
      </c>
      <c r="M932" t="s">
        <v>95</v>
      </c>
      <c r="N932" t="s">
        <v>96</v>
      </c>
      <c r="O932" t="s">
        <v>97</v>
      </c>
    </row>
    <row r="933" spans="1:15" x14ac:dyDescent="0.2">
      <c r="A933">
        <v>29</v>
      </c>
      <c r="B933">
        <v>30</v>
      </c>
      <c r="C933">
        <v>29</v>
      </c>
      <c r="D933">
        <v>28</v>
      </c>
      <c r="E933" t="s">
        <v>30</v>
      </c>
      <c r="F933" t="s">
        <v>211</v>
      </c>
      <c r="G933">
        <v>2</v>
      </c>
      <c r="H933" t="s">
        <v>98</v>
      </c>
      <c r="I933">
        <v>0.25</v>
      </c>
      <c r="J933">
        <v>0.5</v>
      </c>
      <c r="K933" t="s">
        <v>93</v>
      </c>
      <c r="L933" t="s">
        <v>99</v>
      </c>
      <c r="M933" t="s">
        <v>95</v>
      </c>
      <c r="N933" t="s">
        <v>96</v>
      </c>
      <c r="O933" t="s">
        <v>97</v>
      </c>
    </row>
    <row r="934" spans="1:15" x14ac:dyDescent="0.2">
      <c r="A934">
        <v>29</v>
      </c>
      <c r="B934">
        <v>30</v>
      </c>
      <c r="C934">
        <v>29</v>
      </c>
      <c r="D934">
        <v>28</v>
      </c>
      <c r="E934" t="s">
        <v>30</v>
      </c>
      <c r="F934" t="s">
        <v>211</v>
      </c>
      <c r="G934">
        <v>3</v>
      </c>
      <c r="H934" t="s">
        <v>100</v>
      </c>
      <c r="I934">
        <v>0.5</v>
      </c>
      <c r="J934">
        <v>1</v>
      </c>
      <c r="K934" t="s">
        <v>101</v>
      </c>
      <c r="L934" t="s">
        <v>102</v>
      </c>
      <c r="M934" t="s">
        <v>103</v>
      </c>
      <c r="N934" t="s">
        <v>96</v>
      </c>
      <c r="O934" t="s">
        <v>97</v>
      </c>
    </row>
    <row r="935" spans="1:15" x14ac:dyDescent="0.2">
      <c r="A935">
        <v>29</v>
      </c>
      <c r="B935">
        <v>30</v>
      </c>
      <c r="C935">
        <v>29</v>
      </c>
      <c r="D935">
        <v>28</v>
      </c>
      <c r="E935" t="s">
        <v>30</v>
      </c>
      <c r="F935" t="s">
        <v>211</v>
      </c>
      <c r="G935">
        <v>4</v>
      </c>
      <c r="H935" t="s">
        <v>104</v>
      </c>
      <c r="I935">
        <v>0.5</v>
      </c>
      <c r="J935">
        <v>1</v>
      </c>
      <c r="K935" t="s">
        <v>101</v>
      </c>
      <c r="L935" t="s">
        <v>105</v>
      </c>
      <c r="M935" t="s">
        <v>106</v>
      </c>
      <c r="N935" t="s">
        <v>107</v>
      </c>
      <c r="O935" t="s">
        <v>97</v>
      </c>
    </row>
    <row r="936" spans="1:15" x14ac:dyDescent="0.2">
      <c r="A936">
        <v>29</v>
      </c>
      <c r="B936">
        <v>30</v>
      </c>
      <c r="C936">
        <v>29</v>
      </c>
      <c r="D936">
        <v>28</v>
      </c>
      <c r="E936" t="s">
        <v>30</v>
      </c>
      <c r="F936" t="s">
        <v>211</v>
      </c>
      <c r="G936">
        <v>5</v>
      </c>
      <c r="H936" t="s">
        <v>108</v>
      </c>
      <c r="I936">
        <v>0.5</v>
      </c>
      <c r="J936">
        <v>1</v>
      </c>
      <c r="K936" t="s">
        <v>101</v>
      </c>
      <c r="L936" t="s">
        <v>109</v>
      </c>
      <c r="M936" t="s">
        <v>110</v>
      </c>
      <c r="N936" t="s">
        <v>107</v>
      </c>
      <c r="O936" t="s">
        <v>97</v>
      </c>
    </row>
    <row r="937" spans="1:15" x14ac:dyDescent="0.2">
      <c r="A937">
        <v>29</v>
      </c>
      <c r="B937">
        <v>30</v>
      </c>
      <c r="C937">
        <v>29</v>
      </c>
      <c r="D937">
        <v>28</v>
      </c>
      <c r="E937" t="s">
        <v>30</v>
      </c>
      <c r="F937" t="s">
        <v>211</v>
      </c>
      <c r="G937">
        <v>9</v>
      </c>
      <c r="H937" t="s">
        <v>111</v>
      </c>
      <c r="I937">
        <v>0.5</v>
      </c>
      <c r="J937">
        <v>0.5</v>
      </c>
      <c r="K937" t="s">
        <v>112</v>
      </c>
      <c r="L937" t="s">
        <v>113</v>
      </c>
      <c r="M937" t="s">
        <v>114</v>
      </c>
      <c r="N937" t="s">
        <v>96</v>
      </c>
      <c r="O937" t="s">
        <v>97</v>
      </c>
    </row>
    <row r="938" spans="1:15" x14ac:dyDescent="0.2">
      <c r="A938">
        <v>29</v>
      </c>
      <c r="B938">
        <v>30</v>
      </c>
      <c r="C938">
        <v>29</v>
      </c>
      <c r="D938">
        <v>28</v>
      </c>
      <c r="E938" t="s">
        <v>30</v>
      </c>
      <c r="F938" t="s">
        <v>211</v>
      </c>
      <c r="G938">
        <v>10</v>
      </c>
      <c r="H938" t="s">
        <v>115</v>
      </c>
      <c r="I938">
        <v>0</v>
      </c>
      <c r="J938">
        <v>0.5</v>
      </c>
      <c r="K938" t="s">
        <v>112</v>
      </c>
      <c r="L938" t="s">
        <v>116</v>
      </c>
      <c r="M938" t="s">
        <v>117</v>
      </c>
      <c r="N938" t="s">
        <v>96</v>
      </c>
      <c r="O938" t="s">
        <v>97</v>
      </c>
    </row>
    <row r="939" spans="1:15" x14ac:dyDescent="0.2">
      <c r="A939">
        <v>29</v>
      </c>
      <c r="B939">
        <v>30</v>
      </c>
      <c r="C939">
        <v>29</v>
      </c>
      <c r="D939">
        <v>28</v>
      </c>
      <c r="E939" t="s">
        <v>30</v>
      </c>
      <c r="F939" t="s">
        <v>211</v>
      </c>
      <c r="G939">
        <v>11</v>
      </c>
      <c r="H939" t="s">
        <v>118</v>
      </c>
      <c r="I939">
        <v>1</v>
      </c>
      <c r="J939">
        <v>1</v>
      </c>
      <c r="K939" t="s">
        <v>112</v>
      </c>
      <c r="L939" t="s">
        <v>119</v>
      </c>
      <c r="M939" t="s">
        <v>120</v>
      </c>
      <c r="N939" t="s">
        <v>107</v>
      </c>
      <c r="O939" t="s">
        <v>97</v>
      </c>
    </row>
    <row r="940" spans="1:15" x14ac:dyDescent="0.2">
      <c r="A940">
        <v>29</v>
      </c>
      <c r="B940">
        <v>30</v>
      </c>
      <c r="C940">
        <v>29</v>
      </c>
      <c r="D940">
        <v>28</v>
      </c>
      <c r="E940" t="s">
        <v>30</v>
      </c>
      <c r="F940" t="s">
        <v>211</v>
      </c>
      <c r="G940">
        <v>12</v>
      </c>
      <c r="H940" t="s">
        <v>121</v>
      </c>
      <c r="I940">
        <v>0</v>
      </c>
      <c r="J940">
        <v>0.5</v>
      </c>
      <c r="K940" t="s">
        <v>122</v>
      </c>
      <c r="L940" t="s">
        <v>113</v>
      </c>
      <c r="M940" t="s">
        <v>123</v>
      </c>
      <c r="N940" t="s">
        <v>96</v>
      </c>
      <c r="O940" t="s">
        <v>97</v>
      </c>
    </row>
    <row r="941" spans="1:15" x14ac:dyDescent="0.2">
      <c r="A941">
        <v>29</v>
      </c>
      <c r="B941">
        <v>30</v>
      </c>
      <c r="C941">
        <v>29</v>
      </c>
      <c r="D941">
        <v>28</v>
      </c>
      <c r="E941" t="s">
        <v>30</v>
      </c>
      <c r="F941" t="s">
        <v>211</v>
      </c>
      <c r="G941">
        <v>13</v>
      </c>
      <c r="H941" t="s">
        <v>124</v>
      </c>
      <c r="I941">
        <v>0</v>
      </c>
      <c r="J941">
        <v>0.5</v>
      </c>
      <c r="K941" t="s">
        <v>122</v>
      </c>
      <c r="L941" t="s">
        <v>125</v>
      </c>
      <c r="M941" t="s">
        <v>126</v>
      </c>
      <c r="N941" t="s">
        <v>96</v>
      </c>
      <c r="O941" t="s">
        <v>97</v>
      </c>
    </row>
    <row r="942" spans="1:15" x14ac:dyDescent="0.2">
      <c r="A942">
        <v>29</v>
      </c>
      <c r="B942">
        <v>30</v>
      </c>
      <c r="C942">
        <v>29</v>
      </c>
      <c r="D942">
        <v>28</v>
      </c>
      <c r="E942" t="s">
        <v>30</v>
      </c>
      <c r="F942" t="s">
        <v>211</v>
      </c>
      <c r="G942">
        <v>14</v>
      </c>
      <c r="H942" t="s">
        <v>127</v>
      </c>
      <c r="I942">
        <v>0.5</v>
      </c>
      <c r="J942">
        <v>1</v>
      </c>
      <c r="K942" t="s">
        <v>122</v>
      </c>
      <c r="L942" t="s">
        <v>119</v>
      </c>
      <c r="M942" t="s">
        <v>128</v>
      </c>
      <c r="N942" t="s">
        <v>107</v>
      </c>
      <c r="O942" t="s">
        <v>97</v>
      </c>
    </row>
    <row r="943" spans="1:15" x14ac:dyDescent="0.2">
      <c r="A943">
        <v>29</v>
      </c>
      <c r="B943">
        <v>30</v>
      </c>
      <c r="C943">
        <v>29</v>
      </c>
      <c r="D943">
        <v>28</v>
      </c>
      <c r="E943" t="s">
        <v>30</v>
      </c>
      <c r="F943" t="s">
        <v>211</v>
      </c>
      <c r="G943">
        <v>15</v>
      </c>
      <c r="H943" t="s">
        <v>129</v>
      </c>
      <c r="I943">
        <v>0</v>
      </c>
      <c r="J943">
        <v>1</v>
      </c>
      <c r="K943" t="s">
        <v>130</v>
      </c>
      <c r="L943" t="s">
        <v>131</v>
      </c>
      <c r="M943" t="s">
        <v>132</v>
      </c>
      <c r="N943" t="s">
        <v>107</v>
      </c>
      <c r="O943" t="s">
        <v>97</v>
      </c>
    </row>
    <row r="944" spans="1:15" x14ac:dyDescent="0.2">
      <c r="A944">
        <v>29</v>
      </c>
      <c r="B944">
        <v>30</v>
      </c>
      <c r="C944">
        <v>29</v>
      </c>
      <c r="D944">
        <v>28</v>
      </c>
      <c r="E944" t="s">
        <v>30</v>
      </c>
      <c r="F944" t="s">
        <v>211</v>
      </c>
      <c r="G944">
        <v>16</v>
      </c>
      <c r="H944" t="s">
        <v>133</v>
      </c>
      <c r="I944">
        <v>0</v>
      </c>
      <c r="J944">
        <v>0</v>
      </c>
      <c r="K944" t="e">
        <v>#N/A</v>
      </c>
      <c r="L944" t="e">
        <v>#N/A</v>
      </c>
      <c r="M944" t="e">
        <v>#N/A</v>
      </c>
      <c r="N944" t="e">
        <v>#N/A</v>
      </c>
      <c r="O944" t="s">
        <v>97</v>
      </c>
    </row>
    <row r="945" spans="1:15" x14ac:dyDescent="0.2">
      <c r="A945">
        <v>29</v>
      </c>
      <c r="B945">
        <v>30</v>
      </c>
      <c r="C945">
        <v>29</v>
      </c>
      <c r="D945">
        <v>28</v>
      </c>
      <c r="E945" t="s">
        <v>30</v>
      </c>
      <c r="F945" t="s">
        <v>211</v>
      </c>
      <c r="G945">
        <v>17</v>
      </c>
      <c r="H945" t="s">
        <v>134</v>
      </c>
      <c r="I945">
        <v>1</v>
      </c>
      <c r="J945">
        <v>1</v>
      </c>
      <c r="K945" t="s">
        <v>112</v>
      </c>
      <c r="L945" t="s">
        <v>135</v>
      </c>
      <c r="M945" t="s">
        <v>136</v>
      </c>
      <c r="N945" t="s">
        <v>107</v>
      </c>
      <c r="O945" t="s">
        <v>97</v>
      </c>
    </row>
    <row r="946" spans="1:15" x14ac:dyDescent="0.2">
      <c r="A946">
        <v>29</v>
      </c>
      <c r="B946">
        <v>30</v>
      </c>
      <c r="C946">
        <v>29</v>
      </c>
      <c r="D946">
        <v>28</v>
      </c>
      <c r="E946" t="s">
        <v>30</v>
      </c>
      <c r="F946" t="s">
        <v>211</v>
      </c>
      <c r="G946">
        <v>18</v>
      </c>
      <c r="H946" t="s">
        <v>137</v>
      </c>
      <c r="I946">
        <v>1</v>
      </c>
      <c r="J946">
        <v>1</v>
      </c>
      <c r="K946" t="s">
        <v>112</v>
      </c>
      <c r="L946" t="s">
        <v>138</v>
      </c>
      <c r="M946" t="s">
        <v>139</v>
      </c>
      <c r="N946" t="s">
        <v>107</v>
      </c>
      <c r="O946" t="s">
        <v>97</v>
      </c>
    </row>
    <row r="947" spans="1:15" x14ac:dyDescent="0.2">
      <c r="A947">
        <v>29</v>
      </c>
      <c r="B947">
        <v>30</v>
      </c>
      <c r="C947">
        <v>29</v>
      </c>
      <c r="D947">
        <v>28</v>
      </c>
      <c r="E947" t="s">
        <v>30</v>
      </c>
      <c r="F947" t="s">
        <v>211</v>
      </c>
      <c r="G947">
        <v>19</v>
      </c>
      <c r="H947" t="s">
        <v>140</v>
      </c>
      <c r="I947">
        <v>0.5</v>
      </c>
      <c r="J947">
        <v>1</v>
      </c>
      <c r="K947" t="s">
        <v>122</v>
      </c>
      <c r="L947" t="s">
        <v>141</v>
      </c>
      <c r="M947" t="s">
        <v>142</v>
      </c>
      <c r="N947" t="s">
        <v>107</v>
      </c>
      <c r="O947" t="s">
        <v>97</v>
      </c>
    </row>
    <row r="948" spans="1:15" x14ac:dyDescent="0.2">
      <c r="A948">
        <v>29</v>
      </c>
      <c r="B948">
        <v>30</v>
      </c>
      <c r="C948">
        <v>29</v>
      </c>
      <c r="D948">
        <v>28</v>
      </c>
      <c r="E948" t="s">
        <v>30</v>
      </c>
      <c r="F948" t="s">
        <v>211</v>
      </c>
      <c r="G948">
        <v>20</v>
      </c>
      <c r="H948" t="s">
        <v>143</v>
      </c>
      <c r="I948">
        <v>1</v>
      </c>
      <c r="J948">
        <v>1</v>
      </c>
      <c r="K948" t="s">
        <v>122</v>
      </c>
      <c r="L948" t="s">
        <v>144</v>
      </c>
      <c r="M948" t="s">
        <v>145</v>
      </c>
      <c r="N948" t="s">
        <v>107</v>
      </c>
      <c r="O948" t="s">
        <v>97</v>
      </c>
    </row>
    <row r="949" spans="1:15" x14ac:dyDescent="0.2">
      <c r="A949">
        <v>29</v>
      </c>
      <c r="B949">
        <v>30</v>
      </c>
      <c r="C949">
        <v>29</v>
      </c>
      <c r="D949">
        <v>28</v>
      </c>
      <c r="E949" t="s">
        <v>30</v>
      </c>
      <c r="F949" t="s">
        <v>211</v>
      </c>
      <c r="G949">
        <v>21</v>
      </c>
      <c r="H949" t="s">
        <v>146</v>
      </c>
      <c r="I949">
        <v>1</v>
      </c>
      <c r="J949">
        <v>1</v>
      </c>
      <c r="K949" t="s">
        <v>147</v>
      </c>
      <c r="L949" t="s">
        <v>148</v>
      </c>
      <c r="M949" t="s">
        <v>149</v>
      </c>
      <c r="N949" t="s">
        <v>96</v>
      </c>
      <c r="O949" t="s">
        <v>97</v>
      </c>
    </row>
    <row r="950" spans="1:15" x14ac:dyDescent="0.2">
      <c r="A950">
        <v>29</v>
      </c>
      <c r="B950">
        <v>30</v>
      </c>
      <c r="C950">
        <v>29</v>
      </c>
      <c r="D950">
        <v>28</v>
      </c>
      <c r="E950" t="s">
        <v>30</v>
      </c>
      <c r="F950" t="s">
        <v>211</v>
      </c>
      <c r="G950">
        <v>22</v>
      </c>
      <c r="H950" t="s">
        <v>150</v>
      </c>
      <c r="I950">
        <v>0</v>
      </c>
      <c r="J950">
        <v>1</v>
      </c>
      <c r="K950" t="s">
        <v>147</v>
      </c>
      <c r="L950" t="s">
        <v>151</v>
      </c>
      <c r="M950" t="s">
        <v>149</v>
      </c>
      <c r="N950" t="s">
        <v>107</v>
      </c>
      <c r="O950" t="s">
        <v>97</v>
      </c>
    </row>
    <row r="951" spans="1:15" x14ac:dyDescent="0.2">
      <c r="A951">
        <v>29</v>
      </c>
      <c r="B951">
        <v>30</v>
      </c>
      <c r="C951">
        <v>29</v>
      </c>
      <c r="D951">
        <v>28</v>
      </c>
      <c r="E951" t="s">
        <v>30</v>
      </c>
      <c r="F951" t="s">
        <v>211</v>
      </c>
      <c r="G951">
        <v>23</v>
      </c>
      <c r="H951" t="s">
        <v>152</v>
      </c>
      <c r="I951">
        <v>0</v>
      </c>
      <c r="J951">
        <v>0</v>
      </c>
      <c r="K951" t="s">
        <v>153</v>
      </c>
      <c r="L951" t="s">
        <v>154</v>
      </c>
      <c r="M951" t="s">
        <v>155</v>
      </c>
      <c r="N951" t="s">
        <v>107</v>
      </c>
      <c r="O951" t="s">
        <v>97</v>
      </c>
    </row>
    <row r="952" spans="1:15" x14ac:dyDescent="0.2">
      <c r="A952">
        <v>29</v>
      </c>
      <c r="B952">
        <v>30</v>
      </c>
      <c r="C952">
        <v>29</v>
      </c>
      <c r="D952">
        <v>28</v>
      </c>
      <c r="E952" t="s">
        <v>30</v>
      </c>
      <c r="F952" t="s">
        <v>211</v>
      </c>
      <c r="G952">
        <v>24</v>
      </c>
      <c r="H952" t="s">
        <v>156</v>
      </c>
      <c r="I952">
        <v>0.5</v>
      </c>
      <c r="J952">
        <v>0.5</v>
      </c>
      <c r="K952" t="s">
        <v>122</v>
      </c>
      <c r="L952" t="s">
        <v>157</v>
      </c>
      <c r="M952" t="s">
        <v>158</v>
      </c>
      <c r="N952" t="s">
        <v>107</v>
      </c>
      <c r="O952" t="s">
        <v>97</v>
      </c>
    </row>
    <row r="953" spans="1:15" x14ac:dyDescent="0.2">
      <c r="A953">
        <v>29</v>
      </c>
      <c r="B953">
        <v>30</v>
      </c>
      <c r="C953">
        <v>29</v>
      </c>
      <c r="D953">
        <v>28</v>
      </c>
      <c r="E953" t="s">
        <v>30</v>
      </c>
      <c r="F953" t="s">
        <v>211</v>
      </c>
      <c r="G953">
        <v>25</v>
      </c>
      <c r="H953" t="s">
        <v>156</v>
      </c>
      <c r="I953">
        <v>0</v>
      </c>
      <c r="J953">
        <v>0.5</v>
      </c>
      <c r="K953" t="s">
        <v>122</v>
      </c>
      <c r="L953" t="s">
        <v>157</v>
      </c>
      <c r="M953" t="s">
        <v>158</v>
      </c>
      <c r="N953" t="s">
        <v>107</v>
      </c>
      <c r="O953" t="s">
        <v>97</v>
      </c>
    </row>
    <row r="954" spans="1:15" x14ac:dyDescent="0.2">
      <c r="A954">
        <v>29</v>
      </c>
      <c r="B954">
        <v>30</v>
      </c>
      <c r="C954">
        <v>29</v>
      </c>
      <c r="D954">
        <v>28</v>
      </c>
      <c r="E954" t="s">
        <v>30</v>
      </c>
      <c r="F954" t="s">
        <v>211</v>
      </c>
      <c r="G954">
        <v>26</v>
      </c>
      <c r="H954" t="s">
        <v>152</v>
      </c>
      <c r="I954">
        <v>0</v>
      </c>
      <c r="J954">
        <v>0</v>
      </c>
      <c r="K954" t="s">
        <v>153</v>
      </c>
      <c r="L954" t="s">
        <v>154</v>
      </c>
      <c r="M954" t="s">
        <v>155</v>
      </c>
      <c r="N954" t="s">
        <v>107</v>
      </c>
      <c r="O954" t="s">
        <v>97</v>
      </c>
    </row>
    <row r="955" spans="1:15" x14ac:dyDescent="0.2">
      <c r="A955">
        <v>29</v>
      </c>
      <c r="B955">
        <v>30</v>
      </c>
      <c r="C955">
        <v>29</v>
      </c>
      <c r="D955">
        <v>28</v>
      </c>
      <c r="E955" t="s">
        <v>30</v>
      </c>
      <c r="F955" t="s">
        <v>211</v>
      </c>
      <c r="G955">
        <v>27</v>
      </c>
      <c r="H955" t="s">
        <v>159</v>
      </c>
      <c r="I955">
        <v>0.5</v>
      </c>
      <c r="J955">
        <v>0.5</v>
      </c>
      <c r="K955" t="s">
        <v>122</v>
      </c>
      <c r="L955" t="s">
        <v>160</v>
      </c>
      <c r="M955" t="s">
        <v>161</v>
      </c>
      <c r="N955" t="s">
        <v>107</v>
      </c>
      <c r="O955" t="s">
        <v>97</v>
      </c>
    </row>
    <row r="956" spans="1:15" x14ac:dyDescent="0.2">
      <c r="A956">
        <v>29</v>
      </c>
      <c r="B956">
        <v>30</v>
      </c>
      <c r="C956">
        <v>29</v>
      </c>
      <c r="D956">
        <v>28</v>
      </c>
      <c r="E956" t="s">
        <v>30</v>
      </c>
      <c r="F956" t="s">
        <v>211</v>
      </c>
      <c r="G956">
        <v>28</v>
      </c>
      <c r="H956" t="s">
        <v>159</v>
      </c>
      <c r="I956">
        <v>0</v>
      </c>
      <c r="J956">
        <v>0.5</v>
      </c>
      <c r="K956" t="s">
        <v>122</v>
      </c>
      <c r="L956" t="s">
        <v>160</v>
      </c>
      <c r="M956" t="s">
        <v>161</v>
      </c>
      <c r="N956" t="s">
        <v>107</v>
      </c>
      <c r="O956" t="s">
        <v>97</v>
      </c>
    </row>
    <row r="957" spans="1:15" x14ac:dyDescent="0.2">
      <c r="A957">
        <v>29</v>
      </c>
      <c r="B957">
        <v>30</v>
      </c>
      <c r="C957">
        <v>29</v>
      </c>
      <c r="D957">
        <v>28</v>
      </c>
      <c r="E957" t="s">
        <v>30</v>
      </c>
      <c r="F957" t="s">
        <v>211</v>
      </c>
      <c r="G957">
        <v>29</v>
      </c>
      <c r="H957" t="s">
        <v>152</v>
      </c>
      <c r="I957">
        <v>0</v>
      </c>
      <c r="J957">
        <v>0</v>
      </c>
      <c r="K957" t="s">
        <v>153</v>
      </c>
      <c r="L957" t="s">
        <v>154</v>
      </c>
      <c r="M957" t="s">
        <v>155</v>
      </c>
      <c r="N957" t="s">
        <v>107</v>
      </c>
      <c r="O957" t="s">
        <v>97</v>
      </c>
    </row>
    <row r="958" spans="1:15" x14ac:dyDescent="0.2">
      <c r="A958">
        <v>29</v>
      </c>
      <c r="B958">
        <v>30</v>
      </c>
      <c r="C958">
        <v>29</v>
      </c>
      <c r="D958">
        <v>28</v>
      </c>
      <c r="E958" t="s">
        <v>30</v>
      </c>
      <c r="F958" t="s">
        <v>211</v>
      </c>
      <c r="G958">
        <v>30</v>
      </c>
      <c r="H958" t="s">
        <v>162</v>
      </c>
      <c r="I958">
        <v>0</v>
      </c>
      <c r="J958">
        <v>1</v>
      </c>
      <c r="K958" t="s">
        <v>112</v>
      </c>
      <c r="L958" t="s">
        <v>163</v>
      </c>
      <c r="M958" t="s">
        <v>164</v>
      </c>
      <c r="N958" t="s">
        <v>107</v>
      </c>
      <c r="O958" t="s">
        <v>97</v>
      </c>
    </row>
    <row r="959" spans="1:15" x14ac:dyDescent="0.2">
      <c r="A959">
        <v>29</v>
      </c>
      <c r="B959">
        <v>30</v>
      </c>
      <c r="C959">
        <v>29</v>
      </c>
      <c r="D959">
        <v>28</v>
      </c>
      <c r="E959" t="s">
        <v>30</v>
      </c>
      <c r="F959" t="s">
        <v>211</v>
      </c>
      <c r="G959">
        <v>31</v>
      </c>
      <c r="H959" t="s">
        <v>162</v>
      </c>
      <c r="I959">
        <v>0</v>
      </c>
      <c r="J959">
        <v>0</v>
      </c>
      <c r="K959" t="s">
        <v>112</v>
      </c>
      <c r="L959" t="s">
        <v>163</v>
      </c>
      <c r="M959" t="s">
        <v>164</v>
      </c>
      <c r="N959" t="s">
        <v>107</v>
      </c>
      <c r="O959" t="s">
        <v>97</v>
      </c>
    </row>
    <row r="960" spans="1:15" x14ac:dyDescent="0.2">
      <c r="A960">
        <v>29</v>
      </c>
      <c r="B960">
        <v>30</v>
      </c>
      <c r="C960">
        <v>29</v>
      </c>
      <c r="D960">
        <v>28</v>
      </c>
      <c r="E960" t="s">
        <v>30</v>
      </c>
      <c r="F960" t="s">
        <v>211</v>
      </c>
      <c r="G960">
        <v>32</v>
      </c>
      <c r="H960" t="s">
        <v>162</v>
      </c>
      <c r="I960">
        <v>0</v>
      </c>
      <c r="J960">
        <v>0</v>
      </c>
      <c r="K960" t="s">
        <v>112</v>
      </c>
      <c r="L960" t="s">
        <v>163</v>
      </c>
      <c r="M960" t="s">
        <v>164</v>
      </c>
      <c r="N960" t="s">
        <v>107</v>
      </c>
      <c r="O960" t="s">
        <v>97</v>
      </c>
    </row>
    <row r="961" spans="1:15" x14ac:dyDescent="0.2">
      <c r="A961">
        <v>29</v>
      </c>
      <c r="B961">
        <v>30</v>
      </c>
      <c r="C961">
        <v>29</v>
      </c>
      <c r="D961">
        <v>28</v>
      </c>
      <c r="E961" t="s">
        <v>30</v>
      </c>
      <c r="F961" t="s">
        <v>211</v>
      </c>
      <c r="G961">
        <v>33</v>
      </c>
      <c r="H961" t="s">
        <v>152</v>
      </c>
      <c r="I961">
        <v>0</v>
      </c>
      <c r="J961">
        <v>1</v>
      </c>
      <c r="K961" t="s">
        <v>153</v>
      </c>
      <c r="L961" t="s">
        <v>154</v>
      </c>
      <c r="M961" t="s">
        <v>155</v>
      </c>
      <c r="N961" t="s">
        <v>107</v>
      </c>
      <c r="O961" t="s">
        <v>97</v>
      </c>
    </row>
    <row r="962" spans="1:15" x14ac:dyDescent="0.2">
      <c r="A962">
        <v>29</v>
      </c>
      <c r="B962">
        <v>30</v>
      </c>
      <c r="C962">
        <v>29</v>
      </c>
      <c r="D962">
        <v>28</v>
      </c>
      <c r="E962" t="s">
        <v>30</v>
      </c>
      <c r="F962" t="s">
        <v>211</v>
      </c>
      <c r="G962">
        <v>34</v>
      </c>
      <c r="H962" t="s">
        <v>152</v>
      </c>
      <c r="I962">
        <v>0</v>
      </c>
      <c r="J962">
        <v>0</v>
      </c>
      <c r="K962" t="s">
        <v>153</v>
      </c>
      <c r="L962" t="s">
        <v>154</v>
      </c>
      <c r="M962" t="s">
        <v>155</v>
      </c>
      <c r="N962" t="s">
        <v>107</v>
      </c>
      <c r="O962" t="s">
        <v>97</v>
      </c>
    </row>
    <row r="963" spans="1:15" x14ac:dyDescent="0.2">
      <c r="A963">
        <v>29</v>
      </c>
      <c r="B963">
        <v>30</v>
      </c>
      <c r="C963">
        <v>29</v>
      </c>
      <c r="D963">
        <v>28</v>
      </c>
      <c r="E963" t="s">
        <v>30</v>
      </c>
      <c r="F963" t="s">
        <v>211</v>
      </c>
      <c r="G963">
        <v>35</v>
      </c>
      <c r="H963" t="s">
        <v>165</v>
      </c>
      <c r="I963">
        <v>1</v>
      </c>
      <c r="J963">
        <v>1</v>
      </c>
      <c r="K963" t="s">
        <v>166</v>
      </c>
      <c r="L963" t="s">
        <v>167</v>
      </c>
      <c r="M963" t="s">
        <v>168</v>
      </c>
      <c r="N963" t="s">
        <v>107</v>
      </c>
      <c r="O963" t="s">
        <v>97</v>
      </c>
    </row>
    <row r="964" spans="1:15" x14ac:dyDescent="0.2">
      <c r="A964">
        <v>29</v>
      </c>
      <c r="B964">
        <v>30</v>
      </c>
      <c r="C964">
        <v>29</v>
      </c>
      <c r="D964">
        <v>28</v>
      </c>
      <c r="E964" t="s">
        <v>30</v>
      </c>
      <c r="F964" t="s">
        <v>211</v>
      </c>
      <c r="G964">
        <v>36</v>
      </c>
      <c r="H964" t="s">
        <v>169</v>
      </c>
      <c r="I964">
        <v>0</v>
      </c>
      <c r="J964">
        <v>0</v>
      </c>
      <c r="K964" t="e">
        <v>#N/A</v>
      </c>
      <c r="L964" t="e">
        <v>#N/A</v>
      </c>
      <c r="M964" t="e">
        <v>#N/A</v>
      </c>
      <c r="N964" t="e">
        <v>#N/A</v>
      </c>
      <c r="O964" t="s">
        <v>97</v>
      </c>
    </row>
    <row r="965" spans="1:15" x14ac:dyDescent="0.2">
      <c r="A965">
        <v>29</v>
      </c>
      <c r="B965">
        <v>30</v>
      </c>
      <c r="C965">
        <v>29</v>
      </c>
      <c r="D965">
        <v>28</v>
      </c>
      <c r="E965" t="s">
        <v>30</v>
      </c>
      <c r="F965" t="s">
        <v>211</v>
      </c>
      <c r="G965">
        <v>38</v>
      </c>
      <c r="H965" t="s">
        <v>170</v>
      </c>
      <c r="I965">
        <v>0</v>
      </c>
      <c r="J965">
        <v>0.5</v>
      </c>
      <c r="K965" t="s">
        <v>112</v>
      </c>
      <c r="L965" t="s">
        <v>171</v>
      </c>
      <c r="M965" t="s">
        <v>172</v>
      </c>
      <c r="N965" t="s">
        <v>96</v>
      </c>
      <c r="O965" t="s">
        <v>97</v>
      </c>
    </row>
    <row r="966" spans="1:15" x14ac:dyDescent="0.2">
      <c r="A966">
        <v>29</v>
      </c>
      <c r="B966">
        <v>30</v>
      </c>
      <c r="C966">
        <v>29</v>
      </c>
      <c r="D966">
        <v>28</v>
      </c>
      <c r="E966" t="s">
        <v>30</v>
      </c>
      <c r="F966" t="s">
        <v>211</v>
      </c>
      <c r="G966">
        <v>39</v>
      </c>
      <c r="H966" t="s">
        <v>170</v>
      </c>
      <c r="I966">
        <v>0</v>
      </c>
      <c r="J966">
        <v>0.5</v>
      </c>
      <c r="K966" t="s">
        <v>112</v>
      </c>
      <c r="L966" t="s">
        <v>171</v>
      </c>
      <c r="M966" t="s">
        <v>172</v>
      </c>
      <c r="N966" t="s">
        <v>96</v>
      </c>
      <c r="O966" t="s">
        <v>97</v>
      </c>
    </row>
    <row r="967" spans="1:15" x14ac:dyDescent="0.2">
      <c r="A967">
        <v>29</v>
      </c>
      <c r="B967">
        <v>30</v>
      </c>
      <c r="C967">
        <v>29</v>
      </c>
      <c r="D967">
        <v>28</v>
      </c>
      <c r="E967" t="s">
        <v>30</v>
      </c>
      <c r="F967" t="s">
        <v>211</v>
      </c>
      <c r="G967">
        <v>40</v>
      </c>
      <c r="H967" t="s">
        <v>170</v>
      </c>
      <c r="I967">
        <v>0</v>
      </c>
      <c r="J967">
        <v>0.5</v>
      </c>
      <c r="K967" t="s">
        <v>112</v>
      </c>
      <c r="L967" t="s">
        <v>171</v>
      </c>
      <c r="M967" t="s">
        <v>172</v>
      </c>
      <c r="N967" t="s">
        <v>96</v>
      </c>
      <c r="O967" t="s">
        <v>97</v>
      </c>
    </row>
    <row r="968" spans="1:15" x14ac:dyDescent="0.2">
      <c r="A968">
        <v>29</v>
      </c>
      <c r="B968">
        <v>30</v>
      </c>
      <c r="C968">
        <v>29</v>
      </c>
      <c r="D968">
        <v>28</v>
      </c>
      <c r="E968" t="s">
        <v>30</v>
      </c>
      <c r="F968" t="s">
        <v>211</v>
      </c>
      <c r="G968">
        <v>41</v>
      </c>
      <c r="H968" t="s">
        <v>173</v>
      </c>
      <c r="I968">
        <v>0</v>
      </c>
      <c r="J968">
        <v>1</v>
      </c>
      <c r="K968" t="s">
        <v>166</v>
      </c>
      <c r="L968" t="s">
        <v>174</v>
      </c>
      <c r="M968" t="s">
        <v>175</v>
      </c>
      <c r="N968" t="s">
        <v>107</v>
      </c>
      <c r="O968" t="s">
        <v>97</v>
      </c>
    </row>
    <row r="969" spans="1:15" x14ac:dyDescent="0.2">
      <c r="A969">
        <v>29</v>
      </c>
      <c r="B969">
        <v>30</v>
      </c>
      <c r="C969">
        <v>29</v>
      </c>
      <c r="D969">
        <v>28</v>
      </c>
      <c r="E969" t="s">
        <v>30</v>
      </c>
      <c r="F969" t="s">
        <v>211</v>
      </c>
      <c r="G969">
        <v>42</v>
      </c>
      <c r="H969" t="s">
        <v>176</v>
      </c>
      <c r="I969">
        <v>1</v>
      </c>
      <c r="J969">
        <v>1</v>
      </c>
      <c r="K969" t="s">
        <v>153</v>
      </c>
      <c r="L969" t="s">
        <v>177</v>
      </c>
      <c r="M969" t="s">
        <v>178</v>
      </c>
      <c r="N969" t="s">
        <v>107</v>
      </c>
      <c r="O969" t="s">
        <v>97</v>
      </c>
    </row>
    <row r="970" spans="1:15" x14ac:dyDescent="0.2">
      <c r="A970">
        <v>29</v>
      </c>
      <c r="B970">
        <v>30</v>
      </c>
      <c r="C970">
        <v>29</v>
      </c>
      <c r="D970">
        <v>28</v>
      </c>
      <c r="E970" t="s">
        <v>30</v>
      </c>
      <c r="F970" t="s">
        <v>211</v>
      </c>
      <c r="G970">
        <v>43</v>
      </c>
      <c r="H970" t="s">
        <v>179</v>
      </c>
      <c r="I970">
        <v>0</v>
      </c>
      <c r="J970">
        <v>0</v>
      </c>
      <c r="K970" t="s">
        <v>166</v>
      </c>
      <c r="L970" t="s">
        <v>180</v>
      </c>
      <c r="M970" t="s">
        <v>181</v>
      </c>
      <c r="N970" t="s">
        <v>107</v>
      </c>
      <c r="O970" t="s">
        <v>97</v>
      </c>
    </row>
    <row r="971" spans="1:15" x14ac:dyDescent="0.2">
      <c r="A971">
        <v>29</v>
      </c>
      <c r="B971">
        <v>30</v>
      </c>
      <c r="C971">
        <v>29</v>
      </c>
      <c r="D971">
        <v>28</v>
      </c>
      <c r="E971" t="s">
        <v>30</v>
      </c>
      <c r="F971" t="s">
        <v>211</v>
      </c>
      <c r="G971">
        <v>44</v>
      </c>
      <c r="H971" t="s">
        <v>182</v>
      </c>
      <c r="I971" t="e">
        <v>#DIV/0!</v>
      </c>
      <c r="J971">
        <v>1</v>
      </c>
      <c r="K971" t="s">
        <v>166</v>
      </c>
      <c r="L971" t="s">
        <v>183</v>
      </c>
      <c r="M971" t="s">
        <v>184</v>
      </c>
      <c r="N971" t="s">
        <v>107</v>
      </c>
      <c r="O971" t="s">
        <v>97</v>
      </c>
    </row>
    <row r="972" spans="1:15" x14ac:dyDescent="0.2">
      <c r="A972">
        <v>29</v>
      </c>
      <c r="B972">
        <v>30</v>
      </c>
      <c r="C972">
        <v>29</v>
      </c>
      <c r="D972">
        <v>28</v>
      </c>
      <c r="E972" t="s">
        <v>30</v>
      </c>
      <c r="F972" t="s">
        <v>211</v>
      </c>
      <c r="G972">
        <v>45</v>
      </c>
      <c r="H972" t="s">
        <v>185</v>
      </c>
      <c r="I972">
        <v>0</v>
      </c>
      <c r="J972">
        <v>1</v>
      </c>
      <c r="K972" t="s">
        <v>166</v>
      </c>
      <c r="L972" t="s">
        <v>186</v>
      </c>
      <c r="M972" t="s">
        <v>139</v>
      </c>
      <c r="N972" t="s">
        <v>107</v>
      </c>
      <c r="O972" t="s">
        <v>97</v>
      </c>
    </row>
    <row r="973" spans="1:15" x14ac:dyDescent="0.2">
      <c r="A973">
        <v>29</v>
      </c>
      <c r="B973">
        <v>30</v>
      </c>
      <c r="C973">
        <v>29</v>
      </c>
      <c r="D973">
        <v>28</v>
      </c>
      <c r="E973" t="s">
        <v>30</v>
      </c>
      <c r="F973" t="s">
        <v>211</v>
      </c>
      <c r="G973">
        <v>47</v>
      </c>
      <c r="H973" t="s">
        <v>187</v>
      </c>
      <c r="I973">
        <v>0.2</v>
      </c>
      <c r="J973">
        <v>0.2</v>
      </c>
      <c r="K973" t="s">
        <v>93</v>
      </c>
      <c r="L973" t="s">
        <v>188</v>
      </c>
      <c r="M973" t="s">
        <v>95</v>
      </c>
      <c r="N973" t="s">
        <v>96</v>
      </c>
      <c r="O973" t="s">
        <v>97</v>
      </c>
    </row>
    <row r="974" spans="1:15" x14ac:dyDescent="0.2">
      <c r="A974">
        <v>29</v>
      </c>
      <c r="B974">
        <v>30</v>
      </c>
      <c r="C974">
        <v>29</v>
      </c>
      <c r="D974">
        <v>28</v>
      </c>
      <c r="E974" t="s">
        <v>30</v>
      </c>
      <c r="F974" t="s">
        <v>211</v>
      </c>
      <c r="G974">
        <v>48</v>
      </c>
      <c r="H974" t="s">
        <v>189</v>
      </c>
      <c r="I974">
        <v>0.2</v>
      </c>
      <c r="J974">
        <v>0.2</v>
      </c>
      <c r="K974" t="s">
        <v>93</v>
      </c>
      <c r="L974" t="s">
        <v>190</v>
      </c>
      <c r="M974" t="s">
        <v>95</v>
      </c>
      <c r="N974" t="s">
        <v>96</v>
      </c>
      <c r="O974" t="s">
        <v>97</v>
      </c>
    </row>
    <row r="975" spans="1:15" x14ac:dyDescent="0.2">
      <c r="A975">
        <v>29</v>
      </c>
      <c r="B975">
        <v>30</v>
      </c>
      <c r="C975">
        <v>29</v>
      </c>
      <c r="D975">
        <v>28</v>
      </c>
      <c r="E975" t="s">
        <v>30</v>
      </c>
      <c r="F975" t="s">
        <v>211</v>
      </c>
      <c r="G975">
        <v>49</v>
      </c>
      <c r="H975" t="s">
        <v>191</v>
      </c>
      <c r="I975">
        <v>0.2</v>
      </c>
      <c r="J975">
        <v>0.2</v>
      </c>
      <c r="K975" t="s">
        <v>93</v>
      </c>
      <c r="L975" t="s">
        <v>192</v>
      </c>
      <c r="M975" t="s">
        <v>95</v>
      </c>
      <c r="N975" t="s">
        <v>96</v>
      </c>
      <c r="O975" t="s">
        <v>97</v>
      </c>
    </row>
    <row r="976" spans="1:15" x14ac:dyDescent="0.2">
      <c r="A976">
        <v>29</v>
      </c>
      <c r="B976">
        <v>30</v>
      </c>
      <c r="C976">
        <v>29</v>
      </c>
      <c r="D976">
        <v>28</v>
      </c>
      <c r="E976" t="s">
        <v>30</v>
      </c>
      <c r="F976" t="s">
        <v>211</v>
      </c>
      <c r="G976">
        <v>50</v>
      </c>
      <c r="H976" t="s">
        <v>193</v>
      </c>
      <c r="I976">
        <v>0.1</v>
      </c>
      <c r="J976">
        <v>0.1</v>
      </c>
      <c r="K976" t="s">
        <v>93</v>
      </c>
      <c r="L976" t="s">
        <v>194</v>
      </c>
      <c r="M976" t="s">
        <v>95</v>
      </c>
      <c r="N976" t="s">
        <v>96</v>
      </c>
      <c r="O976" t="s">
        <v>97</v>
      </c>
    </row>
    <row r="977" spans="1:15" x14ac:dyDescent="0.2">
      <c r="A977">
        <v>29</v>
      </c>
      <c r="B977">
        <v>30</v>
      </c>
      <c r="C977">
        <v>29</v>
      </c>
      <c r="D977">
        <v>28</v>
      </c>
      <c r="E977" t="s">
        <v>30</v>
      </c>
      <c r="F977" t="s">
        <v>211</v>
      </c>
      <c r="G977">
        <v>51</v>
      </c>
      <c r="H977" t="s">
        <v>193</v>
      </c>
      <c r="I977">
        <v>0.1</v>
      </c>
      <c r="J977">
        <v>0.1</v>
      </c>
      <c r="K977" t="s">
        <v>93</v>
      </c>
      <c r="L977" t="s">
        <v>194</v>
      </c>
      <c r="M977" t="s">
        <v>95</v>
      </c>
      <c r="N977" t="s">
        <v>96</v>
      </c>
      <c r="O977" t="s">
        <v>97</v>
      </c>
    </row>
    <row r="978" spans="1:15" x14ac:dyDescent="0.2">
      <c r="A978">
        <v>34</v>
      </c>
      <c r="B978">
        <v>35</v>
      </c>
      <c r="C978">
        <v>34</v>
      </c>
      <c r="D978">
        <v>33</v>
      </c>
      <c r="E978" t="s">
        <v>30</v>
      </c>
      <c r="F978" t="s">
        <v>35</v>
      </c>
      <c r="G978">
        <v>1</v>
      </c>
      <c r="H978" t="s">
        <v>92</v>
      </c>
      <c r="I978">
        <v>0.2</v>
      </c>
      <c r="J978">
        <v>0.2</v>
      </c>
      <c r="K978" t="s">
        <v>93</v>
      </c>
      <c r="L978" t="s">
        <v>94</v>
      </c>
      <c r="M978" t="s">
        <v>95</v>
      </c>
      <c r="N978" t="s">
        <v>96</v>
      </c>
      <c r="O978" t="s">
        <v>97</v>
      </c>
    </row>
    <row r="979" spans="1:15" x14ac:dyDescent="0.2">
      <c r="A979">
        <v>34</v>
      </c>
      <c r="B979">
        <v>35</v>
      </c>
      <c r="C979">
        <v>34</v>
      </c>
      <c r="D979">
        <v>33</v>
      </c>
      <c r="E979" t="s">
        <v>30</v>
      </c>
      <c r="F979" t="s">
        <v>35</v>
      </c>
      <c r="G979">
        <v>2</v>
      </c>
      <c r="H979" t="s">
        <v>98</v>
      </c>
      <c r="I979">
        <v>0.25</v>
      </c>
      <c r="J979">
        <v>0.5</v>
      </c>
      <c r="K979" t="s">
        <v>93</v>
      </c>
      <c r="L979" t="s">
        <v>99</v>
      </c>
      <c r="M979" t="s">
        <v>95</v>
      </c>
      <c r="N979" t="s">
        <v>96</v>
      </c>
      <c r="O979" t="s">
        <v>97</v>
      </c>
    </row>
    <row r="980" spans="1:15" x14ac:dyDescent="0.2">
      <c r="A980">
        <v>34</v>
      </c>
      <c r="B980">
        <v>35</v>
      </c>
      <c r="C980">
        <v>34</v>
      </c>
      <c r="D980">
        <v>33</v>
      </c>
      <c r="E980" t="s">
        <v>30</v>
      </c>
      <c r="F980" t="s">
        <v>35</v>
      </c>
      <c r="G980">
        <v>3</v>
      </c>
      <c r="H980" t="s">
        <v>100</v>
      </c>
      <c r="I980">
        <v>0</v>
      </c>
      <c r="J980">
        <v>1</v>
      </c>
      <c r="K980" t="s">
        <v>101</v>
      </c>
      <c r="L980" t="s">
        <v>102</v>
      </c>
      <c r="M980" t="s">
        <v>103</v>
      </c>
      <c r="N980" t="s">
        <v>96</v>
      </c>
      <c r="O980" t="s">
        <v>97</v>
      </c>
    </row>
    <row r="981" spans="1:15" x14ac:dyDescent="0.2">
      <c r="A981">
        <v>34</v>
      </c>
      <c r="B981">
        <v>35</v>
      </c>
      <c r="C981">
        <v>34</v>
      </c>
      <c r="D981">
        <v>33</v>
      </c>
      <c r="E981" t="s">
        <v>30</v>
      </c>
      <c r="F981" t="s">
        <v>35</v>
      </c>
      <c r="G981">
        <v>4</v>
      </c>
      <c r="H981" t="s">
        <v>104</v>
      </c>
      <c r="I981">
        <v>0.5</v>
      </c>
      <c r="J981">
        <v>1</v>
      </c>
      <c r="K981" t="s">
        <v>101</v>
      </c>
      <c r="L981" t="s">
        <v>105</v>
      </c>
      <c r="M981" t="s">
        <v>106</v>
      </c>
      <c r="N981" t="s">
        <v>107</v>
      </c>
      <c r="O981" t="s">
        <v>97</v>
      </c>
    </row>
    <row r="982" spans="1:15" x14ac:dyDescent="0.2">
      <c r="A982">
        <v>34</v>
      </c>
      <c r="B982">
        <v>35</v>
      </c>
      <c r="C982">
        <v>34</v>
      </c>
      <c r="D982">
        <v>33</v>
      </c>
      <c r="E982" t="s">
        <v>30</v>
      </c>
      <c r="F982" t="s">
        <v>35</v>
      </c>
      <c r="G982">
        <v>5</v>
      </c>
      <c r="H982" t="s">
        <v>108</v>
      </c>
      <c r="I982">
        <v>0.5</v>
      </c>
      <c r="J982">
        <v>1</v>
      </c>
      <c r="K982" t="s">
        <v>101</v>
      </c>
      <c r="L982" t="s">
        <v>109</v>
      </c>
      <c r="M982" t="s">
        <v>110</v>
      </c>
      <c r="N982" t="s">
        <v>107</v>
      </c>
      <c r="O982" t="s">
        <v>97</v>
      </c>
    </row>
    <row r="983" spans="1:15" x14ac:dyDescent="0.2">
      <c r="A983">
        <v>34</v>
      </c>
      <c r="B983">
        <v>35</v>
      </c>
      <c r="C983">
        <v>34</v>
      </c>
      <c r="D983">
        <v>33</v>
      </c>
      <c r="E983" t="s">
        <v>30</v>
      </c>
      <c r="F983" t="s">
        <v>35</v>
      </c>
      <c r="G983">
        <v>9</v>
      </c>
      <c r="H983" t="s">
        <v>111</v>
      </c>
      <c r="I983">
        <v>0</v>
      </c>
      <c r="J983" t="s">
        <v>195</v>
      </c>
      <c r="K983" t="s">
        <v>112</v>
      </c>
      <c r="L983" t="s">
        <v>113</v>
      </c>
      <c r="M983" t="s">
        <v>114</v>
      </c>
      <c r="N983" t="s">
        <v>96</v>
      </c>
      <c r="O983" t="s">
        <v>97</v>
      </c>
    </row>
    <row r="984" spans="1:15" x14ac:dyDescent="0.2">
      <c r="A984">
        <v>34</v>
      </c>
      <c r="B984">
        <v>35</v>
      </c>
      <c r="C984">
        <v>34</v>
      </c>
      <c r="D984">
        <v>33</v>
      </c>
      <c r="E984" t="s">
        <v>30</v>
      </c>
      <c r="F984" t="s">
        <v>35</v>
      </c>
      <c r="G984">
        <v>10</v>
      </c>
      <c r="H984" t="s">
        <v>115</v>
      </c>
      <c r="I984">
        <v>0</v>
      </c>
      <c r="J984">
        <v>0.5</v>
      </c>
      <c r="K984" t="s">
        <v>112</v>
      </c>
      <c r="L984" t="s">
        <v>116</v>
      </c>
      <c r="M984" t="s">
        <v>117</v>
      </c>
      <c r="N984" t="s">
        <v>96</v>
      </c>
      <c r="O984" t="s">
        <v>97</v>
      </c>
    </row>
    <row r="985" spans="1:15" x14ac:dyDescent="0.2">
      <c r="A985">
        <v>34</v>
      </c>
      <c r="B985">
        <v>35</v>
      </c>
      <c r="C985">
        <v>34</v>
      </c>
      <c r="D985">
        <v>33</v>
      </c>
      <c r="E985" t="s">
        <v>30</v>
      </c>
      <c r="F985" t="s">
        <v>35</v>
      </c>
      <c r="G985">
        <v>11</v>
      </c>
      <c r="H985" t="s">
        <v>118</v>
      </c>
      <c r="I985">
        <v>0.5</v>
      </c>
      <c r="J985">
        <v>1</v>
      </c>
      <c r="K985" t="s">
        <v>112</v>
      </c>
      <c r="L985" t="s">
        <v>119</v>
      </c>
      <c r="M985" t="s">
        <v>120</v>
      </c>
      <c r="N985" t="s">
        <v>107</v>
      </c>
      <c r="O985" t="s">
        <v>97</v>
      </c>
    </row>
    <row r="986" spans="1:15" x14ac:dyDescent="0.2">
      <c r="A986">
        <v>34</v>
      </c>
      <c r="B986">
        <v>35</v>
      </c>
      <c r="C986">
        <v>34</v>
      </c>
      <c r="D986">
        <v>33</v>
      </c>
      <c r="E986" t="s">
        <v>30</v>
      </c>
      <c r="F986" t="s">
        <v>35</v>
      </c>
      <c r="G986">
        <v>12</v>
      </c>
      <c r="H986" t="s">
        <v>121</v>
      </c>
      <c r="I986">
        <v>0</v>
      </c>
      <c r="J986" t="s">
        <v>195</v>
      </c>
      <c r="K986" t="s">
        <v>122</v>
      </c>
      <c r="L986" t="s">
        <v>113</v>
      </c>
      <c r="M986" t="s">
        <v>123</v>
      </c>
      <c r="N986" t="s">
        <v>96</v>
      </c>
      <c r="O986" t="s">
        <v>97</v>
      </c>
    </row>
    <row r="987" spans="1:15" x14ac:dyDescent="0.2">
      <c r="A987">
        <v>34</v>
      </c>
      <c r="B987">
        <v>35</v>
      </c>
      <c r="C987">
        <v>34</v>
      </c>
      <c r="D987">
        <v>33</v>
      </c>
      <c r="E987" t="s">
        <v>30</v>
      </c>
      <c r="F987" t="s">
        <v>35</v>
      </c>
      <c r="G987">
        <v>13</v>
      </c>
      <c r="H987" t="s">
        <v>124</v>
      </c>
      <c r="I987">
        <v>0</v>
      </c>
      <c r="J987" t="s">
        <v>195</v>
      </c>
      <c r="K987" t="s">
        <v>122</v>
      </c>
      <c r="L987" t="s">
        <v>125</v>
      </c>
      <c r="M987" t="s">
        <v>126</v>
      </c>
      <c r="N987" t="s">
        <v>96</v>
      </c>
      <c r="O987" t="s">
        <v>97</v>
      </c>
    </row>
    <row r="988" spans="1:15" x14ac:dyDescent="0.2">
      <c r="A988">
        <v>34</v>
      </c>
      <c r="B988">
        <v>35</v>
      </c>
      <c r="C988">
        <v>34</v>
      </c>
      <c r="D988">
        <v>33</v>
      </c>
      <c r="E988" t="s">
        <v>30</v>
      </c>
      <c r="F988" t="s">
        <v>35</v>
      </c>
      <c r="G988">
        <v>14</v>
      </c>
      <c r="H988" t="s">
        <v>127</v>
      </c>
      <c r="I988">
        <v>0.5</v>
      </c>
      <c r="J988">
        <v>1</v>
      </c>
      <c r="K988" t="s">
        <v>122</v>
      </c>
      <c r="L988" t="s">
        <v>119</v>
      </c>
      <c r="M988" t="s">
        <v>128</v>
      </c>
      <c r="N988" t="s">
        <v>107</v>
      </c>
      <c r="O988" t="s">
        <v>97</v>
      </c>
    </row>
    <row r="989" spans="1:15" x14ac:dyDescent="0.2">
      <c r="A989">
        <v>34</v>
      </c>
      <c r="B989">
        <v>35</v>
      </c>
      <c r="C989">
        <v>34</v>
      </c>
      <c r="D989">
        <v>33</v>
      </c>
      <c r="E989" t="s">
        <v>30</v>
      </c>
      <c r="F989" t="s">
        <v>35</v>
      </c>
      <c r="G989">
        <v>15</v>
      </c>
      <c r="H989" t="s">
        <v>129</v>
      </c>
      <c r="I989">
        <v>1</v>
      </c>
      <c r="J989">
        <v>1</v>
      </c>
      <c r="K989" t="s">
        <v>130</v>
      </c>
      <c r="L989" t="s">
        <v>131</v>
      </c>
      <c r="M989" t="s">
        <v>132</v>
      </c>
      <c r="N989" t="s">
        <v>107</v>
      </c>
      <c r="O989" t="s">
        <v>97</v>
      </c>
    </row>
    <row r="990" spans="1:15" x14ac:dyDescent="0.2">
      <c r="A990">
        <v>34</v>
      </c>
      <c r="B990">
        <v>35</v>
      </c>
      <c r="C990">
        <v>34</v>
      </c>
      <c r="D990">
        <v>33</v>
      </c>
      <c r="E990" t="s">
        <v>30</v>
      </c>
      <c r="F990" t="s">
        <v>35</v>
      </c>
      <c r="G990">
        <v>16</v>
      </c>
      <c r="H990" t="s">
        <v>133</v>
      </c>
      <c r="I990">
        <v>0</v>
      </c>
      <c r="J990">
        <v>0</v>
      </c>
      <c r="K990" t="e">
        <v>#N/A</v>
      </c>
      <c r="L990" t="e">
        <v>#N/A</v>
      </c>
      <c r="M990" t="e">
        <v>#N/A</v>
      </c>
      <c r="N990" t="e">
        <v>#N/A</v>
      </c>
      <c r="O990" t="s">
        <v>97</v>
      </c>
    </row>
    <row r="991" spans="1:15" x14ac:dyDescent="0.2">
      <c r="A991">
        <v>34</v>
      </c>
      <c r="B991">
        <v>35</v>
      </c>
      <c r="C991">
        <v>34</v>
      </c>
      <c r="D991">
        <v>33</v>
      </c>
      <c r="E991" t="s">
        <v>30</v>
      </c>
      <c r="F991" t="s">
        <v>35</v>
      </c>
      <c r="G991">
        <v>17</v>
      </c>
      <c r="H991" t="s">
        <v>134</v>
      </c>
      <c r="I991">
        <v>0.5</v>
      </c>
      <c r="J991">
        <v>1</v>
      </c>
      <c r="K991" t="s">
        <v>112</v>
      </c>
      <c r="L991" t="s">
        <v>135</v>
      </c>
      <c r="M991" t="s">
        <v>136</v>
      </c>
      <c r="N991" t="s">
        <v>107</v>
      </c>
      <c r="O991" t="s">
        <v>97</v>
      </c>
    </row>
    <row r="992" spans="1:15" x14ac:dyDescent="0.2">
      <c r="A992">
        <v>34</v>
      </c>
      <c r="B992">
        <v>35</v>
      </c>
      <c r="C992">
        <v>34</v>
      </c>
      <c r="D992">
        <v>33</v>
      </c>
      <c r="E992" t="s">
        <v>30</v>
      </c>
      <c r="F992" t="s">
        <v>35</v>
      </c>
      <c r="G992">
        <v>18</v>
      </c>
      <c r="H992" t="s">
        <v>137</v>
      </c>
      <c r="I992">
        <v>1</v>
      </c>
      <c r="J992">
        <v>1</v>
      </c>
      <c r="K992" t="s">
        <v>112</v>
      </c>
      <c r="L992" t="s">
        <v>138</v>
      </c>
      <c r="M992" t="s">
        <v>139</v>
      </c>
      <c r="N992" t="s">
        <v>107</v>
      </c>
      <c r="O992" t="s">
        <v>97</v>
      </c>
    </row>
    <row r="993" spans="1:15" x14ac:dyDescent="0.2">
      <c r="A993">
        <v>34</v>
      </c>
      <c r="B993">
        <v>35</v>
      </c>
      <c r="C993">
        <v>34</v>
      </c>
      <c r="D993">
        <v>33</v>
      </c>
      <c r="E993" t="s">
        <v>30</v>
      </c>
      <c r="F993" t="s">
        <v>35</v>
      </c>
      <c r="G993">
        <v>19</v>
      </c>
      <c r="H993" t="s">
        <v>140</v>
      </c>
      <c r="I993">
        <v>0.5</v>
      </c>
      <c r="J993">
        <v>1</v>
      </c>
      <c r="K993" t="s">
        <v>122</v>
      </c>
      <c r="L993" t="s">
        <v>141</v>
      </c>
      <c r="M993" t="s">
        <v>142</v>
      </c>
      <c r="N993" t="s">
        <v>107</v>
      </c>
      <c r="O993" t="s">
        <v>97</v>
      </c>
    </row>
    <row r="994" spans="1:15" x14ac:dyDescent="0.2">
      <c r="A994">
        <v>34</v>
      </c>
      <c r="B994">
        <v>35</v>
      </c>
      <c r="C994">
        <v>34</v>
      </c>
      <c r="D994">
        <v>33</v>
      </c>
      <c r="E994" t="s">
        <v>30</v>
      </c>
      <c r="F994" t="s">
        <v>35</v>
      </c>
      <c r="G994">
        <v>20</v>
      </c>
      <c r="H994" t="s">
        <v>143</v>
      </c>
      <c r="I994">
        <v>1</v>
      </c>
      <c r="J994">
        <v>1</v>
      </c>
      <c r="K994" t="s">
        <v>122</v>
      </c>
      <c r="L994" t="s">
        <v>144</v>
      </c>
      <c r="M994" t="s">
        <v>145</v>
      </c>
      <c r="N994" t="s">
        <v>107</v>
      </c>
      <c r="O994" t="s">
        <v>97</v>
      </c>
    </row>
    <row r="995" spans="1:15" x14ac:dyDescent="0.2">
      <c r="A995">
        <v>34</v>
      </c>
      <c r="B995">
        <v>35</v>
      </c>
      <c r="C995">
        <v>34</v>
      </c>
      <c r="D995">
        <v>33</v>
      </c>
      <c r="E995" t="s">
        <v>30</v>
      </c>
      <c r="F995" t="s">
        <v>35</v>
      </c>
      <c r="G995">
        <v>21</v>
      </c>
      <c r="H995" t="s">
        <v>146</v>
      </c>
      <c r="I995">
        <v>1</v>
      </c>
      <c r="J995">
        <v>1</v>
      </c>
      <c r="K995" t="s">
        <v>147</v>
      </c>
      <c r="L995" t="s">
        <v>148</v>
      </c>
      <c r="M995" t="s">
        <v>149</v>
      </c>
      <c r="N995" t="s">
        <v>96</v>
      </c>
      <c r="O995" t="s">
        <v>97</v>
      </c>
    </row>
    <row r="996" spans="1:15" x14ac:dyDescent="0.2">
      <c r="A996">
        <v>34</v>
      </c>
      <c r="B996">
        <v>35</v>
      </c>
      <c r="C996">
        <v>34</v>
      </c>
      <c r="D996">
        <v>33</v>
      </c>
      <c r="E996" t="s">
        <v>30</v>
      </c>
      <c r="F996" t="s">
        <v>35</v>
      </c>
      <c r="G996">
        <v>22</v>
      </c>
      <c r="H996" t="s">
        <v>150</v>
      </c>
      <c r="I996">
        <v>0</v>
      </c>
      <c r="J996">
        <v>1</v>
      </c>
      <c r="K996" t="s">
        <v>147</v>
      </c>
      <c r="L996" t="s">
        <v>151</v>
      </c>
      <c r="M996" t="s">
        <v>149</v>
      </c>
      <c r="N996" t="s">
        <v>107</v>
      </c>
      <c r="O996" t="s">
        <v>97</v>
      </c>
    </row>
    <row r="997" spans="1:15" x14ac:dyDescent="0.2">
      <c r="A997">
        <v>34</v>
      </c>
      <c r="B997">
        <v>35</v>
      </c>
      <c r="C997">
        <v>34</v>
      </c>
      <c r="D997">
        <v>33</v>
      </c>
      <c r="E997" t="s">
        <v>30</v>
      </c>
      <c r="F997" t="s">
        <v>35</v>
      </c>
      <c r="G997">
        <v>23</v>
      </c>
      <c r="H997" t="s">
        <v>152</v>
      </c>
      <c r="I997">
        <v>0</v>
      </c>
      <c r="J997">
        <v>0</v>
      </c>
      <c r="K997" t="s">
        <v>153</v>
      </c>
      <c r="L997" t="s">
        <v>154</v>
      </c>
      <c r="M997" t="s">
        <v>155</v>
      </c>
      <c r="N997" t="s">
        <v>107</v>
      </c>
      <c r="O997" t="s">
        <v>97</v>
      </c>
    </row>
    <row r="998" spans="1:15" x14ac:dyDescent="0.2">
      <c r="A998">
        <v>34</v>
      </c>
      <c r="B998">
        <v>35</v>
      </c>
      <c r="C998">
        <v>34</v>
      </c>
      <c r="D998">
        <v>33</v>
      </c>
      <c r="E998" t="s">
        <v>30</v>
      </c>
      <c r="F998" t="s">
        <v>35</v>
      </c>
      <c r="G998">
        <v>24</v>
      </c>
      <c r="H998" t="s">
        <v>156</v>
      </c>
      <c r="I998">
        <v>0</v>
      </c>
      <c r="J998">
        <v>0.5</v>
      </c>
      <c r="K998" t="s">
        <v>122</v>
      </c>
      <c r="L998" t="s">
        <v>157</v>
      </c>
      <c r="M998" t="s">
        <v>158</v>
      </c>
      <c r="N998" t="s">
        <v>107</v>
      </c>
      <c r="O998" t="s">
        <v>97</v>
      </c>
    </row>
    <row r="999" spans="1:15" x14ac:dyDescent="0.2">
      <c r="A999">
        <v>34</v>
      </c>
      <c r="B999">
        <v>35</v>
      </c>
      <c r="C999">
        <v>34</v>
      </c>
      <c r="D999">
        <v>33</v>
      </c>
      <c r="E999" t="s">
        <v>30</v>
      </c>
      <c r="F999" t="s">
        <v>35</v>
      </c>
      <c r="G999">
        <v>25</v>
      </c>
      <c r="H999" t="s">
        <v>156</v>
      </c>
      <c r="I999">
        <v>0</v>
      </c>
      <c r="J999">
        <v>0.5</v>
      </c>
      <c r="K999" t="s">
        <v>122</v>
      </c>
      <c r="L999" t="s">
        <v>157</v>
      </c>
      <c r="M999" t="s">
        <v>158</v>
      </c>
      <c r="N999" t="s">
        <v>107</v>
      </c>
      <c r="O999" t="s">
        <v>97</v>
      </c>
    </row>
    <row r="1000" spans="1:15" x14ac:dyDescent="0.2">
      <c r="A1000">
        <v>34</v>
      </c>
      <c r="B1000">
        <v>35</v>
      </c>
      <c r="C1000">
        <v>34</v>
      </c>
      <c r="D1000">
        <v>33</v>
      </c>
      <c r="E1000" t="s">
        <v>30</v>
      </c>
      <c r="F1000" t="s">
        <v>35</v>
      </c>
      <c r="G1000">
        <v>26</v>
      </c>
      <c r="H1000" t="s">
        <v>152</v>
      </c>
      <c r="I1000">
        <v>0</v>
      </c>
      <c r="J1000">
        <v>0</v>
      </c>
      <c r="K1000" t="s">
        <v>153</v>
      </c>
      <c r="L1000" t="s">
        <v>154</v>
      </c>
      <c r="M1000" t="s">
        <v>155</v>
      </c>
      <c r="N1000" t="s">
        <v>107</v>
      </c>
      <c r="O1000" t="s">
        <v>97</v>
      </c>
    </row>
    <row r="1001" spans="1:15" x14ac:dyDescent="0.2">
      <c r="A1001">
        <v>34</v>
      </c>
      <c r="B1001">
        <v>35</v>
      </c>
      <c r="C1001">
        <v>34</v>
      </c>
      <c r="D1001">
        <v>33</v>
      </c>
      <c r="E1001" t="s">
        <v>30</v>
      </c>
      <c r="F1001" t="s">
        <v>35</v>
      </c>
      <c r="G1001">
        <v>27</v>
      </c>
      <c r="H1001" t="s">
        <v>159</v>
      </c>
      <c r="I1001">
        <v>0.5</v>
      </c>
      <c r="J1001">
        <v>0.5</v>
      </c>
      <c r="K1001" t="s">
        <v>122</v>
      </c>
      <c r="L1001" t="s">
        <v>160</v>
      </c>
      <c r="M1001" t="s">
        <v>161</v>
      </c>
      <c r="N1001" t="s">
        <v>107</v>
      </c>
      <c r="O1001" t="s">
        <v>97</v>
      </c>
    </row>
    <row r="1002" spans="1:15" x14ac:dyDescent="0.2">
      <c r="A1002">
        <v>34</v>
      </c>
      <c r="B1002">
        <v>35</v>
      </c>
      <c r="C1002">
        <v>34</v>
      </c>
      <c r="D1002">
        <v>33</v>
      </c>
      <c r="E1002" t="s">
        <v>30</v>
      </c>
      <c r="F1002" t="s">
        <v>35</v>
      </c>
      <c r="G1002">
        <v>28</v>
      </c>
      <c r="H1002" t="s">
        <v>159</v>
      </c>
      <c r="I1002">
        <v>0</v>
      </c>
      <c r="J1002">
        <v>0.5</v>
      </c>
      <c r="K1002" t="s">
        <v>122</v>
      </c>
      <c r="L1002" t="s">
        <v>160</v>
      </c>
      <c r="M1002" t="s">
        <v>161</v>
      </c>
      <c r="N1002" t="s">
        <v>107</v>
      </c>
      <c r="O1002" t="s">
        <v>97</v>
      </c>
    </row>
    <row r="1003" spans="1:15" x14ac:dyDescent="0.2">
      <c r="A1003">
        <v>34</v>
      </c>
      <c r="B1003">
        <v>35</v>
      </c>
      <c r="C1003">
        <v>34</v>
      </c>
      <c r="D1003">
        <v>33</v>
      </c>
      <c r="E1003" t="s">
        <v>30</v>
      </c>
      <c r="F1003" t="s">
        <v>35</v>
      </c>
      <c r="G1003">
        <v>29</v>
      </c>
      <c r="H1003" t="s">
        <v>152</v>
      </c>
      <c r="I1003">
        <v>0</v>
      </c>
      <c r="J1003">
        <v>0</v>
      </c>
      <c r="K1003" t="s">
        <v>153</v>
      </c>
      <c r="L1003" t="s">
        <v>154</v>
      </c>
      <c r="M1003" t="s">
        <v>155</v>
      </c>
      <c r="N1003" t="s">
        <v>107</v>
      </c>
      <c r="O1003" t="s">
        <v>97</v>
      </c>
    </row>
    <row r="1004" spans="1:15" x14ac:dyDescent="0.2">
      <c r="A1004">
        <v>34</v>
      </c>
      <c r="B1004">
        <v>35</v>
      </c>
      <c r="C1004">
        <v>34</v>
      </c>
      <c r="D1004">
        <v>33</v>
      </c>
      <c r="E1004" t="s">
        <v>30</v>
      </c>
      <c r="F1004" t="s">
        <v>35</v>
      </c>
      <c r="G1004">
        <v>30</v>
      </c>
      <c r="H1004" t="s">
        <v>162</v>
      </c>
      <c r="I1004">
        <v>1</v>
      </c>
      <c r="J1004">
        <v>1</v>
      </c>
      <c r="K1004" t="s">
        <v>112</v>
      </c>
      <c r="L1004" t="s">
        <v>163</v>
      </c>
      <c r="M1004" t="s">
        <v>164</v>
      </c>
      <c r="N1004" t="s">
        <v>107</v>
      </c>
      <c r="O1004" t="s">
        <v>97</v>
      </c>
    </row>
    <row r="1005" spans="1:15" x14ac:dyDescent="0.2">
      <c r="A1005">
        <v>34</v>
      </c>
      <c r="B1005">
        <v>35</v>
      </c>
      <c r="C1005">
        <v>34</v>
      </c>
      <c r="D1005">
        <v>33</v>
      </c>
      <c r="E1005" t="s">
        <v>30</v>
      </c>
      <c r="F1005" t="s">
        <v>35</v>
      </c>
      <c r="G1005">
        <v>31</v>
      </c>
      <c r="H1005" t="s">
        <v>162</v>
      </c>
      <c r="I1005">
        <v>0</v>
      </c>
      <c r="J1005">
        <v>0</v>
      </c>
      <c r="K1005" t="s">
        <v>112</v>
      </c>
      <c r="L1005" t="s">
        <v>163</v>
      </c>
      <c r="M1005" t="s">
        <v>164</v>
      </c>
      <c r="N1005" t="s">
        <v>107</v>
      </c>
      <c r="O1005" t="s">
        <v>97</v>
      </c>
    </row>
    <row r="1006" spans="1:15" x14ac:dyDescent="0.2">
      <c r="A1006">
        <v>34</v>
      </c>
      <c r="B1006">
        <v>35</v>
      </c>
      <c r="C1006">
        <v>34</v>
      </c>
      <c r="D1006">
        <v>33</v>
      </c>
      <c r="E1006" t="s">
        <v>30</v>
      </c>
      <c r="F1006" t="s">
        <v>35</v>
      </c>
      <c r="G1006">
        <v>32</v>
      </c>
      <c r="H1006" t="s">
        <v>162</v>
      </c>
      <c r="I1006">
        <v>0</v>
      </c>
      <c r="J1006">
        <v>0</v>
      </c>
      <c r="K1006" t="s">
        <v>112</v>
      </c>
      <c r="L1006" t="s">
        <v>163</v>
      </c>
      <c r="M1006" t="s">
        <v>164</v>
      </c>
      <c r="N1006" t="s">
        <v>107</v>
      </c>
      <c r="O1006" t="s">
        <v>97</v>
      </c>
    </row>
    <row r="1007" spans="1:15" x14ac:dyDescent="0.2">
      <c r="A1007">
        <v>34</v>
      </c>
      <c r="B1007">
        <v>35</v>
      </c>
      <c r="C1007">
        <v>34</v>
      </c>
      <c r="D1007">
        <v>33</v>
      </c>
      <c r="E1007" t="s">
        <v>30</v>
      </c>
      <c r="F1007" t="s">
        <v>35</v>
      </c>
      <c r="G1007">
        <v>33</v>
      </c>
      <c r="H1007" t="s">
        <v>152</v>
      </c>
      <c r="I1007">
        <v>1</v>
      </c>
      <c r="J1007">
        <v>1</v>
      </c>
      <c r="K1007" t="s">
        <v>153</v>
      </c>
      <c r="L1007" t="s">
        <v>154</v>
      </c>
      <c r="M1007" t="s">
        <v>155</v>
      </c>
      <c r="N1007" t="s">
        <v>107</v>
      </c>
      <c r="O1007" t="s">
        <v>97</v>
      </c>
    </row>
    <row r="1008" spans="1:15" x14ac:dyDescent="0.2">
      <c r="A1008">
        <v>34</v>
      </c>
      <c r="B1008">
        <v>35</v>
      </c>
      <c r="C1008">
        <v>34</v>
      </c>
      <c r="D1008">
        <v>33</v>
      </c>
      <c r="E1008" t="s">
        <v>30</v>
      </c>
      <c r="F1008" t="s">
        <v>35</v>
      </c>
      <c r="G1008">
        <v>34</v>
      </c>
      <c r="H1008" t="s">
        <v>152</v>
      </c>
      <c r="I1008">
        <v>0</v>
      </c>
      <c r="J1008">
        <v>0</v>
      </c>
      <c r="K1008" t="s">
        <v>153</v>
      </c>
      <c r="L1008" t="s">
        <v>154</v>
      </c>
      <c r="M1008" t="s">
        <v>155</v>
      </c>
      <c r="N1008" t="s">
        <v>107</v>
      </c>
      <c r="O1008" t="s">
        <v>97</v>
      </c>
    </row>
    <row r="1009" spans="1:15" x14ac:dyDescent="0.2">
      <c r="A1009">
        <v>34</v>
      </c>
      <c r="B1009">
        <v>35</v>
      </c>
      <c r="C1009">
        <v>34</v>
      </c>
      <c r="D1009">
        <v>33</v>
      </c>
      <c r="E1009" t="s">
        <v>30</v>
      </c>
      <c r="F1009" t="s">
        <v>35</v>
      </c>
      <c r="G1009">
        <v>35</v>
      </c>
      <c r="H1009" t="s">
        <v>165</v>
      </c>
      <c r="I1009">
        <v>1</v>
      </c>
      <c r="J1009">
        <v>1</v>
      </c>
      <c r="K1009" t="s">
        <v>166</v>
      </c>
      <c r="L1009" t="s">
        <v>167</v>
      </c>
      <c r="M1009" t="s">
        <v>168</v>
      </c>
      <c r="N1009" t="s">
        <v>107</v>
      </c>
      <c r="O1009" t="s">
        <v>97</v>
      </c>
    </row>
    <row r="1010" spans="1:15" x14ac:dyDescent="0.2">
      <c r="A1010">
        <v>34</v>
      </c>
      <c r="B1010">
        <v>35</v>
      </c>
      <c r="C1010">
        <v>34</v>
      </c>
      <c r="D1010">
        <v>33</v>
      </c>
      <c r="E1010" t="s">
        <v>30</v>
      </c>
      <c r="F1010" t="s">
        <v>35</v>
      </c>
      <c r="G1010">
        <v>36</v>
      </c>
      <c r="H1010" t="s">
        <v>169</v>
      </c>
      <c r="I1010">
        <v>0</v>
      </c>
      <c r="J1010">
        <v>0</v>
      </c>
      <c r="K1010" t="e">
        <v>#N/A</v>
      </c>
      <c r="L1010" t="e">
        <v>#N/A</v>
      </c>
      <c r="M1010" t="e">
        <v>#N/A</v>
      </c>
      <c r="N1010" t="e">
        <v>#N/A</v>
      </c>
      <c r="O1010" t="s">
        <v>97</v>
      </c>
    </row>
    <row r="1011" spans="1:15" x14ac:dyDescent="0.2">
      <c r="A1011">
        <v>34</v>
      </c>
      <c r="B1011">
        <v>35</v>
      </c>
      <c r="C1011">
        <v>34</v>
      </c>
      <c r="D1011">
        <v>33</v>
      </c>
      <c r="E1011" t="s">
        <v>30</v>
      </c>
      <c r="F1011" t="s">
        <v>35</v>
      </c>
      <c r="G1011">
        <v>38</v>
      </c>
      <c r="H1011" t="s">
        <v>170</v>
      </c>
      <c r="I1011">
        <v>0</v>
      </c>
      <c r="J1011">
        <v>0.5</v>
      </c>
      <c r="K1011" t="s">
        <v>112</v>
      </c>
      <c r="L1011" t="s">
        <v>171</v>
      </c>
      <c r="M1011" t="s">
        <v>172</v>
      </c>
      <c r="N1011" t="s">
        <v>96</v>
      </c>
      <c r="O1011" t="s">
        <v>97</v>
      </c>
    </row>
    <row r="1012" spans="1:15" x14ac:dyDescent="0.2">
      <c r="A1012">
        <v>34</v>
      </c>
      <c r="B1012">
        <v>35</v>
      </c>
      <c r="C1012">
        <v>34</v>
      </c>
      <c r="D1012">
        <v>33</v>
      </c>
      <c r="E1012" t="s">
        <v>30</v>
      </c>
      <c r="F1012" t="s">
        <v>35</v>
      </c>
      <c r="G1012">
        <v>39</v>
      </c>
      <c r="H1012" t="s">
        <v>170</v>
      </c>
      <c r="I1012">
        <v>0</v>
      </c>
      <c r="J1012">
        <v>0.5</v>
      </c>
      <c r="K1012" t="s">
        <v>112</v>
      </c>
      <c r="L1012" t="s">
        <v>171</v>
      </c>
      <c r="M1012" t="s">
        <v>172</v>
      </c>
      <c r="N1012" t="s">
        <v>96</v>
      </c>
      <c r="O1012" t="s">
        <v>97</v>
      </c>
    </row>
    <row r="1013" spans="1:15" x14ac:dyDescent="0.2">
      <c r="A1013">
        <v>34</v>
      </c>
      <c r="B1013">
        <v>35</v>
      </c>
      <c r="C1013">
        <v>34</v>
      </c>
      <c r="D1013">
        <v>33</v>
      </c>
      <c r="E1013" t="s">
        <v>30</v>
      </c>
      <c r="F1013" t="s">
        <v>35</v>
      </c>
      <c r="G1013">
        <v>40</v>
      </c>
      <c r="H1013" t="s">
        <v>170</v>
      </c>
      <c r="I1013">
        <v>0</v>
      </c>
      <c r="J1013">
        <v>0.5</v>
      </c>
      <c r="K1013" t="s">
        <v>112</v>
      </c>
      <c r="L1013" t="s">
        <v>171</v>
      </c>
      <c r="M1013" t="s">
        <v>172</v>
      </c>
      <c r="N1013" t="s">
        <v>96</v>
      </c>
      <c r="O1013" t="s">
        <v>97</v>
      </c>
    </row>
    <row r="1014" spans="1:15" x14ac:dyDescent="0.2">
      <c r="A1014">
        <v>34</v>
      </c>
      <c r="B1014">
        <v>35</v>
      </c>
      <c r="C1014">
        <v>34</v>
      </c>
      <c r="D1014">
        <v>33</v>
      </c>
      <c r="E1014" t="s">
        <v>30</v>
      </c>
      <c r="F1014" t="s">
        <v>35</v>
      </c>
      <c r="G1014">
        <v>41</v>
      </c>
      <c r="H1014" t="s">
        <v>173</v>
      </c>
      <c r="I1014">
        <v>0</v>
      </c>
      <c r="J1014" t="s">
        <v>198</v>
      </c>
      <c r="K1014" t="s">
        <v>166</v>
      </c>
      <c r="L1014" t="s">
        <v>174</v>
      </c>
      <c r="M1014" t="s">
        <v>175</v>
      </c>
      <c r="N1014" t="s">
        <v>107</v>
      </c>
      <c r="O1014" t="s">
        <v>97</v>
      </c>
    </row>
    <row r="1015" spans="1:15" x14ac:dyDescent="0.2">
      <c r="A1015">
        <v>34</v>
      </c>
      <c r="B1015">
        <v>35</v>
      </c>
      <c r="C1015">
        <v>34</v>
      </c>
      <c r="D1015">
        <v>33</v>
      </c>
      <c r="E1015" t="s">
        <v>30</v>
      </c>
      <c r="F1015" t="s">
        <v>35</v>
      </c>
      <c r="G1015">
        <v>42</v>
      </c>
      <c r="H1015" t="s">
        <v>176</v>
      </c>
      <c r="I1015">
        <v>0</v>
      </c>
      <c r="J1015" t="s">
        <v>198</v>
      </c>
      <c r="K1015" t="s">
        <v>153</v>
      </c>
      <c r="L1015" t="s">
        <v>177</v>
      </c>
      <c r="M1015" t="s">
        <v>178</v>
      </c>
      <c r="N1015" t="s">
        <v>107</v>
      </c>
      <c r="O1015" t="s">
        <v>97</v>
      </c>
    </row>
    <row r="1016" spans="1:15" x14ac:dyDescent="0.2">
      <c r="A1016">
        <v>34</v>
      </c>
      <c r="B1016">
        <v>35</v>
      </c>
      <c r="C1016">
        <v>34</v>
      </c>
      <c r="D1016">
        <v>33</v>
      </c>
      <c r="E1016" t="s">
        <v>30</v>
      </c>
      <c r="F1016" t="s">
        <v>35</v>
      </c>
      <c r="G1016">
        <v>43</v>
      </c>
      <c r="H1016" t="s">
        <v>179</v>
      </c>
      <c r="I1016">
        <v>0</v>
      </c>
      <c r="J1016">
        <v>0</v>
      </c>
      <c r="K1016" t="s">
        <v>166</v>
      </c>
      <c r="L1016" t="s">
        <v>180</v>
      </c>
      <c r="M1016" t="s">
        <v>181</v>
      </c>
      <c r="N1016" t="s">
        <v>107</v>
      </c>
      <c r="O1016" t="s">
        <v>97</v>
      </c>
    </row>
    <row r="1017" spans="1:15" x14ac:dyDescent="0.2">
      <c r="A1017">
        <v>34</v>
      </c>
      <c r="B1017">
        <v>35</v>
      </c>
      <c r="C1017">
        <v>34</v>
      </c>
      <c r="D1017">
        <v>33</v>
      </c>
      <c r="E1017" t="s">
        <v>30</v>
      </c>
      <c r="F1017" t="s">
        <v>35</v>
      </c>
      <c r="G1017">
        <v>44</v>
      </c>
      <c r="H1017" t="s">
        <v>182</v>
      </c>
      <c r="I1017">
        <v>0</v>
      </c>
      <c r="J1017">
        <v>1</v>
      </c>
      <c r="K1017" t="s">
        <v>166</v>
      </c>
      <c r="L1017" t="s">
        <v>183</v>
      </c>
      <c r="M1017" t="s">
        <v>184</v>
      </c>
      <c r="N1017" t="s">
        <v>107</v>
      </c>
      <c r="O1017" t="s">
        <v>97</v>
      </c>
    </row>
    <row r="1018" spans="1:15" x14ac:dyDescent="0.2">
      <c r="A1018">
        <v>34</v>
      </c>
      <c r="B1018">
        <v>35</v>
      </c>
      <c r="C1018">
        <v>34</v>
      </c>
      <c r="D1018">
        <v>33</v>
      </c>
      <c r="E1018" t="s">
        <v>30</v>
      </c>
      <c r="F1018" t="s">
        <v>35</v>
      </c>
      <c r="G1018">
        <v>45</v>
      </c>
      <c r="H1018" t="s">
        <v>185</v>
      </c>
      <c r="I1018">
        <v>0</v>
      </c>
      <c r="J1018">
        <v>1</v>
      </c>
      <c r="K1018" t="s">
        <v>166</v>
      </c>
      <c r="L1018" t="s">
        <v>186</v>
      </c>
      <c r="M1018" t="s">
        <v>139</v>
      </c>
      <c r="N1018" t="s">
        <v>107</v>
      </c>
      <c r="O1018" t="s">
        <v>97</v>
      </c>
    </row>
    <row r="1019" spans="1:15" x14ac:dyDescent="0.2">
      <c r="A1019">
        <v>34</v>
      </c>
      <c r="B1019">
        <v>35</v>
      </c>
      <c r="C1019">
        <v>34</v>
      </c>
      <c r="D1019">
        <v>33</v>
      </c>
      <c r="E1019" t="s">
        <v>30</v>
      </c>
      <c r="F1019" t="s">
        <v>35</v>
      </c>
      <c r="G1019">
        <v>47</v>
      </c>
      <c r="H1019" t="s">
        <v>187</v>
      </c>
      <c r="I1019">
        <v>0.2</v>
      </c>
      <c r="J1019">
        <v>0.2</v>
      </c>
      <c r="K1019" t="s">
        <v>93</v>
      </c>
      <c r="L1019" t="s">
        <v>188</v>
      </c>
      <c r="M1019" t="s">
        <v>95</v>
      </c>
      <c r="N1019" t="s">
        <v>96</v>
      </c>
      <c r="O1019" t="s">
        <v>97</v>
      </c>
    </row>
    <row r="1020" spans="1:15" x14ac:dyDescent="0.2">
      <c r="A1020">
        <v>34</v>
      </c>
      <c r="B1020">
        <v>35</v>
      </c>
      <c r="C1020">
        <v>34</v>
      </c>
      <c r="D1020">
        <v>33</v>
      </c>
      <c r="E1020" t="s">
        <v>30</v>
      </c>
      <c r="F1020" t="s">
        <v>35</v>
      </c>
      <c r="G1020">
        <v>48</v>
      </c>
      <c r="H1020" t="s">
        <v>189</v>
      </c>
      <c r="I1020">
        <v>0.2</v>
      </c>
      <c r="J1020">
        <v>0.2</v>
      </c>
      <c r="K1020" t="s">
        <v>93</v>
      </c>
      <c r="L1020" t="s">
        <v>190</v>
      </c>
      <c r="M1020" t="s">
        <v>95</v>
      </c>
      <c r="N1020" t="s">
        <v>96</v>
      </c>
      <c r="O1020" t="s">
        <v>97</v>
      </c>
    </row>
    <row r="1021" spans="1:15" x14ac:dyDescent="0.2">
      <c r="A1021">
        <v>34</v>
      </c>
      <c r="B1021">
        <v>35</v>
      </c>
      <c r="C1021">
        <v>34</v>
      </c>
      <c r="D1021">
        <v>33</v>
      </c>
      <c r="E1021" t="s">
        <v>30</v>
      </c>
      <c r="F1021" t="s">
        <v>35</v>
      </c>
      <c r="G1021">
        <v>49</v>
      </c>
      <c r="H1021" t="s">
        <v>191</v>
      </c>
      <c r="I1021">
        <v>0.2</v>
      </c>
      <c r="J1021">
        <v>0.2</v>
      </c>
      <c r="K1021" t="s">
        <v>93</v>
      </c>
      <c r="L1021" t="s">
        <v>192</v>
      </c>
      <c r="M1021" t="s">
        <v>95</v>
      </c>
      <c r="N1021" t="s">
        <v>96</v>
      </c>
      <c r="O1021" t="s">
        <v>97</v>
      </c>
    </row>
    <row r="1022" spans="1:15" x14ac:dyDescent="0.2">
      <c r="A1022">
        <v>34</v>
      </c>
      <c r="B1022">
        <v>35</v>
      </c>
      <c r="C1022">
        <v>34</v>
      </c>
      <c r="D1022">
        <v>33</v>
      </c>
      <c r="E1022" t="s">
        <v>30</v>
      </c>
      <c r="F1022" t="s">
        <v>35</v>
      </c>
      <c r="G1022">
        <v>50</v>
      </c>
      <c r="H1022" t="s">
        <v>193</v>
      </c>
      <c r="I1022">
        <v>0.1</v>
      </c>
      <c r="J1022">
        <v>0.1</v>
      </c>
      <c r="K1022" t="s">
        <v>93</v>
      </c>
      <c r="L1022" t="s">
        <v>194</v>
      </c>
      <c r="M1022" t="s">
        <v>95</v>
      </c>
      <c r="N1022" t="s">
        <v>96</v>
      </c>
      <c r="O1022" t="s">
        <v>97</v>
      </c>
    </row>
    <row r="1023" spans="1:15" x14ac:dyDescent="0.2">
      <c r="A1023">
        <v>34</v>
      </c>
      <c r="B1023">
        <v>35</v>
      </c>
      <c r="C1023">
        <v>34</v>
      </c>
      <c r="D1023">
        <v>33</v>
      </c>
      <c r="E1023" t="s">
        <v>30</v>
      </c>
      <c r="F1023" t="s">
        <v>35</v>
      </c>
      <c r="G1023">
        <v>51</v>
      </c>
      <c r="H1023" t="s">
        <v>193</v>
      </c>
      <c r="I1023">
        <v>0.1</v>
      </c>
      <c r="J1023">
        <v>0.1</v>
      </c>
      <c r="K1023" t="s">
        <v>93</v>
      </c>
      <c r="L1023" t="s">
        <v>194</v>
      </c>
      <c r="M1023" t="s">
        <v>95</v>
      </c>
      <c r="N1023" t="s">
        <v>96</v>
      </c>
      <c r="O1023" t="s">
        <v>97</v>
      </c>
    </row>
    <row r="1024" spans="1:15" x14ac:dyDescent="0.2">
      <c r="A1024">
        <v>39</v>
      </c>
      <c r="B1024">
        <v>40</v>
      </c>
      <c r="C1024">
        <v>39</v>
      </c>
      <c r="D1024">
        <v>38</v>
      </c>
      <c r="E1024" t="s">
        <v>30</v>
      </c>
      <c r="F1024" t="s">
        <v>36</v>
      </c>
      <c r="G1024">
        <v>1</v>
      </c>
      <c r="H1024" t="s">
        <v>92</v>
      </c>
      <c r="I1024">
        <v>0.2</v>
      </c>
      <c r="J1024">
        <v>0.2</v>
      </c>
      <c r="K1024" t="s">
        <v>93</v>
      </c>
      <c r="L1024" t="s">
        <v>94</v>
      </c>
      <c r="M1024" t="s">
        <v>95</v>
      </c>
      <c r="N1024" t="s">
        <v>96</v>
      </c>
      <c r="O1024" t="s">
        <v>97</v>
      </c>
    </row>
    <row r="1025" spans="1:15" x14ac:dyDescent="0.2">
      <c r="A1025">
        <v>39</v>
      </c>
      <c r="B1025">
        <v>40</v>
      </c>
      <c r="C1025">
        <v>39</v>
      </c>
      <c r="D1025">
        <v>38</v>
      </c>
      <c r="E1025" t="s">
        <v>30</v>
      </c>
      <c r="F1025" t="s">
        <v>36</v>
      </c>
      <c r="G1025">
        <v>2</v>
      </c>
      <c r="H1025" t="s">
        <v>98</v>
      </c>
      <c r="I1025">
        <v>0.5</v>
      </c>
      <c r="J1025">
        <v>0.5</v>
      </c>
      <c r="K1025" t="s">
        <v>93</v>
      </c>
      <c r="L1025" t="s">
        <v>99</v>
      </c>
      <c r="M1025" t="s">
        <v>95</v>
      </c>
      <c r="N1025" t="s">
        <v>96</v>
      </c>
      <c r="O1025" t="s">
        <v>97</v>
      </c>
    </row>
    <row r="1026" spans="1:15" x14ac:dyDescent="0.2">
      <c r="A1026">
        <v>39</v>
      </c>
      <c r="B1026">
        <v>40</v>
      </c>
      <c r="C1026">
        <v>39</v>
      </c>
      <c r="D1026">
        <v>38</v>
      </c>
      <c r="E1026" t="s">
        <v>30</v>
      </c>
      <c r="F1026" t="s">
        <v>36</v>
      </c>
      <c r="G1026">
        <v>3</v>
      </c>
      <c r="H1026" t="s">
        <v>100</v>
      </c>
      <c r="I1026">
        <v>0</v>
      </c>
      <c r="J1026">
        <v>1</v>
      </c>
      <c r="K1026" t="s">
        <v>101</v>
      </c>
      <c r="L1026" t="s">
        <v>102</v>
      </c>
      <c r="M1026" t="s">
        <v>103</v>
      </c>
      <c r="N1026" t="s">
        <v>96</v>
      </c>
      <c r="O1026" t="s">
        <v>97</v>
      </c>
    </row>
    <row r="1027" spans="1:15" x14ac:dyDescent="0.2">
      <c r="A1027">
        <v>39</v>
      </c>
      <c r="B1027">
        <v>40</v>
      </c>
      <c r="C1027">
        <v>39</v>
      </c>
      <c r="D1027">
        <v>38</v>
      </c>
      <c r="E1027" t="s">
        <v>30</v>
      </c>
      <c r="F1027" t="s">
        <v>36</v>
      </c>
      <c r="G1027">
        <v>4</v>
      </c>
      <c r="H1027" t="s">
        <v>104</v>
      </c>
      <c r="I1027">
        <v>0</v>
      </c>
      <c r="J1027">
        <v>1</v>
      </c>
      <c r="K1027" t="s">
        <v>101</v>
      </c>
      <c r="L1027" t="s">
        <v>105</v>
      </c>
      <c r="M1027" t="s">
        <v>106</v>
      </c>
      <c r="N1027" t="s">
        <v>107</v>
      </c>
      <c r="O1027" t="s">
        <v>97</v>
      </c>
    </row>
    <row r="1028" spans="1:15" x14ac:dyDescent="0.2">
      <c r="A1028">
        <v>39</v>
      </c>
      <c r="B1028">
        <v>40</v>
      </c>
      <c r="C1028">
        <v>39</v>
      </c>
      <c r="D1028">
        <v>38</v>
      </c>
      <c r="E1028" t="s">
        <v>30</v>
      </c>
      <c r="F1028" t="s">
        <v>36</v>
      </c>
      <c r="G1028">
        <v>5</v>
      </c>
      <c r="H1028" t="s">
        <v>108</v>
      </c>
      <c r="I1028">
        <v>0.5</v>
      </c>
      <c r="J1028">
        <v>1</v>
      </c>
      <c r="K1028" t="s">
        <v>101</v>
      </c>
      <c r="L1028" t="s">
        <v>109</v>
      </c>
      <c r="M1028" t="s">
        <v>110</v>
      </c>
      <c r="N1028" t="s">
        <v>107</v>
      </c>
      <c r="O1028" t="s">
        <v>97</v>
      </c>
    </row>
    <row r="1029" spans="1:15" x14ac:dyDescent="0.2">
      <c r="A1029">
        <v>39</v>
      </c>
      <c r="B1029">
        <v>40</v>
      </c>
      <c r="C1029">
        <v>39</v>
      </c>
      <c r="D1029">
        <v>38</v>
      </c>
      <c r="E1029" t="s">
        <v>30</v>
      </c>
      <c r="F1029" t="s">
        <v>36</v>
      </c>
      <c r="G1029">
        <v>9</v>
      </c>
      <c r="H1029" t="s">
        <v>111</v>
      </c>
      <c r="I1029">
        <v>0.5</v>
      </c>
      <c r="J1029">
        <v>0.5</v>
      </c>
      <c r="K1029" t="s">
        <v>112</v>
      </c>
      <c r="L1029" t="s">
        <v>113</v>
      </c>
      <c r="M1029" t="s">
        <v>114</v>
      </c>
      <c r="N1029" t="s">
        <v>96</v>
      </c>
      <c r="O1029" t="s">
        <v>97</v>
      </c>
    </row>
    <row r="1030" spans="1:15" x14ac:dyDescent="0.2">
      <c r="A1030">
        <v>39</v>
      </c>
      <c r="B1030">
        <v>40</v>
      </c>
      <c r="C1030">
        <v>39</v>
      </c>
      <c r="D1030">
        <v>38</v>
      </c>
      <c r="E1030" t="s">
        <v>30</v>
      </c>
      <c r="F1030" t="s">
        <v>36</v>
      </c>
      <c r="G1030">
        <v>10</v>
      </c>
      <c r="H1030" t="s">
        <v>115</v>
      </c>
      <c r="I1030">
        <v>0.25</v>
      </c>
      <c r="J1030">
        <v>0.5</v>
      </c>
      <c r="K1030" t="s">
        <v>112</v>
      </c>
      <c r="L1030" t="s">
        <v>116</v>
      </c>
      <c r="M1030" t="s">
        <v>117</v>
      </c>
      <c r="N1030" t="s">
        <v>96</v>
      </c>
      <c r="O1030" t="s">
        <v>97</v>
      </c>
    </row>
    <row r="1031" spans="1:15" x14ac:dyDescent="0.2">
      <c r="A1031">
        <v>39</v>
      </c>
      <c r="B1031">
        <v>40</v>
      </c>
      <c r="C1031">
        <v>39</v>
      </c>
      <c r="D1031">
        <v>38</v>
      </c>
      <c r="E1031" t="s">
        <v>30</v>
      </c>
      <c r="F1031" t="s">
        <v>36</v>
      </c>
      <c r="G1031">
        <v>11</v>
      </c>
      <c r="H1031" t="s">
        <v>118</v>
      </c>
      <c r="I1031">
        <v>1</v>
      </c>
      <c r="J1031">
        <v>1</v>
      </c>
      <c r="K1031" t="s">
        <v>112</v>
      </c>
      <c r="L1031" t="s">
        <v>119</v>
      </c>
      <c r="M1031" t="s">
        <v>120</v>
      </c>
      <c r="N1031" t="s">
        <v>107</v>
      </c>
      <c r="O1031" t="s">
        <v>97</v>
      </c>
    </row>
    <row r="1032" spans="1:15" x14ac:dyDescent="0.2">
      <c r="A1032">
        <v>39</v>
      </c>
      <c r="B1032">
        <v>40</v>
      </c>
      <c r="C1032">
        <v>39</v>
      </c>
      <c r="D1032">
        <v>38</v>
      </c>
      <c r="E1032" t="s">
        <v>30</v>
      </c>
      <c r="F1032" t="s">
        <v>36</v>
      </c>
      <c r="G1032">
        <v>12</v>
      </c>
      <c r="H1032" t="s">
        <v>121</v>
      </c>
      <c r="I1032">
        <v>0.5</v>
      </c>
      <c r="J1032">
        <v>0.5</v>
      </c>
      <c r="K1032" t="s">
        <v>122</v>
      </c>
      <c r="L1032" t="s">
        <v>113</v>
      </c>
      <c r="M1032" t="s">
        <v>123</v>
      </c>
      <c r="N1032" t="s">
        <v>96</v>
      </c>
      <c r="O1032" t="s">
        <v>97</v>
      </c>
    </row>
    <row r="1033" spans="1:15" x14ac:dyDescent="0.2">
      <c r="A1033">
        <v>39</v>
      </c>
      <c r="B1033">
        <v>40</v>
      </c>
      <c r="C1033">
        <v>39</v>
      </c>
      <c r="D1033">
        <v>38</v>
      </c>
      <c r="E1033" t="s">
        <v>30</v>
      </c>
      <c r="F1033" t="s">
        <v>36</v>
      </c>
      <c r="G1033">
        <v>13</v>
      </c>
      <c r="H1033" t="s">
        <v>124</v>
      </c>
      <c r="I1033">
        <v>0</v>
      </c>
      <c r="J1033">
        <v>0.5</v>
      </c>
      <c r="K1033" t="s">
        <v>122</v>
      </c>
      <c r="L1033" t="s">
        <v>125</v>
      </c>
      <c r="M1033" t="s">
        <v>126</v>
      </c>
      <c r="N1033" t="s">
        <v>96</v>
      </c>
      <c r="O1033" t="s">
        <v>97</v>
      </c>
    </row>
    <row r="1034" spans="1:15" x14ac:dyDescent="0.2">
      <c r="A1034">
        <v>39</v>
      </c>
      <c r="B1034">
        <v>40</v>
      </c>
      <c r="C1034">
        <v>39</v>
      </c>
      <c r="D1034">
        <v>38</v>
      </c>
      <c r="E1034" t="s">
        <v>30</v>
      </c>
      <c r="F1034" t="s">
        <v>36</v>
      </c>
      <c r="G1034">
        <v>14</v>
      </c>
      <c r="H1034" t="s">
        <v>127</v>
      </c>
      <c r="I1034">
        <v>1</v>
      </c>
      <c r="J1034">
        <v>1</v>
      </c>
      <c r="K1034" t="s">
        <v>122</v>
      </c>
      <c r="L1034" t="s">
        <v>119</v>
      </c>
      <c r="M1034" t="s">
        <v>128</v>
      </c>
      <c r="N1034" t="s">
        <v>107</v>
      </c>
      <c r="O1034" t="s">
        <v>97</v>
      </c>
    </row>
    <row r="1035" spans="1:15" x14ac:dyDescent="0.2">
      <c r="A1035">
        <v>39</v>
      </c>
      <c r="B1035">
        <v>40</v>
      </c>
      <c r="C1035">
        <v>39</v>
      </c>
      <c r="D1035">
        <v>38</v>
      </c>
      <c r="E1035" t="s">
        <v>30</v>
      </c>
      <c r="F1035" t="s">
        <v>36</v>
      </c>
      <c r="G1035">
        <v>15</v>
      </c>
      <c r="H1035" t="s">
        <v>129</v>
      </c>
      <c r="I1035">
        <v>0</v>
      </c>
      <c r="J1035">
        <v>1</v>
      </c>
      <c r="K1035" t="s">
        <v>130</v>
      </c>
      <c r="L1035" t="s">
        <v>131</v>
      </c>
      <c r="M1035" t="s">
        <v>132</v>
      </c>
      <c r="N1035" t="s">
        <v>107</v>
      </c>
      <c r="O1035" t="s">
        <v>97</v>
      </c>
    </row>
    <row r="1036" spans="1:15" x14ac:dyDescent="0.2">
      <c r="A1036">
        <v>39</v>
      </c>
      <c r="B1036">
        <v>40</v>
      </c>
      <c r="C1036">
        <v>39</v>
      </c>
      <c r="D1036">
        <v>38</v>
      </c>
      <c r="E1036" t="s">
        <v>30</v>
      </c>
      <c r="F1036" t="s">
        <v>36</v>
      </c>
      <c r="G1036">
        <v>16</v>
      </c>
      <c r="H1036" t="s">
        <v>133</v>
      </c>
      <c r="I1036">
        <v>0</v>
      </c>
      <c r="J1036">
        <v>0</v>
      </c>
      <c r="K1036" t="e">
        <v>#N/A</v>
      </c>
      <c r="L1036" t="e">
        <v>#N/A</v>
      </c>
      <c r="M1036" t="e">
        <v>#N/A</v>
      </c>
      <c r="N1036" t="e">
        <v>#N/A</v>
      </c>
      <c r="O1036" t="s">
        <v>97</v>
      </c>
    </row>
    <row r="1037" spans="1:15" x14ac:dyDescent="0.2">
      <c r="A1037">
        <v>39</v>
      </c>
      <c r="B1037">
        <v>40</v>
      </c>
      <c r="C1037">
        <v>39</v>
      </c>
      <c r="D1037">
        <v>38</v>
      </c>
      <c r="E1037" t="s">
        <v>30</v>
      </c>
      <c r="F1037" t="s">
        <v>36</v>
      </c>
      <c r="G1037">
        <v>17</v>
      </c>
      <c r="H1037" t="s">
        <v>134</v>
      </c>
      <c r="I1037">
        <v>1</v>
      </c>
      <c r="J1037">
        <v>1</v>
      </c>
      <c r="K1037" t="s">
        <v>112</v>
      </c>
      <c r="L1037" t="s">
        <v>135</v>
      </c>
      <c r="M1037" t="s">
        <v>136</v>
      </c>
      <c r="N1037" t="s">
        <v>107</v>
      </c>
      <c r="O1037" t="s">
        <v>97</v>
      </c>
    </row>
    <row r="1038" spans="1:15" x14ac:dyDescent="0.2">
      <c r="A1038">
        <v>39</v>
      </c>
      <c r="B1038">
        <v>40</v>
      </c>
      <c r="C1038">
        <v>39</v>
      </c>
      <c r="D1038">
        <v>38</v>
      </c>
      <c r="E1038" t="s">
        <v>30</v>
      </c>
      <c r="F1038" t="s">
        <v>36</v>
      </c>
      <c r="G1038">
        <v>18</v>
      </c>
      <c r="H1038" t="s">
        <v>137</v>
      </c>
      <c r="I1038">
        <v>1</v>
      </c>
      <c r="J1038">
        <v>1</v>
      </c>
      <c r="K1038" t="s">
        <v>112</v>
      </c>
      <c r="L1038" t="s">
        <v>138</v>
      </c>
      <c r="M1038" t="s">
        <v>139</v>
      </c>
      <c r="N1038" t="s">
        <v>107</v>
      </c>
      <c r="O1038" t="s">
        <v>97</v>
      </c>
    </row>
    <row r="1039" spans="1:15" x14ac:dyDescent="0.2">
      <c r="A1039">
        <v>39</v>
      </c>
      <c r="B1039">
        <v>40</v>
      </c>
      <c r="C1039">
        <v>39</v>
      </c>
      <c r="D1039">
        <v>38</v>
      </c>
      <c r="E1039" t="s">
        <v>30</v>
      </c>
      <c r="F1039" t="s">
        <v>36</v>
      </c>
      <c r="G1039">
        <v>19</v>
      </c>
      <c r="H1039" t="s">
        <v>140</v>
      </c>
      <c r="I1039">
        <v>0.5</v>
      </c>
      <c r="J1039">
        <v>1</v>
      </c>
      <c r="K1039" t="s">
        <v>122</v>
      </c>
      <c r="L1039" t="s">
        <v>141</v>
      </c>
      <c r="M1039" t="s">
        <v>142</v>
      </c>
      <c r="N1039" t="s">
        <v>107</v>
      </c>
      <c r="O1039" t="s">
        <v>97</v>
      </c>
    </row>
    <row r="1040" spans="1:15" x14ac:dyDescent="0.2">
      <c r="A1040">
        <v>39</v>
      </c>
      <c r="B1040">
        <v>40</v>
      </c>
      <c r="C1040">
        <v>39</v>
      </c>
      <c r="D1040">
        <v>38</v>
      </c>
      <c r="E1040" t="s">
        <v>30</v>
      </c>
      <c r="F1040" t="s">
        <v>36</v>
      </c>
      <c r="G1040">
        <v>20</v>
      </c>
      <c r="H1040" t="s">
        <v>143</v>
      </c>
      <c r="I1040">
        <v>1</v>
      </c>
      <c r="J1040">
        <v>1</v>
      </c>
      <c r="K1040" t="s">
        <v>122</v>
      </c>
      <c r="L1040" t="s">
        <v>144</v>
      </c>
      <c r="M1040" t="s">
        <v>145</v>
      </c>
      <c r="N1040" t="s">
        <v>107</v>
      </c>
      <c r="O1040" t="s">
        <v>97</v>
      </c>
    </row>
    <row r="1041" spans="1:15" x14ac:dyDescent="0.2">
      <c r="A1041">
        <v>39</v>
      </c>
      <c r="B1041">
        <v>40</v>
      </c>
      <c r="C1041">
        <v>39</v>
      </c>
      <c r="D1041">
        <v>38</v>
      </c>
      <c r="E1041" t="s">
        <v>30</v>
      </c>
      <c r="F1041" t="s">
        <v>36</v>
      </c>
      <c r="G1041">
        <v>21</v>
      </c>
      <c r="H1041" t="s">
        <v>146</v>
      </c>
      <c r="I1041">
        <v>0.5</v>
      </c>
      <c r="J1041">
        <v>1</v>
      </c>
      <c r="K1041" t="s">
        <v>147</v>
      </c>
      <c r="L1041" t="s">
        <v>148</v>
      </c>
      <c r="M1041" t="s">
        <v>149</v>
      </c>
      <c r="N1041" t="s">
        <v>96</v>
      </c>
      <c r="O1041" t="s">
        <v>97</v>
      </c>
    </row>
    <row r="1042" spans="1:15" x14ac:dyDescent="0.2">
      <c r="A1042">
        <v>39</v>
      </c>
      <c r="B1042">
        <v>40</v>
      </c>
      <c r="C1042">
        <v>39</v>
      </c>
      <c r="D1042">
        <v>38</v>
      </c>
      <c r="E1042" t="s">
        <v>30</v>
      </c>
      <c r="F1042" t="s">
        <v>36</v>
      </c>
      <c r="G1042">
        <v>22</v>
      </c>
      <c r="H1042" t="s">
        <v>150</v>
      </c>
      <c r="I1042">
        <v>0.5</v>
      </c>
      <c r="J1042">
        <v>1</v>
      </c>
      <c r="K1042" t="s">
        <v>147</v>
      </c>
      <c r="L1042" t="s">
        <v>151</v>
      </c>
      <c r="M1042" t="s">
        <v>149</v>
      </c>
      <c r="N1042" t="s">
        <v>107</v>
      </c>
      <c r="O1042" t="s">
        <v>97</v>
      </c>
    </row>
    <row r="1043" spans="1:15" x14ac:dyDescent="0.2">
      <c r="A1043">
        <v>39</v>
      </c>
      <c r="B1043">
        <v>40</v>
      </c>
      <c r="C1043">
        <v>39</v>
      </c>
      <c r="D1043">
        <v>38</v>
      </c>
      <c r="E1043" t="s">
        <v>30</v>
      </c>
      <c r="F1043" t="s">
        <v>36</v>
      </c>
      <c r="G1043">
        <v>23</v>
      </c>
      <c r="H1043" t="s">
        <v>152</v>
      </c>
      <c r="I1043">
        <v>0</v>
      </c>
      <c r="J1043">
        <v>0</v>
      </c>
      <c r="K1043" t="s">
        <v>153</v>
      </c>
      <c r="L1043" t="s">
        <v>154</v>
      </c>
      <c r="M1043" t="s">
        <v>155</v>
      </c>
      <c r="N1043" t="s">
        <v>107</v>
      </c>
      <c r="O1043" t="s">
        <v>97</v>
      </c>
    </row>
    <row r="1044" spans="1:15" x14ac:dyDescent="0.2">
      <c r="A1044">
        <v>39</v>
      </c>
      <c r="B1044">
        <v>40</v>
      </c>
      <c r="C1044">
        <v>39</v>
      </c>
      <c r="D1044">
        <v>38</v>
      </c>
      <c r="E1044" t="s">
        <v>30</v>
      </c>
      <c r="F1044" t="s">
        <v>36</v>
      </c>
      <c r="G1044">
        <v>24</v>
      </c>
      <c r="H1044" t="s">
        <v>156</v>
      </c>
      <c r="I1044">
        <v>0.5</v>
      </c>
      <c r="J1044">
        <v>0.5</v>
      </c>
      <c r="K1044" t="s">
        <v>122</v>
      </c>
      <c r="L1044" t="s">
        <v>157</v>
      </c>
      <c r="M1044" t="s">
        <v>158</v>
      </c>
      <c r="N1044" t="s">
        <v>107</v>
      </c>
      <c r="O1044" t="s">
        <v>97</v>
      </c>
    </row>
    <row r="1045" spans="1:15" x14ac:dyDescent="0.2">
      <c r="A1045">
        <v>39</v>
      </c>
      <c r="B1045">
        <v>40</v>
      </c>
      <c r="C1045">
        <v>39</v>
      </c>
      <c r="D1045">
        <v>38</v>
      </c>
      <c r="E1045" t="s">
        <v>30</v>
      </c>
      <c r="F1045" t="s">
        <v>36</v>
      </c>
      <c r="G1045">
        <v>25</v>
      </c>
      <c r="H1045" t="s">
        <v>156</v>
      </c>
      <c r="I1045">
        <v>0.5</v>
      </c>
      <c r="J1045">
        <v>0.5</v>
      </c>
      <c r="K1045" t="s">
        <v>122</v>
      </c>
      <c r="L1045" t="s">
        <v>157</v>
      </c>
      <c r="M1045" t="s">
        <v>158</v>
      </c>
      <c r="N1045" t="s">
        <v>107</v>
      </c>
      <c r="O1045" t="s">
        <v>97</v>
      </c>
    </row>
    <row r="1046" spans="1:15" x14ac:dyDescent="0.2">
      <c r="A1046">
        <v>39</v>
      </c>
      <c r="B1046">
        <v>40</v>
      </c>
      <c r="C1046">
        <v>39</v>
      </c>
      <c r="D1046">
        <v>38</v>
      </c>
      <c r="E1046" t="s">
        <v>30</v>
      </c>
      <c r="F1046" t="s">
        <v>36</v>
      </c>
      <c r="G1046">
        <v>26</v>
      </c>
      <c r="H1046" t="s">
        <v>152</v>
      </c>
      <c r="I1046">
        <v>0</v>
      </c>
      <c r="J1046">
        <v>0</v>
      </c>
      <c r="K1046" t="s">
        <v>153</v>
      </c>
      <c r="L1046" t="s">
        <v>154</v>
      </c>
      <c r="M1046" t="s">
        <v>155</v>
      </c>
      <c r="N1046" t="s">
        <v>107</v>
      </c>
      <c r="O1046" t="s">
        <v>97</v>
      </c>
    </row>
    <row r="1047" spans="1:15" x14ac:dyDescent="0.2">
      <c r="A1047">
        <v>39</v>
      </c>
      <c r="B1047">
        <v>40</v>
      </c>
      <c r="C1047">
        <v>39</v>
      </c>
      <c r="D1047">
        <v>38</v>
      </c>
      <c r="E1047" t="s">
        <v>30</v>
      </c>
      <c r="F1047" t="s">
        <v>36</v>
      </c>
      <c r="G1047">
        <v>27</v>
      </c>
      <c r="H1047" t="s">
        <v>159</v>
      </c>
      <c r="I1047">
        <v>0</v>
      </c>
      <c r="J1047">
        <v>0.5</v>
      </c>
      <c r="K1047" t="s">
        <v>122</v>
      </c>
      <c r="L1047" t="s">
        <v>160</v>
      </c>
      <c r="M1047" t="s">
        <v>161</v>
      </c>
      <c r="N1047" t="s">
        <v>107</v>
      </c>
      <c r="O1047" t="s">
        <v>97</v>
      </c>
    </row>
    <row r="1048" spans="1:15" x14ac:dyDescent="0.2">
      <c r="A1048">
        <v>39</v>
      </c>
      <c r="B1048">
        <v>40</v>
      </c>
      <c r="C1048">
        <v>39</v>
      </c>
      <c r="D1048">
        <v>38</v>
      </c>
      <c r="E1048" t="s">
        <v>30</v>
      </c>
      <c r="F1048" t="s">
        <v>36</v>
      </c>
      <c r="G1048">
        <v>28</v>
      </c>
      <c r="H1048" t="s">
        <v>159</v>
      </c>
      <c r="I1048">
        <v>0</v>
      </c>
      <c r="J1048">
        <v>0.5</v>
      </c>
      <c r="K1048" t="s">
        <v>122</v>
      </c>
      <c r="L1048" t="s">
        <v>160</v>
      </c>
      <c r="M1048" t="s">
        <v>161</v>
      </c>
      <c r="N1048" t="s">
        <v>107</v>
      </c>
      <c r="O1048" t="s">
        <v>97</v>
      </c>
    </row>
    <row r="1049" spans="1:15" x14ac:dyDescent="0.2">
      <c r="A1049">
        <v>39</v>
      </c>
      <c r="B1049">
        <v>40</v>
      </c>
      <c r="C1049">
        <v>39</v>
      </c>
      <c r="D1049">
        <v>38</v>
      </c>
      <c r="E1049" t="s">
        <v>30</v>
      </c>
      <c r="F1049" t="s">
        <v>36</v>
      </c>
      <c r="G1049">
        <v>29</v>
      </c>
      <c r="H1049" t="s">
        <v>152</v>
      </c>
      <c r="I1049">
        <v>0</v>
      </c>
      <c r="J1049">
        <v>0</v>
      </c>
      <c r="K1049" t="s">
        <v>153</v>
      </c>
      <c r="L1049" t="s">
        <v>154</v>
      </c>
      <c r="M1049" t="s">
        <v>155</v>
      </c>
      <c r="N1049" t="s">
        <v>107</v>
      </c>
      <c r="O1049" t="s">
        <v>97</v>
      </c>
    </row>
    <row r="1050" spans="1:15" x14ac:dyDescent="0.2">
      <c r="A1050">
        <v>39</v>
      </c>
      <c r="B1050">
        <v>40</v>
      </c>
      <c r="C1050">
        <v>39</v>
      </c>
      <c r="D1050">
        <v>38</v>
      </c>
      <c r="E1050" t="s">
        <v>30</v>
      </c>
      <c r="F1050" t="s">
        <v>36</v>
      </c>
      <c r="G1050">
        <v>30</v>
      </c>
      <c r="H1050" t="s">
        <v>162</v>
      </c>
      <c r="I1050">
        <v>0.5</v>
      </c>
      <c r="J1050">
        <v>1</v>
      </c>
      <c r="K1050" t="s">
        <v>112</v>
      </c>
      <c r="L1050" t="s">
        <v>163</v>
      </c>
      <c r="M1050" t="s">
        <v>164</v>
      </c>
      <c r="N1050" t="s">
        <v>107</v>
      </c>
      <c r="O1050" t="s">
        <v>97</v>
      </c>
    </row>
    <row r="1051" spans="1:15" x14ac:dyDescent="0.2">
      <c r="A1051">
        <v>39</v>
      </c>
      <c r="B1051">
        <v>40</v>
      </c>
      <c r="C1051">
        <v>39</v>
      </c>
      <c r="D1051">
        <v>38</v>
      </c>
      <c r="E1051" t="s">
        <v>30</v>
      </c>
      <c r="F1051" t="s">
        <v>36</v>
      </c>
      <c r="G1051">
        <v>31</v>
      </c>
      <c r="H1051" t="s">
        <v>162</v>
      </c>
      <c r="I1051">
        <v>0</v>
      </c>
      <c r="J1051">
        <v>0</v>
      </c>
      <c r="K1051" t="s">
        <v>112</v>
      </c>
      <c r="L1051" t="s">
        <v>163</v>
      </c>
      <c r="M1051" t="s">
        <v>164</v>
      </c>
      <c r="N1051" t="s">
        <v>107</v>
      </c>
      <c r="O1051" t="s">
        <v>97</v>
      </c>
    </row>
    <row r="1052" spans="1:15" x14ac:dyDescent="0.2">
      <c r="A1052">
        <v>39</v>
      </c>
      <c r="B1052">
        <v>40</v>
      </c>
      <c r="C1052">
        <v>39</v>
      </c>
      <c r="D1052">
        <v>38</v>
      </c>
      <c r="E1052" t="s">
        <v>30</v>
      </c>
      <c r="F1052" t="s">
        <v>36</v>
      </c>
      <c r="G1052">
        <v>32</v>
      </c>
      <c r="H1052" t="s">
        <v>162</v>
      </c>
      <c r="I1052">
        <v>0</v>
      </c>
      <c r="J1052">
        <v>0</v>
      </c>
      <c r="K1052" t="s">
        <v>112</v>
      </c>
      <c r="L1052" t="s">
        <v>163</v>
      </c>
      <c r="M1052" t="s">
        <v>164</v>
      </c>
      <c r="N1052" t="s">
        <v>107</v>
      </c>
      <c r="O1052" t="s">
        <v>97</v>
      </c>
    </row>
    <row r="1053" spans="1:15" x14ac:dyDescent="0.2">
      <c r="A1053">
        <v>39</v>
      </c>
      <c r="B1053">
        <v>40</v>
      </c>
      <c r="C1053">
        <v>39</v>
      </c>
      <c r="D1053">
        <v>38</v>
      </c>
      <c r="E1053" t="s">
        <v>30</v>
      </c>
      <c r="F1053" t="s">
        <v>36</v>
      </c>
      <c r="G1053">
        <v>33</v>
      </c>
      <c r="H1053" t="s">
        <v>152</v>
      </c>
      <c r="I1053">
        <v>0</v>
      </c>
      <c r="J1053">
        <v>1</v>
      </c>
      <c r="K1053" t="s">
        <v>153</v>
      </c>
      <c r="L1053" t="s">
        <v>154</v>
      </c>
      <c r="M1053" t="s">
        <v>155</v>
      </c>
      <c r="N1053" t="s">
        <v>107</v>
      </c>
      <c r="O1053" t="s">
        <v>97</v>
      </c>
    </row>
    <row r="1054" spans="1:15" x14ac:dyDescent="0.2">
      <c r="A1054">
        <v>39</v>
      </c>
      <c r="B1054">
        <v>40</v>
      </c>
      <c r="C1054">
        <v>39</v>
      </c>
      <c r="D1054">
        <v>38</v>
      </c>
      <c r="E1054" t="s">
        <v>30</v>
      </c>
      <c r="F1054" t="s">
        <v>36</v>
      </c>
      <c r="G1054">
        <v>34</v>
      </c>
      <c r="H1054" t="s">
        <v>152</v>
      </c>
      <c r="I1054">
        <v>0</v>
      </c>
      <c r="J1054">
        <v>0</v>
      </c>
      <c r="K1054" t="s">
        <v>153</v>
      </c>
      <c r="L1054" t="s">
        <v>154</v>
      </c>
      <c r="M1054" t="s">
        <v>155</v>
      </c>
      <c r="N1054" t="s">
        <v>107</v>
      </c>
      <c r="O1054" t="s">
        <v>97</v>
      </c>
    </row>
    <row r="1055" spans="1:15" x14ac:dyDescent="0.2">
      <c r="A1055">
        <v>39</v>
      </c>
      <c r="B1055">
        <v>40</v>
      </c>
      <c r="C1055">
        <v>39</v>
      </c>
      <c r="D1055">
        <v>38</v>
      </c>
      <c r="E1055" t="s">
        <v>30</v>
      </c>
      <c r="F1055" t="s">
        <v>36</v>
      </c>
      <c r="G1055">
        <v>35</v>
      </c>
      <c r="H1055" t="s">
        <v>165</v>
      </c>
      <c r="I1055">
        <v>0</v>
      </c>
      <c r="J1055">
        <v>1</v>
      </c>
      <c r="K1055" t="s">
        <v>166</v>
      </c>
      <c r="L1055" t="s">
        <v>167</v>
      </c>
      <c r="M1055" t="s">
        <v>168</v>
      </c>
      <c r="N1055" t="s">
        <v>107</v>
      </c>
      <c r="O1055" t="s">
        <v>97</v>
      </c>
    </row>
    <row r="1056" spans="1:15" x14ac:dyDescent="0.2">
      <c r="A1056">
        <v>39</v>
      </c>
      <c r="B1056">
        <v>40</v>
      </c>
      <c r="C1056">
        <v>39</v>
      </c>
      <c r="D1056">
        <v>38</v>
      </c>
      <c r="E1056" t="s">
        <v>30</v>
      </c>
      <c r="F1056" t="s">
        <v>36</v>
      </c>
      <c r="G1056">
        <v>36</v>
      </c>
      <c r="H1056" t="s">
        <v>169</v>
      </c>
      <c r="I1056">
        <v>0</v>
      </c>
      <c r="J1056">
        <v>0</v>
      </c>
      <c r="K1056" t="e">
        <v>#N/A</v>
      </c>
      <c r="L1056" t="e">
        <v>#N/A</v>
      </c>
      <c r="M1056" t="e">
        <v>#N/A</v>
      </c>
      <c r="N1056" t="e">
        <v>#N/A</v>
      </c>
      <c r="O1056" t="s">
        <v>97</v>
      </c>
    </row>
    <row r="1057" spans="1:15" x14ac:dyDescent="0.2">
      <c r="A1057">
        <v>39</v>
      </c>
      <c r="B1057">
        <v>40</v>
      </c>
      <c r="C1057">
        <v>39</v>
      </c>
      <c r="D1057">
        <v>38</v>
      </c>
      <c r="E1057" t="s">
        <v>30</v>
      </c>
      <c r="F1057" t="s">
        <v>36</v>
      </c>
      <c r="G1057">
        <v>38</v>
      </c>
      <c r="H1057" t="s">
        <v>170</v>
      </c>
      <c r="I1057">
        <v>0</v>
      </c>
      <c r="J1057">
        <v>0.5</v>
      </c>
      <c r="K1057" t="s">
        <v>112</v>
      </c>
      <c r="L1057" t="s">
        <v>171</v>
      </c>
      <c r="M1057" t="s">
        <v>172</v>
      </c>
      <c r="N1057" t="s">
        <v>96</v>
      </c>
      <c r="O1057" t="s">
        <v>97</v>
      </c>
    </row>
    <row r="1058" spans="1:15" x14ac:dyDescent="0.2">
      <c r="A1058">
        <v>39</v>
      </c>
      <c r="B1058">
        <v>40</v>
      </c>
      <c r="C1058">
        <v>39</v>
      </c>
      <c r="D1058">
        <v>38</v>
      </c>
      <c r="E1058" t="s">
        <v>30</v>
      </c>
      <c r="F1058" t="s">
        <v>36</v>
      </c>
      <c r="G1058">
        <v>39</v>
      </c>
      <c r="H1058" t="s">
        <v>170</v>
      </c>
      <c r="I1058">
        <v>0</v>
      </c>
      <c r="J1058">
        <v>0.5</v>
      </c>
      <c r="K1058" t="s">
        <v>112</v>
      </c>
      <c r="L1058" t="s">
        <v>171</v>
      </c>
      <c r="M1058" t="s">
        <v>172</v>
      </c>
      <c r="N1058" t="s">
        <v>96</v>
      </c>
      <c r="O1058" t="s">
        <v>97</v>
      </c>
    </row>
    <row r="1059" spans="1:15" x14ac:dyDescent="0.2">
      <c r="A1059">
        <v>39</v>
      </c>
      <c r="B1059">
        <v>40</v>
      </c>
      <c r="C1059">
        <v>39</v>
      </c>
      <c r="D1059">
        <v>38</v>
      </c>
      <c r="E1059" t="s">
        <v>30</v>
      </c>
      <c r="F1059" t="s">
        <v>36</v>
      </c>
      <c r="G1059">
        <v>40</v>
      </c>
      <c r="H1059" t="s">
        <v>170</v>
      </c>
      <c r="I1059">
        <v>0.5</v>
      </c>
      <c r="J1059">
        <v>0.5</v>
      </c>
      <c r="K1059" t="s">
        <v>112</v>
      </c>
      <c r="L1059" t="s">
        <v>171</v>
      </c>
      <c r="M1059" t="s">
        <v>172</v>
      </c>
      <c r="N1059" t="s">
        <v>96</v>
      </c>
      <c r="O1059" t="s">
        <v>97</v>
      </c>
    </row>
    <row r="1060" spans="1:15" x14ac:dyDescent="0.2">
      <c r="A1060">
        <v>39</v>
      </c>
      <c r="B1060">
        <v>40</v>
      </c>
      <c r="C1060">
        <v>39</v>
      </c>
      <c r="D1060">
        <v>38</v>
      </c>
      <c r="E1060" t="s">
        <v>30</v>
      </c>
      <c r="F1060" t="s">
        <v>36</v>
      </c>
      <c r="G1060">
        <v>41</v>
      </c>
      <c r="H1060" t="s">
        <v>173</v>
      </c>
      <c r="I1060">
        <v>0</v>
      </c>
      <c r="J1060">
        <v>1</v>
      </c>
      <c r="K1060" t="s">
        <v>166</v>
      </c>
      <c r="L1060" t="s">
        <v>174</v>
      </c>
      <c r="M1060" t="s">
        <v>175</v>
      </c>
      <c r="N1060" t="s">
        <v>107</v>
      </c>
      <c r="O1060" t="s">
        <v>97</v>
      </c>
    </row>
    <row r="1061" spans="1:15" x14ac:dyDescent="0.2">
      <c r="A1061">
        <v>39</v>
      </c>
      <c r="B1061">
        <v>40</v>
      </c>
      <c r="C1061">
        <v>39</v>
      </c>
      <c r="D1061">
        <v>38</v>
      </c>
      <c r="E1061" t="s">
        <v>30</v>
      </c>
      <c r="F1061" t="s">
        <v>36</v>
      </c>
      <c r="G1061">
        <v>42</v>
      </c>
      <c r="H1061" t="s">
        <v>176</v>
      </c>
      <c r="I1061">
        <v>1</v>
      </c>
      <c r="J1061">
        <v>1</v>
      </c>
      <c r="K1061" t="s">
        <v>153</v>
      </c>
      <c r="L1061" t="s">
        <v>177</v>
      </c>
      <c r="M1061" t="s">
        <v>178</v>
      </c>
      <c r="N1061" t="s">
        <v>107</v>
      </c>
      <c r="O1061" t="s">
        <v>97</v>
      </c>
    </row>
    <row r="1062" spans="1:15" x14ac:dyDescent="0.2">
      <c r="A1062">
        <v>39</v>
      </c>
      <c r="B1062">
        <v>40</v>
      </c>
      <c r="C1062">
        <v>39</v>
      </c>
      <c r="D1062">
        <v>38</v>
      </c>
      <c r="E1062" t="s">
        <v>30</v>
      </c>
      <c r="F1062" t="s">
        <v>36</v>
      </c>
      <c r="G1062">
        <v>43</v>
      </c>
      <c r="H1062" t="s">
        <v>179</v>
      </c>
      <c r="I1062">
        <v>0</v>
      </c>
      <c r="J1062">
        <v>0</v>
      </c>
      <c r="K1062" t="s">
        <v>166</v>
      </c>
      <c r="L1062" t="s">
        <v>180</v>
      </c>
      <c r="M1062" t="s">
        <v>181</v>
      </c>
      <c r="N1062" t="s">
        <v>107</v>
      </c>
      <c r="O1062" t="s">
        <v>97</v>
      </c>
    </row>
    <row r="1063" spans="1:15" x14ac:dyDescent="0.2">
      <c r="A1063">
        <v>39</v>
      </c>
      <c r="B1063">
        <v>40</v>
      </c>
      <c r="C1063">
        <v>39</v>
      </c>
      <c r="D1063">
        <v>38</v>
      </c>
      <c r="E1063" t="s">
        <v>30</v>
      </c>
      <c r="F1063" t="s">
        <v>36</v>
      </c>
      <c r="G1063">
        <v>44</v>
      </c>
      <c r="H1063" t="s">
        <v>182</v>
      </c>
      <c r="I1063">
        <v>0</v>
      </c>
      <c r="J1063">
        <v>1</v>
      </c>
      <c r="K1063" t="s">
        <v>166</v>
      </c>
      <c r="L1063" t="s">
        <v>183</v>
      </c>
      <c r="M1063" t="s">
        <v>184</v>
      </c>
      <c r="N1063" t="s">
        <v>107</v>
      </c>
      <c r="O1063" t="s">
        <v>97</v>
      </c>
    </row>
    <row r="1064" spans="1:15" x14ac:dyDescent="0.2">
      <c r="A1064">
        <v>39</v>
      </c>
      <c r="B1064">
        <v>40</v>
      </c>
      <c r="C1064">
        <v>39</v>
      </c>
      <c r="D1064">
        <v>38</v>
      </c>
      <c r="E1064" t="s">
        <v>30</v>
      </c>
      <c r="F1064" t="s">
        <v>36</v>
      </c>
      <c r="G1064">
        <v>45</v>
      </c>
      <c r="H1064" t="s">
        <v>185</v>
      </c>
      <c r="I1064">
        <v>0</v>
      </c>
      <c r="J1064">
        <v>1</v>
      </c>
      <c r="K1064" t="s">
        <v>166</v>
      </c>
      <c r="L1064" t="s">
        <v>186</v>
      </c>
      <c r="M1064" t="s">
        <v>139</v>
      </c>
      <c r="N1064" t="s">
        <v>107</v>
      </c>
      <c r="O1064" t="s">
        <v>97</v>
      </c>
    </row>
    <row r="1065" spans="1:15" x14ac:dyDescent="0.2">
      <c r="A1065">
        <v>39</v>
      </c>
      <c r="B1065">
        <v>40</v>
      </c>
      <c r="C1065">
        <v>39</v>
      </c>
      <c r="D1065">
        <v>38</v>
      </c>
      <c r="E1065" t="s">
        <v>30</v>
      </c>
      <c r="F1065" t="s">
        <v>36</v>
      </c>
      <c r="G1065">
        <v>47</v>
      </c>
      <c r="H1065" t="s">
        <v>187</v>
      </c>
      <c r="I1065">
        <v>0.2</v>
      </c>
      <c r="J1065">
        <v>0.2</v>
      </c>
      <c r="K1065" t="s">
        <v>93</v>
      </c>
      <c r="L1065" t="s">
        <v>188</v>
      </c>
      <c r="M1065" t="s">
        <v>95</v>
      </c>
      <c r="N1065" t="s">
        <v>96</v>
      </c>
      <c r="O1065" t="s">
        <v>97</v>
      </c>
    </row>
    <row r="1066" spans="1:15" x14ac:dyDescent="0.2">
      <c r="A1066">
        <v>39</v>
      </c>
      <c r="B1066">
        <v>40</v>
      </c>
      <c r="C1066">
        <v>39</v>
      </c>
      <c r="D1066">
        <v>38</v>
      </c>
      <c r="E1066" t="s">
        <v>30</v>
      </c>
      <c r="F1066" t="s">
        <v>36</v>
      </c>
      <c r="G1066">
        <v>48</v>
      </c>
      <c r="H1066" t="s">
        <v>189</v>
      </c>
      <c r="I1066">
        <v>0.2</v>
      </c>
      <c r="J1066">
        <v>0.2</v>
      </c>
      <c r="K1066" t="s">
        <v>93</v>
      </c>
      <c r="L1066" t="s">
        <v>190</v>
      </c>
      <c r="M1066" t="s">
        <v>95</v>
      </c>
      <c r="N1066" t="s">
        <v>96</v>
      </c>
      <c r="O1066" t="s">
        <v>97</v>
      </c>
    </row>
    <row r="1067" spans="1:15" x14ac:dyDescent="0.2">
      <c r="A1067">
        <v>39</v>
      </c>
      <c r="B1067">
        <v>40</v>
      </c>
      <c r="C1067">
        <v>39</v>
      </c>
      <c r="D1067">
        <v>38</v>
      </c>
      <c r="E1067" t="s">
        <v>30</v>
      </c>
      <c r="F1067" t="s">
        <v>36</v>
      </c>
      <c r="G1067">
        <v>49</v>
      </c>
      <c r="H1067" t="s">
        <v>191</v>
      </c>
      <c r="I1067">
        <v>0.2</v>
      </c>
      <c r="J1067">
        <v>0.2</v>
      </c>
      <c r="K1067" t="s">
        <v>93</v>
      </c>
      <c r="L1067" t="s">
        <v>192</v>
      </c>
      <c r="M1067" t="s">
        <v>95</v>
      </c>
      <c r="N1067" t="s">
        <v>96</v>
      </c>
      <c r="O1067" t="s">
        <v>97</v>
      </c>
    </row>
    <row r="1068" spans="1:15" x14ac:dyDescent="0.2">
      <c r="A1068">
        <v>39</v>
      </c>
      <c r="B1068">
        <v>40</v>
      </c>
      <c r="C1068">
        <v>39</v>
      </c>
      <c r="D1068">
        <v>38</v>
      </c>
      <c r="E1068" t="s">
        <v>30</v>
      </c>
      <c r="F1068" t="s">
        <v>36</v>
      </c>
      <c r="G1068">
        <v>50</v>
      </c>
      <c r="H1068" t="s">
        <v>193</v>
      </c>
      <c r="I1068">
        <v>0.1</v>
      </c>
      <c r="J1068">
        <v>0.1</v>
      </c>
      <c r="K1068" t="s">
        <v>93</v>
      </c>
      <c r="L1068" t="s">
        <v>194</v>
      </c>
      <c r="M1068" t="s">
        <v>95</v>
      </c>
      <c r="N1068" t="s">
        <v>96</v>
      </c>
      <c r="O1068" t="s">
        <v>97</v>
      </c>
    </row>
    <row r="1069" spans="1:15" x14ac:dyDescent="0.2">
      <c r="A1069">
        <v>39</v>
      </c>
      <c r="B1069">
        <v>40</v>
      </c>
      <c r="C1069">
        <v>39</v>
      </c>
      <c r="D1069">
        <v>38</v>
      </c>
      <c r="E1069" t="s">
        <v>30</v>
      </c>
      <c r="F1069" t="s">
        <v>36</v>
      </c>
      <c r="G1069">
        <v>51</v>
      </c>
      <c r="H1069" t="s">
        <v>193</v>
      </c>
      <c r="I1069">
        <v>0.1</v>
      </c>
      <c r="J1069">
        <v>0.1</v>
      </c>
      <c r="K1069" t="s">
        <v>93</v>
      </c>
      <c r="L1069" t="s">
        <v>194</v>
      </c>
      <c r="M1069" t="s">
        <v>95</v>
      </c>
      <c r="N1069" t="s">
        <v>96</v>
      </c>
      <c r="O1069" t="s">
        <v>97</v>
      </c>
    </row>
    <row r="1070" spans="1:15" x14ac:dyDescent="0.2">
      <c r="A1070">
        <v>223</v>
      </c>
      <c r="B1070">
        <v>224</v>
      </c>
      <c r="C1070">
        <v>223</v>
      </c>
      <c r="D1070">
        <v>222</v>
      </c>
      <c r="E1070" t="s">
        <v>30</v>
      </c>
      <c r="F1070" t="s">
        <v>37</v>
      </c>
      <c r="G1070">
        <v>1</v>
      </c>
      <c r="H1070" t="s">
        <v>92</v>
      </c>
      <c r="I1070">
        <v>0</v>
      </c>
      <c r="J1070">
        <v>0.2</v>
      </c>
      <c r="K1070" t="s">
        <v>93</v>
      </c>
      <c r="L1070" t="s">
        <v>94</v>
      </c>
      <c r="M1070" t="s">
        <v>95</v>
      </c>
      <c r="N1070" t="s">
        <v>96</v>
      </c>
      <c r="O1070" t="s">
        <v>97</v>
      </c>
    </row>
    <row r="1071" spans="1:15" x14ac:dyDescent="0.2">
      <c r="A1071">
        <v>223</v>
      </c>
      <c r="B1071">
        <v>224</v>
      </c>
      <c r="C1071">
        <v>223</v>
      </c>
      <c r="D1071">
        <v>222</v>
      </c>
      <c r="E1071" t="s">
        <v>30</v>
      </c>
      <c r="F1071" t="s">
        <v>37</v>
      </c>
      <c r="G1071">
        <v>2</v>
      </c>
      <c r="H1071" t="s">
        <v>98</v>
      </c>
      <c r="I1071">
        <v>0.25</v>
      </c>
      <c r="J1071">
        <v>0.5</v>
      </c>
      <c r="K1071" t="s">
        <v>93</v>
      </c>
      <c r="L1071" t="s">
        <v>99</v>
      </c>
      <c r="M1071" t="s">
        <v>95</v>
      </c>
      <c r="N1071" t="s">
        <v>96</v>
      </c>
      <c r="O1071" t="s">
        <v>97</v>
      </c>
    </row>
    <row r="1072" spans="1:15" x14ac:dyDescent="0.2">
      <c r="A1072">
        <v>223</v>
      </c>
      <c r="B1072">
        <v>224</v>
      </c>
      <c r="C1072">
        <v>223</v>
      </c>
      <c r="D1072">
        <v>222</v>
      </c>
      <c r="E1072" t="s">
        <v>30</v>
      </c>
      <c r="F1072" t="s">
        <v>37</v>
      </c>
      <c r="G1072">
        <v>3</v>
      </c>
      <c r="H1072" t="s">
        <v>100</v>
      </c>
      <c r="I1072">
        <v>0</v>
      </c>
      <c r="J1072">
        <v>1</v>
      </c>
      <c r="K1072" t="s">
        <v>101</v>
      </c>
      <c r="L1072" t="s">
        <v>102</v>
      </c>
      <c r="M1072" t="s">
        <v>103</v>
      </c>
      <c r="N1072" t="s">
        <v>96</v>
      </c>
      <c r="O1072" t="s">
        <v>97</v>
      </c>
    </row>
    <row r="1073" spans="1:15" x14ac:dyDescent="0.2">
      <c r="A1073">
        <v>223</v>
      </c>
      <c r="B1073">
        <v>224</v>
      </c>
      <c r="C1073">
        <v>223</v>
      </c>
      <c r="D1073">
        <v>222</v>
      </c>
      <c r="E1073" t="s">
        <v>30</v>
      </c>
      <c r="F1073" t="s">
        <v>37</v>
      </c>
      <c r="G1073">
        <v>4</v>
      </c>
      <c r="H1073" t="s">
        <v>104</v>
      </c>
      <c r="I1073">
        <v>0</v>
      </c>
      <c r="J1073">
        <v>1</v>
      </c>
      <c r="K1073" t="s">
        <v>101</v>
      </c>
      <c r="L1073" t="s">
        <v>105</v>
      </c>
      <c r="M1073" t="s">
        <v>106</v>
      </c>
      <c r="N1073" t="s">
        <v>107</v>
      </c>
      <c r="O1073" t="s">
        <v>97</v>
      </c>
    </row>
    <row r="1074" spans="1:15" x14ac:dyDescent="0.2">
      <c r="A1074">
        <v>223</v>
      </c>
      <c r="B1074">
        <v>224</v>
      </c>
      <c r="C1074">
        <v>223</v>
      </c>
      <c r="D1074">
        <v>222</v>
      </c>
      <c r="E1074" t="s">
        <v>30</v>
      </c>
      <c r="F1074" t="s">
        <v>37</v>
      </c>
      <c r="G1074">
        <v>5</v>
      </c>
      <c r="H1074" t="s">
        <v>108</v>
      </c>
      <c r="I1074">
        <v>0</v>
      </c>
      <c r="J1074">
        <v>1</v>
      </c>
      <c r="K1074" t="s">
        <v>101</v>
      </c>
      <c r="L1074" t="s">
        <v>109</v>
      </c>
      <c r="M1074" t="s">
        <v>110</v>
      </c>
      <c r="N1074" t="s">
        <v>107</v>
      </c>
      <c r="O1074" t="s">
        <v>97</v>
      </c>
    </row>
    <row r="1075" spans="1:15" x14ac:dyDescent="0.2">
      <c r="A1075">
        <v>223</v>
      </c>
      <c r="B1075">
        <v>224</v>
      </c>
      <c r="C1075">
        <v>223</v>
      </c>
      <c r="D1075">
        <v>222</v>
      </c>
      <c r="E1075" t="s">
        <v>30</v>
      </c>
      <c r="F1075" t="s">
        <v>37</v>
      </c>
      <c r="G1075">
        <v>9</v>
      </c>
      <c r="H1075" t="s">
        <v>111</v>
      </c>
      <c r="I1075">
        <v>0.5</v>
      </c>
      <c r="J1075">
        <v>0.5</v>
      </c>
      <c r="K1075" t="s">
        <v>112</v>
      </c>
      <c r="L1075" t="s">
        <v>113</v>
      </c>
      <c r="M1075" t="s">
        <v>114</v>
      </c>
      <c r="N1075" t="s">
        <v>96</v>
      </c>
      <c r="O1075" t="s">
        <v>97</v>
      </c>
    </row>
    <row r="1076" spans="1:15" x14ac:dyDescent="0.2">
      <c r="A1076">
        <v>223</v>
      </c>
      <c r="B1076">
        <v>224</v>
      </c>
      <c r="C1076">
        <v>223</v>
      </c>
      <c r="D1076">
        <v>222</v>
      </c>
      <c r="E1076" t="s">
        <v>30</v>
      </c>
      <c r="F1076" t="s">
        <v>37</v>
      </c>
      <c r="G1076">
        <v>10</v>
      </c>
      <c r="H1076" t="s">
        <v>115</v>
      </c>
      <c r="I1076">
        <v>0</v>
      </c>
      <c r="J1076">
        <v>0.5</v>
      </c>
      <c r="K1076" t="s">
        <v>112</v>
      </c>
      <c r="L1076" t="s">
        <v>116</v>
      </c>
      <c r="M1076" t="s">
        <v>117</v>
      </c>
      <c r="N1076" t="s">
        <v>96</v>
      </c>
      <c r="O1076" t="s">
        <v>97</v>
      </c>
    </row>
    <row r="1077" spans="1:15" x14ac:dyDescent="0.2">
      <c r="A1077">
        <v>223</v>
      </c>
      <c r="B1077">
        <v>224</v>
      </c>
      <c r="C1077">
        <v>223</v>
      </c>
      <c r="D1077">
        <v>222</v>
      </c>
      <c r="E1077" t="s">
        <v>30</v>
      </c>
      <c r="F1077" t="s">
        <v>37</v>
      </c>
      <c r="G1077">
        <v>11</v>
      </c>
      <c r="H1077" t="s">
        <v>118</v>
      </c>
      <c r="I1077">
        <v>1</v>
      </c>
      <c r="J1077">
        <v>1</v>
      </c>
      <c r="K1077" t="s">
        <v>112</v>
      </c>
      <c r="L1077" t="s">
        <v>119</v>
      </c>
      <c r="M1077" t="s">
        <v>120</v>
      </c>
      <c r="N1077" t="s">
        <v>107</v>
      </c>
      <c r="O1077" t="s">
        <v>97</v>
      </c>
    </row>
    <row r="1078" spans="1:15" x14ac:dyDescent="0.2">
      <c r="A1078">
        <v>223</v>
      </c>
      <c r="B1078">
        <v>224</v>
      </c>
      <c r="C1078">
        <v>223</v>
      </c>
      <c r="D1078">
        <v>222</v>
      </c>
      <c r="E1078" t="s">
        <v>30</v>
      </c>
      <c r="F1078" t="s">
        <v>37</v>
      </c>
      <c r="G1078">
        <v>12</v>
      </c>
      <c r="H1078" t="s">
        <v>121</v>
      </c>
      <c r="I1078">
        <v>0.5</v>
      </c>
      <c r="J1078">
        <v>0.5</v>
      </c>
      <c r="K1078" t="s">
        <v>122</v>
      </c>
      <c r="L1078" t="s">
        <v>113</v>
      </c>
      <c r="M1078" t="s">
        <v>123</v>
      </c>
      <c r="N1078" t="s">
        <v>96</v>
      </c>
      <c r="O1078" t="s">
        <v>97</v>
      </c>
    </row>
    <row r="1079" spans="1:15" x14ac:dyDescent="0.2">
      <c r="A1079">
        <v>223</v>
      </c>
      <c r="B1079">
        <v>224</v>
      </c>
      <c r="C1079">
        <v>223</v>
      </c>
      <c r="D1079">
        <v>222</v>
      </c>
      <c r="E1079" t="s">
        <v>30</v>
      </c>
      <c r="F1079" t="s">
        <v>37</v>
      </c>
      <c r="G1079">
        <v>13</v>
      </c>
      <c r="H1079" t="s">
        <v>124</v>
      </c>
      <c r="I1079">
        <v>0</v>
      </c>
      <c r="J1079">
        <v>0.5</v>
      </c>
      <c r="K1079" t="s">
        <v>122</v>
      </c>
      <c r="L1079" t="s">
        <v>125</v>
      </c>
      <c r="M1079" t="s">
        <v>126</v>
      </c>
      <c r="N1079" t="s">
        <v>96</v>
      </c>
      <c r="O1079" t="s">
        <v>97</v>
      </c>
    </row>
    <row r="1080" spans="1:15" x14ac:dyDescent="0.2">
      <c r="A1080">
        <v>223</v>
      </c>
      <c r="B1080">
        <v>224</v>
      </c>
      <c r="C1080">
        <v>223</v>
      </c>
      <c r="D1080">
        <v>222</v>
      </c>
      <c r="E1080" t="s">
        <v>30</v>
      </c>
      <c r="F1080" t="s">
        <v>37</v>
      </c>
      <c r="G1080">
        <v>14</v>
      </c>
      <c r="H1080" t="s">
        <v>127</v>
      </c>
      <c r="I1080">
        <v>1</v>
      </c>
      <c r="J1080">
        <v>1</v>
      </c>
      <c r="K1080" t="s">
        <v>122</v>
      </c>
      <c r="L1080" t="s">
        <v>119</v>
      </c>
      <c r="M1080" t="s">
        <v>128</v>
      </c>
      <c r="N1080" t="s">
        <v>107</v>
      </c>
      <c r="O1080" t="s">
        <v>97</v>
      </c>
    </row>
    <row r="1081" spans="1:15" x14ac:dyDescent="0.2">
      <c r="A1081">
        <v>223</v>
      </c>
      <c r="B1081">
        <v>224</v>
      </c>
      <c r="C1081">
        <v>223</v>
      </c>
      <c r="D1081">
        <v>222</v>
      </c>
      <c r="E1081" t="s">
        <v>30</v>
      </c>
      <c r="F1081" t="s">
        <v>37</v>
      </c>
      <c r="G1081">
        <v>15</v>
      </c>
      <c r="H1081" t="s">
        <v>129</v>
      </c>
      <c r="I1081">
        <v>0</v>
      </c>
      <c r="J1081">
        <v>1</v>
      </c>
      <c r="K1081" t="s">
        <v>130</v>
      </c>
      <c r="L1081" t="s">
        <v>131</v>
      </c>
      <c r="M1081" t="s">
        <v>132</v>
      </c>
      <c r="N1081" t="s">
        <v>107</v>
      </c>
      <c r="O1081" t="s">
        <v>97</v>
      </c>
    </row>
    <row r="1082" spans="1:15" x14ac:dyDescent="0.2">
      <c r="A1082">
        <v>223</v>
      </c>
      <c r="B1082">
        <v>224</v>
      </c>
      <c r="C1082">
        <v>223</v>
      </c>
      <c r="D1082">
        <v>222</v>
      </c>
      <c r="E1082" t="s">
        <v>30</v>
      </c>
      <c r="F1082" t="s">
        <v>37</v>
      </c>
      <c r="G1082">
        <v>16</v>
      </c>
      <c r="H1082" t="s">
        <v>133</v>
      </c>
      <c r="I1082">
        <v>0</v>
      </c>
      <c r="J1082">
        <v>0</v>
      </c>
      <c r="K1082" t="e">
        <v>#N/A</v>
      </c>
      <c r="L1082" t="e">
        <v>#N/A</v>
      </c>
      <c r="M1082" t="e">
        <v>#N/A</v>
      </c>
      <c r="N1082" t="e">
        <v>#N/A</v>
      </c>
      <c r="O1082" t="s">
        <v>97</v>
      </c>
    </row>
    <row r="1083" spans="1:15" x14ac:dyDescent="0.2">
      <c r="A1083">
        <v>223</v>
      </c>
      <c r="B1083">
        <v>224</v>
      </c>
      <c r="C1083">
        <v>223</v>
      </c>
      <c r="D1083">
        <v>222</v>
      </c>
      <c r="E1083" t="s">
        <v>30</v>
      </c>
      <c r="F1083" t="s">
        <v>37</v>
      </c>
      <c r="G1083">
        <v>17</v>
      </c>
      <c r="H1083" t="s">
        <v>134</v>
      </c>
      <c r="I1083">
        <v>0.5</v>
      </c>
      <c r="J1083">
        <v>1</v>
      </c>
      <c r="K1083" t="s">
        <v>112</v>
      </c>
      <c r="L1083" t="s">
        <v>135</v>
      </c>
      <c r="M1083" t="s">
        <v>136</v>
      </c>
      <c r="N1083" t="s">
        <v>107</v>
      </c>
      <c r="O1083" t="s">
        <v>97</v>
      </c>
    </row>
    <row r="1084" spans="1:15" x14ac:dyDescent="0.2">
      <c r="A1084">
        <v>223</v>
      </c>
      <c r="B1084">
        <v>224</v>
      </c>
      <c r="C1084">
        <v>223</v>
      </c>
      <c r="D1084">
        <v>222</v>
      </c>
      <c r="E1084" t="s">
        <v>30</v>
      </c>
      <c r="F1084" t="s">
        <v>37</v>
      </c>
      <c r="G1084">
        <v>18</v>
      </c>
      <c r="H1084" t="s">
        <v>137</v>
      </c>
      <c r="I1084">
        <v>1</v>
      </c>
      <c r="J1084">
        <v>1</v>
      </c>
      <c r="K1084" t="s">
        <v>112</v>
      </c>
      <c r="L1084" t="s">
        <v>138</v>
      </c>
      <c r="M1084" t="s">
        <v>139</v>
      </c>
      <c r="N1084" t="s">
        <v>107</v>
      </c>
      <c r="O1084" t="s">
        <v>97</v>
      </c>
    </row>
    <row r="1085" spans="1:15" x14ac:dyDescent="0.2">
      <c r="A1085">
        <v>223</v>
      </c>
      <c r="B1085">
        <v>224</v>
      </c>
      <c r="C1085">
        <v>223</v>
      </c>
      <c r="D1085">
        <v>222</v>
      </c>
      <c r="E1085" t="s">
        <v>30</v>
      </c>
      <c r="F1085" t="s">
        <v>37</v>
      </c>
      <c r="G1085">
        <v>19</v>
      </c>
      <c r="H1085" t="s">
        <v>140</v>
      </c>
      <c r="I1085">
        <v>0</v>
      </c>
      <c r="J1085">
        <v>1</v>
      </c>
      <c r="K1085" t="s">
        <v>122</v>
      </c>
      <c r="L1085" t="s">
        <v>141</v>
      </c>
      <c r="M1085" t="s">
        <v>142</v>
      </c>
      <c r="N1085" t="s">
        <v>107</v>
      </c>
      <c r="O1085" t="s">
        <v>97</v>
      </c>
    </row>
    <row r="1086" spans="1:15" x14ac:dyDescent="0.2">
      <c r="A1086">
        <v>223</v>
      </c>
      <c r="B1086">
        <v>224</v>
      </c>
      <c r="C1086">
        <v>223</v>
      </c>
      <c r="D1086">
        <v>222</v>
      </c>
      <c r="E1086" t="s">
        <v>30</v>
      </c>
      <c r="F1086" t="s">
        <v>37</v>
      </c>
      <c r="G1086">
        <v>20</v>
      </c>
      <c r="H1086" t="s">
        <v>143</v>
      </c>
      <c r="I1086">
        <v>0</v>
      </c>
      <c r="J1086">
        <v>1</v>
      </c>
      <c r="K1086" t="s">
        <v>122</v>
      </c>
      <c r="L1086" t="s">
        <v>144</v>
      </c>
      <c r="M1086" t="s">
        <v>145</v>
      </c>
      <c r="N1086" t="s">
        <v>107</v>
      </c>
      <c r="O1086" t="s">
        <v>97</v>
      </c>
    </row>
    <row r="1087" spans="1:15" x14ac:dyDescent="0.2">
      <c r="A1087">
        <v>223</v>
      </c>
      <c r="B1087">
        <v>224</v>
      </c>
      <c r="C1087">
        <v>223</v>
      </c>
      <c r="D1087">
        <v>222</v>
      </c>
      <c r="E1087" t="s">
        <v>30</v>
      </c>
      <c r="F1087" t="s">
        <v>37</v>
      </c>
      <c r="G1087">
        <v>21</v>
      </c>
      <c r="H1087" t="s">
        <v>146</v>
      </c>
      <c r="I1087">
        <v>0.5</v>
      </c>
      <c r="J1087">
        <v>1</v>
      </c>
      <c r="K1087" t="s">
        <v>147</v>
      </c>
      <c r="L1087" t="s">
        <v>148</v>
      </c>
      <c r="M1087" t="s">
        <v>149</v>
      </c>
      <c r="N1087" t="s">
        <v>96</v>
      </c>
      <c r="O1087" t="s">
        <v>97</v>
      </c>
    </row>
    <row r="1088" spans="1:15" x14ac:dyDescent="0.2">
      <c r="A1088">
        <v>223</v>
      </c>
      <c r="B1088">
        <v>224</v>
      </c>
      <c r="C1088">
        <v>223</v>
      </c>
      <c r="D1088">
        <v>222</v>
      </c>
      <c r="E1088" t="s">
        <v>30</v>
      </c>
      <c r="F1088" t="s">
        <v>37</v>
      </c>
      <c r="G1088">
        <v>22</v>
      </c>
      <c r="H1088" t="s">
        <v>150</v>
      </c>
      <c r="I1088">
        <v>0.5</v>
      </c>
      <c r="J1088">
        <v>1</v>
      </c>
      <c r="K1088" t="s">
        <v>147</v>
      </c>
      <c r="L1088" t="s">
        <v>151</v>
      </c>
      <c r="M1088" t="s">
        <v>149</v>
      </c>
      <c r="N1088" t="s">
        <v>107</v>
      </c>
      <c r="O1088" t="s">
        <v>97</v>
      </c>
    </row>
    <row r="1089" spans="1:15" x14ac:dyDescent="0.2">
      <c r="A1089">
        <v>223</v>
      </c>
      <c r="B1089">
        <v>224</v>
      </c>
      <c r="C1089">
        <v>223</v>
      </c>
      <c r="D1089">
        <v>222</v>
      </c>
      <c r="E1089" t="s">
        <v>30</v>
      </c>
      <c r="F1089" t="s">
        <v>37</v>
      </c>
      <c r="G1089">
        <v>23</v>
      </c>
      <c r="H1089" t="s">
        <v>152</v>
      </c>
      <c r="I1089">
        <v>0</v>
      </c>
      <c r="J1089">
        <v>0</v>
      </c>
      <c r="K1089" t="s">
        <v>153</v>
      </c>
      <c r="L1089" t="s">
        <v>154</v>
      </c>
      <c r="M1089" t="s">
        <v>155</v>
      </c>
      <c r="N1089" t="s">
        <v>107</v>
      </c>
      <c r="O1089" t="s">
        <v>97</v>
      </c>
    </row>
    <row r="1090" spans="1:15" x14ac:dyDescent="0.2">
      <c r="A1090">
        <v>223</v>
      </c>
      <c r="B1090">
        <v>224</v>
      </c>
      <c r="C1090">
        <v>223</v>
      </c>
      <c r="D1090">
        <v>222</v>
      </c>
      <c r="E1090" t="s">
        <v>30</v>
      </c>
      <c r="F1090" t="s">
        <v>37</v>
      </c>
      <c r="G1090">
        <v>24</v>
      </c>
      <c r="H1090" t="s">
        <v>156</v>
      </c>
      <c r="I1090">
        <v>0</v>
      </c>
      <c r="J1090">
        <v>0.5</v>
      </c>
      <c r="K1090" t="s">
        <v>122</v>
      </c>
      <c r="L1090" t="s">
        <v>157</v>
      </c>
      <c r="M1090" t="s">
        <v>158</v>
      </c>
      <c r="N1090" t="s">
        <v>107</v>
      </c>
      <c r="O1090" t="s">
        <v>97</v>
      </c>
    </row>
    <row r="1091" spans="1:15" x14ac:dyDescent="0.2">
      <c r="A1091">
        <v>223</v>
      </c>
      <c r="B1091">
        <v>224</v>
      </c>
      <c r="C1091">
        <v>223</v>
      </c>
      <c r="D1091">
        <v>222</v>
      </c>
      <c r="E1091" t="s">
        <v>30</v>
      </c>
      <c r="F1091" t="s">
        <v>37</v>
      </c>
      <c r="G1091">
        <v>25</v>
      </c>
      <c r="H1091" t="s">
        <v>156</v>
      </c>
      <c r="I1091">
        <v>0</v>
      </c>
      <c r="J1091">
        <v>0.5</v>
      </c>
      <c r="K1091" t="s">
        <v>122</v>
      </c>
      <c r="L1091" t="s">
        <v>157</v>
      </c>
      <c r="M1091" t="s">
        <v>158</v>
      </c>
      <c r="N1091" t="s">
        <v>107</v>
      </c>
      <c r="O1091" t="s">
        <v>97</v>
      </c>
    </row>
    <row r="1092" spans="1:15" x14ac:dyDescent="0.2">
      <c r="A1092">
        <v>223</v>
      </c>
      <c r="B1092">
        <v>224</v>
      </c>
      <c r="C1092">
        <v>223</v>
      </c>
      <c r="D1092">
        <v>222</v>
      </c>
      <c r="E1092" t="s">
        <v>30</v>
      </c>
      <c r="F1092" t="s">
        <v>37</v>
      </c>
      <c r="G1092">
        <v>26</v>
      </c>
      <c r="H1092" t="s">
        <v>152</v>
      </c>
      <c r="I1092">
        <v>0</v>
      </c>
      <c r="J1092">
        <v>0</v>
      </c>
      <c r="K1092" t="s">
        <v>153</v>
      </c>
      <c r="L1092" t="s">
        <v>154</v>
      </c>
      <c r="M1092" t="s">
        <v>155</v>
      </c>
      <c r="N1092" t="s">
        <v>107</v>
      </c>
      <c r="O1092" t="s">
        <v>97</v>
      </c>
    </row>
    <row r="1093" spans="1:15" x14ac:dyDescent="0.2">
      <c r="A1093">
        <v>223</v>
      </c>
      <c r="B1093">
        <v>224</v>
      </c>
      <c r="C1093">
        <v>223</v>
      </c>
      <c r="D1093">
        <v>222</v>
      </c>
      <c r="E1093" t="s">
        <v>30</v>
      </c>
      <c r="F1093" t="s">
        <v>37</v>
      </c>
      <c r="G1093">
        <v>27</v>
      </c>
      <c r="H1093" t="s">
        <v>159</v>
      </c>
      <c r="I1093">
        <v>0</v>
      </c>
      <c r="J1093">
        <v>0.5</v>
      </c>
      <c r="K1093" t="s">
        <v>122</v>
      </c>
      <c r="L1093" t="s">
        <v>160</v>
      </c>
      <c r="M1093" t="s">
        <v>161</v>
      </c>
      <c r="N1093" t="s">
        <v>107</v>
      </c>
      <c r="O1093" t="s">
        <v>97</v>
      </c>
    </row>
    <row r="1094" spans="1:15" x14ac:dyDescent="0.2">
      <c r="A1094">
        <v>223</v>
      </c>
      <c r="B1094">
        <v>224</v>
      </c>
      <c r="C1094">
        <v>223</v>
      </c>
      <c r="D1094">
        <v>222</v>
      </c>
      <c r="E1094" t="s">
        <v>30</v>
      </c>
      <c r="F1094" t="s">
        <v>37</v>
      </c>
      <c r="G1094">
        <v>28</v>
      </c>
      <c r="H1094" t="s">
        <v>159</v>
      </c>
      <c r="I1094">
        <v>0</v>
      </c>
      <c r="J1094">
        <v>0.5</v>
      </c>
      <c r="K1094" t="s">
        <v>122</v>
      </c>
      <c r="L1094" t="s">
        <v>160</v>
      </c>
      <c r="M1094" t="s">
        <v>161</v>
      </c>
      <c r="N1094" t="s">
        <v>107</v>
      </c>
      <c r="O1094" t="s">
        <v>97</v>
      </c>
    </row>
    <row r="1095" spans="1:15" x14ac:dyDescent="0.2">
      <c r="A1095">
        <v>223</v>
      </c>
      <c r="B1095">
        <v>224</v>
      </c>
      <c r="C1095">
        <v>223</v>
      </c>
      <c r="D1095">
        <v>222</v>
      </c>
      <c r="E1095" t="s">
        <v>30</v>
      </c>
      <c r="F1095" t="s">
        <v>37</v>
      </c>
      <c r="G1095">
        <v>29</v>
      </c>
      <c r="H1095" t="s">
        <v>152</v>
      </c>
      <c r="I1095">
        <v>0</v>
      </c>
      <c r="J1095">
        <v>0</v>
      </c>
      <c r="K1095" t="s">
        <v>153</v>
      </c>
      <c r="L1095" t="s">
        <v>154</v>
      </c>
      <c r="M1095" t="s">
        <v>155</v>
      </c>
      <c r="N1095" t="s">
        <v>107</v>
      </c>
      <c r="O1095" t="s">
        <v>97</v>
      </c>
    </row>
    <row r="1096" spans="1:15" x14ac:dyDescent="0.2">
      <c r="A1096">
        <v>223</v>
      </c>
      <c r="B1096">
        <v>224</v>
      </c>
      <c r="C1096">
        <v>223</v>
      </c>
      <c r="D1096">
        <v>222</v>
      </c>
      <c r="E1096" t="s">
        <v>30</v>
      </c>
      <c r="F1096" t="s">
        <v>37</v>
      </c>
      <c r="G1096">
        <v>30</v>
      </c>
      <c r="H1096" t="s">
        <v>162</v>
      </c>
      <c r="I1096">
        <v>0.5</v>
      </c>
      <c r="J1096">
        <v>1</v>
      </c>
      <c r="K1096" t="s">
        <v>112</v>
      </c>
      <c r="L1096" t="s">
        <v>163</v>
      </c>
      <c r="M1096" t="s">
        <v>164</v>
      </c>
      <c r="N1096" t="s">
        <v>107</v>
      </c>
      <c r="O1096" t="s">
        <v>97</v>
      </c>
    </row>
    <row r="1097" spans="1:15" x14ac:dyDescent="0.2">
      <c r="A1097">
        <v>223</v>
      </c>
      <c r="B1097">
        <v>224</v>
      </c>
      <c r="C1097">
        <v>223</v>
      </c>
      <c r="D1097">
        <v>222</v>
      </c>
      <c r="E1097" t="s">
        <v>30</v>
      </c>
      <c r="F1097" t="s">
        <v>37</v>
      </c>
      <c r="G1097">
        <v>31</v>
      </c>
      <c r="H1097" t="s">
        <v>162</v>
      </c>
      <c r="I1097">
        <v>0</v>
      </c>
      <c r="J1097">
        <v>0</v>
      </c>
      <c r="K1097" t="s">
        <v>112</v>
      </c>
      <c r="L1097" t="s">
        <v>163</v>
      </c>
      <c r="M1097" t="s">
        <v>164</v>
      </c>
      <c r="N1097" t="s">
        <v>107</v>
      </c>
      <c r="O1097" t="s">
        <v>97</v>
      </c>
    </row>
    <row r="1098" spans="1:15" x14ac:dyDescent="0.2">
      <c r="A1098">
        <v>223</v>
      </c>
      <c r="B1098">
        <v>224</v>
      </c>
      <c r="C1098">
        <v>223</v>
      </c>
      <c r="D1098">
        <v>222</v>
      </c>
      <c r="E1098" t="s">
        <v>30</v>
      </c>
      <c r="F1098" t="s">
        <v>37</v>
      </c>
      <c r="G1098">
        <v>32</v>
      </c>
      <c r="H1098" t="s">
        <v>162</v>
      </c>
      <c r="I1098">
        <v>0</v>
      </c>
      <c r="J1098">
        <v>0</v>
      </c>
      <c r="K1098" t="s">
        <v>112</v>
      </c>
      <c r="L1098" t="s">
        <v>163</v>
      </c>
      <c r="M1098" t="s">
        <v>164</v>
      </c>
      <c r="N1098" t="s">
        <v>107</v>
      </c>
      <c r="O1098" t="s">
        <v>97</v>
      </c>
    </row>
    <row r="1099" spans="1:15" x14ac:dyDescent="0.2">
      <c r="A1099">
        <v>223</v>
      </c>
      <c r="B1099">
        <v>224</v>
      </c>
      <c r="C1099">
        <v>223</v>
      </c>
      <c r="D1099">
        <v>222</v>
      </c>
      <c r="E1099" t="s">
        <v>30</v>
      </c>
      <c r="F1099" t="s">
        <v>37</v>
      </c>
      <c r="G1099">
        <v>33</v>
      </c>
      <c r="H1099" t="s">
        <v>152</v>
      </c>
      <c r="I1099">
        <v>1</v>
      </c>
      <c r="J1099">
        <v>1</v>
      </c>
      <c r="K1099" t="s">
        <v>153</v>
      </c>
      <c r="L1099" t="s">
        <v>154</v>
      </c>
      <c r="M1099" t="s">
        <v>155</v>
      </c>
      <c r="N1099" t="s">
        <v>107</v>
      </c>
      <c r="O1099" t="s">
        <v>97</v>
      </c>
    </row>
    <row r="1100" spans="1:15" x14ac:dyDescent="0.2">
      <c r="A1100">
        <v>223</v>
      </c>
      <c r="B1100">
        <v>224</v>
      </c>
      <c r="C1100">
        <v>223</v>
      </c>
      <c r="D1100">
        <v>222</v>
      </c>
      <c r="E1100" t="s">
        <v>30</v>
      </c>
      <c r="F1100" t="s">
        <v>37</v>
      </c>
      <c r="G1100">
        <v>34</v>
      </c>
      <c r="H1100" t="s">
        <v>152</v>
      </c>
      <c r="I1100">
        <v>0</v>
      </c>
      <c r="J1100">
        <v>0</v>
      </c>
      <c r="K1100" t="s">
        <v>153</v>
      </c>
      <c r="L1100" t="s">
        <v>154</v>
      </c>
      <c r="M1100" t="s">
        <v>155</v>
      </c>
      <c r="N1100" t="s">
        <v>107</v>
      </c>
      <c r="O1100" t="s">
        <v>97</v>
      </c>
    </row>
    <row r="1101" spans="1:15" x14ac:dyDescent="0.2">
      <c r="A1101">
        <v>223</v>
      </c>
      <c r="B1101">
        <v>224</v>
      </c>
      <c r="C1101">
        <v>223</v>
      </c>
      <c r="D1101">
        <v>222</v>
      </c>
      <c r="E1101" t="s">
        <v>30</v>
      </c>
      <c r="F1101" t="s">
        <v>37</v>
      </c>
      <c r="G1101">
        <v>35</v>
      </c>
      <c r="H1101" t="s">
        <v>165</v>
      </c>
      <c r="I1101">
        <v>0</v>
      </c>
      <c r="J1101">
        <v>1</v>
      </c>
      <c r="K1101" t="s">
        <v>166</v>
      </c>
      <c r="L1101" t="s">
        <v>167</v>
      </c>
      <c r="M1101" t="s">
        <v>168</v>
      </c>
      <c r="N1101" t="s">
        <v>107</v>
      </c>
      <c r="O1101" t="s">
        <v>97</v>
      </c>
    </row>
    <row r="1102" spans="1:15" x14ac:dyDescent="0.2">
      <c r="A1102">
        <v>223</v>
      </c>
      <c r="B1102">
        <v>224</v>
      </c>
      <c r="C1102">
        <v>223</v>
      </c>
      <c r="D1102">
        <v>222</v>
      </c>
      <c r="E1102" t="s">
        <v>30</v>
      </c>
      <c r="F1102" t="s">
        <v>37</v>
      </c>
      <c r="G1102">
        <v>36</v>
      </c>
      <c r="H1102" t="s">
        <v>169</v>
      </c>
      <c r="I1102">
        <v>0</v>
      </c>
      <c r="J1102">
        <v>0</v>
      </c>
      <c r="K1102" t="e">
        <v>#N/A</v>
      </c>
      <c r="L1102" t="e">
        <v>#N/A</v>
      </c>
      <c r="M1102" t="e">
        <v>#N/A</v>
      </c>
      <c r="N1102" t="e">
        <v>#N/A</v>
      </c>
      <c r="O1102" t="s">
        <v>97</v>
      </c>
    </row>
    <row r="1103" spans="1:15" x14ac:dyDescent="0.2">
      <c r="A1103">
        <v>223</v>
      </c>
      <c r="B1103">
        <v>224</v>
      </c>
      <c r="C1103">
        <v>223</v>
      </c>
      <c r="D1103">
        <v>222</v>
      </c>
      <c r="E1103" t="s">
        <v>30</v>
      </c>
      <c r="F1103" t="s">
        <v>37</v>
      </c>
      <c r="G1103">
        <v>38</v>
      </c>
      <c r="H1103" t="s">
        <v>170</v>
      </c>
      <c r="I1103">
        <v>0</v>
      </c>
      <c r="J1103">
        <v>0.5</v>
      </c>
      <c r="K1103" t="s">
        <v>112</v>
      </c>
      <c r="L1103" t="s">
        <v>171</v>
      </c>
      <c r="M1103" t="s">
        <v>172</v>
      </c>
      <c r="N1103" t="s">
        <v>96</v>
      </c>
      <c r="O1103" t="s">
        <v>97</v>
      </c>
    </row>
    <row r="1104" spans="1:15" x14ac:dyDescent="0.2">
      <c r="A1104">
        <v>223</v>
      </c>
      <c r="B1104">
        <v>224</v>
      </c>
      <c r="C1104">
        <v>223</v>
      </c>
      <c r="D1104">
        <v>222</v>
      </c>
      <c r="E1104" t="s">
        <v>30</v>
      </c>
      <c r="F1104" t="s">
        <v>37</v>
      </c>
      <c r="G1104">
        <v>39</v>
      </c>
      <c r="H1104" t="s">
        <v>170</v>
      </c>
      <c r="I1104">
        <v>0</v>
      </c>
      <c r="J1104">
        <v>0.5</v>
      </c>
      <c r="K1104" t="s">
        <v>112</v>
      </c>
      <c r="L1104" t="s">
        <v>171</v>
      </c>
      <c r="M1104" t="s">
        <v>172</v>
      </c>
      <c r="N1104" t="s">
        <v>96</v>
      </c>
      <c r="O1104" t="s">
        <v>97</v>
      </c>
    </row>
    <row r="1105" spans="1:15" x14ac:dyDescent="0.2">
      <c r="A1105">
        <v>223</v>
      </c>
      <c r="B1105">
        <v>224</v>
      </c>
      <c r="C1105">
        <v>223</v>
      </c>
      <c r="D1105">
        <v>222</v>
      </c>
      <c r="E1105" t="s">
        <v>30</v>
      </c>
      <c r="F1105" t="s">
        <v>37</v>
      </c>
      <c r="G1105">
        <v>40</v>
      </c>
      <c r="H1105" t="s">
        <v>170</v>
      </c>
      <c r="I1105">
        <v>0</v>
      </c>
      <c r="J1105">
        <v>0.5</v>
      </c>
      <c r="K1105" t="s">
        <v>112</v>
      </c>
      <c r="L1105" t="s">
        <v>171</v>
      </c>
      <c r="M1105" t="s">
        <v>172</v>
      </c>
      <c r="N1105" t="s">
        <v>96</v>
      </c>
      <c r="O1105" t="s">
        <v>97</v>
      </c>
    </row>
    <row r="1106" spans="1:15" x14ac:dyDescent="0.2">
      <c r="A1106">
        <v>223</v>
      </c>
      <c r="B1106">
        <v>224</v>
      </c>
      <c r="C1106">
        <v>223</v>
      </c>
      <c r="D1106">
        <v>222</v>
      </c>
      <c r="E1106" t="s">
        <v>30</v>
      </c>
      <c r="F1106" t="s">
        <v>37</v>
      </c>
      <c r="G1106">
        <v>41</v>
      </c>
      <c r="H1106" t="s">
        <v>173</v>
      </c>
      <c r="I1106">
        <v>0</v>
      </c>
      <c r="J1106" t="s">
        <v>195</v>
      </c>
      <c r="K1106" t="s">
        <v>166</v>
      </c>
      <c r="L1106" t="s">
        <v>174</v>
      </c>
      <c r="M1106" t="s">
        <v>175</v>
      </c>
      <c r="N1106" t="s">
        <v>107</v>
      </c>
      <c r="O1106" t="s">
        <v>97</v>
      </c>
    </row>
    <row r="1107" spans="1:15" x14ac:dyDescent="0.2">
      <c r="A1107">
        <v>223</v>
      </c>
      <c r="B1107">
        <v>224</v>
      </c>
      <c r="C1107">
        <v>223</v>
      </c>
      <c r="D1107">
        <v>222</v>
      </c>
      <c r="E1107" t="s">
        <v>30</v>
      </c>
      <c r="F1107" t="s">
        <v>37</v>
      </c>
      <c r="G1107">
        <v>42</v>
      </c>
      <c r="H1107" t="s">
        <v>176</v>
      </c>
      <c r="I1107">
        <v>0</v>
      </c>
      <c r="J1107" t="s">
        <v>198</v>
      </c>
      <c r="K1107" t="s">
        <v>153</v>
      </c>
      <c r="L1107" t="s">
        <v>177</v>
      </c>
      <c r="M1107" t="s">
        <v>178</v>
      </c>
      <c r="N1107" t="s">
        <v>107</v>
      </c>
      <c r="O1107" t="s">
        <v>97</v>
      </c>
    </row>
    <row r="1108" spans="1:15" x14ac:dyDescent="0.2">
      <c r="A1108">
        <v>223</v>
      </c>
      <c r="B1108">
        <v>224</v>
      </c>
      <c r="C1108">
        <v>223</v>
      </c>
      <c r="D1108">
        <v>222</v>
      </c>
      <c r="E1108" t="s">
        <v>30</v>
      </c>
      <c r="F1108" t="s">
        <v>37</v>
      </c>
      <c r="G1108">
        <v>43</v>
      </c>
      <c r="H1108" t="s">
        <v>179</v>
      </c>
      <c r="I1108">
        <v>0</v>
      </c>
      <c r="J1108">
        <v>0</v>
      </c>
      <c r="K1108" t="s">
        <v>166</v>
      </c>
      <c r="L1108" t="s">
        <v>180</v>
      </c>
      <c r="M1108" t="s">
        <v>181</v>
      </c>
      <c r="N1108" t="s">
        <v>107</v>
      </c>
      <c r="O1108" t="s">
        <v>97</v>
      </c>
    </row>
    <row r="1109" spans="1:15" x14ac:dyDescent="0.2">
      <c r="A1109">
        <v>223</v>
      </c>
      <c r="B1109">
        <v>224</v>
      </c>
      <c r="C1109">
        <v>223</v>
      </c>
      <c r="D1109">
        <v>222</v>
      </c>
      <c r="E1109" t="s">
        <v>30</v>
      </c>
      <c r="F1109" t="s">
        <v>37</v>
      </c>
      <c r="G1109">
        <v>44</v>
      </c>
      <c r="H1109" t="s">
        <v>182</v>
      </c>
      <c r="I1109">
        <v>0</v>
      </c>
      <c r="J1109">
        <v>1</v>
      </c>
      <c r="K1109" t="s">
        <v>166</v>
      </c>
      <c r="L1109" t="s">
        <v>183</v>
      </c>
      <c r="M1109" t="s">
        <v>184</v>
      </c>
      <c r="N1109" t="s">
        <v>107</v>
      </c>
      <c r="O1109" t="s">
        <v>97</v>
      </c>
    </row>
    <row r="1110" spans="1:15" x14ac:dyDescent="0.2">
      <c r="A1110">
        <v>223</v>
      </c>
      <c r="B1110">
        <v>224</v>
      </c>
      <c r="C1110">
        <v>223</v>
      </c>
      <c r="D1110">
        <v>222</v>
      </c>
      <c r="E1110" t="s">
        <v>30</v>
      </c>
      <c r="F1110" t="s">
        <v>37</v>
      </c>
      <c r="G1110">
        <v>45</v>
      </c>
      <c r="H1110" t="s">
        <v>185</v>
      </c>
      <c r="I1110">
        <v>0</v>
      </c>
      <c r="J1110">
        <v>1</v>
      </c>
      <c r="K1110" t="s">
        <v>166</v>
      </c>
      <c r="L1110" t="s">
        <v>186</v>
      </c>
      <c r="M1110" t="s">
        <v>139</v>
      </c>
      <c r="N1110" t="s">
        <v>107</v>
      </c>
      <c r="O1110" t="s">
        <v>97</v>
      </c>
    </row>
    <row r="1111" spans="1:15" x14ac:dyDescent="0.2">
      <c r="A1111">
        <v>223</v>
      </c>
      <c r="B1111">
        <v>224</v>
      </c>
      <c r="C1111">
        <v>223</v>
      </c>
      <c r="D1111">
        <v>222</v>
      </c>
      <c r="E1111" t="s">
        <v>30</v>
      </c>
      <c r="F1111" t="s">
        <v>37</v>
      </c>
      <c r="G1111">
        <v>47</v>
      </c>
      <c r="H1111" t="s">
        <v>187</v>
      </c>
      <c r="I1111">
        <v>0</v>
      </c>
      <c r="J1111">
        <v>0.2</v>
      </c>
      <c r="K1111" t="s">
        <v>93</v>
      </c>
      <c r="L1111" t="s">
        <v>188</v>
      </c>
      <c r="M1111" t="s">
        <v>95</v>
      </c>
      <c r="N1111" t="s">
        <v>96</v>
      </c>
      <c r="O1111" t="s">
        <v>97</v>
      </c>
    </row>
    <row r="1112" spans="1:15" x14ac:dyDescent="0.2">
      <c r="A1112">
        <v>223</v>
      </c>
      <c r="B1112">
        <v>224</v>
      </c>
      <c r="C1112">
        <v>223</v>
      </c>
      <c r="D1112">
        <v>222</v>
      </c>
      <c r="E1112" t="s">
        <v>30</v>
      </c>
      <c r="F1112" t="s">
        <v>37</v>
      </c>
      <c r="G1112">
        <v>48</v>
      </c>
      <c r="H1112" t="s">
        <v>189</v>
      </c>
      <c r="I1112">
        <v>0</v>
      </c>
      <c r="J1112">
        <v>0.2</v>
      </c>
      <c r="K1112" t="s">
        <v>93</v>
      </c>
      <c r="L1112" t="s">
        <v>190</v>
      </c>
      <c r="M1112" t="s">
        <v>95</v>
      </c>
      <c r="N1112" t="s">
        <v>96</v>
      </c>
      <c r="O1112" t="s">
        <v>97</v>
      </c>
    </row>
    <row r="1113" spans="1:15" x14ac:dyDescent="0.2">
      <c r="A1113">
        <v>223</v>
      </c>
      <c r="B1113">
        <v>224</v>
      </c>
      <c r="C1113">
        <v>223</v>
      </c>
      <c r="D1113">
        <v>222</v>
      </c>
      <c r="E1113" t="s">
        <v>30</v>
      </c>
      <c r="F1113" t="s">
        <v>37</v>
      </c>
      <c r="G1113">
        <v>49</v>
      </c>
      <c r="H1113" t="s">
        <v>191</v>
      </c>
      <c r="I1113">
        <v>0</v>
      </c>
      <c r="J1113">
        <v>0.2</v>
      </c>
      <c r="K1113" t="s">
        <v>93</v>
      </c>
      <c r="L1113" t="s">
        <v>192</v>
      </c>
      <c r="M1113" t="s">
        <v>95</v>
      </c>
      <c r="N1113" t="s">
        <v>96</v>
      </c>
      <c r="O1113" t="s">
        <v>97</v>
      </c>
    </row>
    <row r="1114" spans="1:15" x14ac:dyDescent="0.2">
      <c r="A1114">
        <v>223</v>
      </c>
      <c r="B1114">
        <v>224</v>
      </c>
      <c r="C1114">
        <v>223</v>
      </c>
      <c r="D1114">
        <v>222</v>
      </c>
      <c r="E1114" t="s">
        <v>30</v>
      </c>
      <c r="F1114" t="s">
        <v>37</v>
      </c>
      <c r="G1114">
        <v>50</v>
      </c>
      <c r="H1114" t="s">
        <v>193</v>
      </c>
      <c r="I1114">
        <v>0.1</v>
      </c>
      <c r="J1114">
        <v>0.1</v>
      </c>
      <c r="K1114" t="s">
        <v>93</v>
      </c>
      <c r="L1114" t="s">
        <v>194</v>
      </c>
      <c r="M1114" t="s">
        <v>95</v>
      </c>
      <c r="N1114" t="s">
        <v>96</v>
      </c>
      <c r="O1114" t="s">
        <v>97</v>
      </c>
    </row>
    <row r="1115" spans="1:15" x14ac:dyDescent="0.2">
      <c r="A1115">
        <v>223</v>
      </c>
      <c r="B1115">
        <v>224</v>
      </c>
      <c r="C1115">
        <v>223</v>
      </c>
      <c r="D1115">
        <v>222</v>
      </c>
      <c r="E1115" t="s">
        <v>30</v>
      </c>
      <c r="F1115" t="s">
        <v>37</v>
      </c>
      <c r="G1115">
        <v>51</v>
      </c>
      <c r="H1115" t="s">
        <v>193</v>
      </c>
      <c r="I1115">
        <v>0.1</v>
      </c>
      <c r="J1115">
        <v>0.1</v>
      </c>
      <c r="K1115" t="s">
        <v>93</v>
      </c>
      <c r="L1115" t="s">
        <v>194</v>
      </c>
      <c r="M1115" t="s">
        <v>95</v>
      </c>
      <c r="N1115" t="s">
        <v>96</v>
      </c>
      <c r="O1115" t="s">
        <v>97</v>
      </c>
    </row>
    <row r="1116" spans="1:15" x14ac:dyDescent="0.2">
      <c r="A1116">
        <v>54</v>
      </c>
      <c r="B1116">
        <v>55</v>
      </c>
      <c r="C1116">
        <v>54</v>
      </c>
      <c r="D1116">
        <v>53</v>
      </c>
      <c r="E1116" t="s">
        <v>30</v>
      </c>
      <c r="F1116" t="s">
        <v>39</v>
      </c>
      <c r="G1116">
        <v>1</v>
      </c>
      <c r="H1116" t="s">
        <v>92</v>
      </c>
      <c r="I1116">
        <v>0.2</v>
      </c>
      <c r="J1116">
        <v>0.2</v>
      </c>
      <c r="K1116" t="s">
        <v>93</v>
      </c>
      <c r="L1116" t="s">
        <v>94</v>
      </c>
      <c r="M1116" t="s">
        <v>95</v>
      </c>
      <c r="N1116" t="s">
        <v>96</v>
      </c>
      <c r="O1116" t="s">
        <v>97</v>
      </c>
    </row>
    <row r="1117" spans="1:15" x14ac:dyDescent="0.2">
      <c r="A1117">
        <v>54</v>
      </c>
      <c r="B1117">
        <v>55</v>
      </c>
      <c r="C1117">
        <v>54</v>
      </c>
      <c r="D1117">
        <v>53</v>
      </c>
      <c r="E1117" t="s">
        <v>30</v>
      </c>
      <c r="F1117" t="s">
        <v>39</v>
      </c>
      <c r="G1117">
        <v>2</v>
      </c>
      <c r="H1117" t="s">
        <v>98</v>
      </c>
      <c r="I1117">
        <v>0.25</v>
      </c>
      <c r="J1117">
        <v>0.5</v>
      </c>
      <c r="K1117" t="s">
        <v>93</v>
      </c>
      <c r="L1117" t="s">
        <v>99</v>
      </c>
      <c r="M1117" t="s">
        <v>95</v>
      </c>
      <c r="N1117" t="s">
        <v>96</v>
      </c>
      <c r="O1117" t="s">
        <v>97</v>
      </c>
    </row>
    <row r="1118" spans="1:15" x14ac:dyDescent="0.2">
      <c r="A1118">
        <v>54</v>
      </c>
      <c r="B1118">
        <v>55</v>
      </c>
      <c r="C1118">
        <v>54</v>
      </c>
      <c r="D1118">
        <v>53</v>
      </c>
      <c r="E1118" t="s">
        <v>30</v>
      </c>
      <c r="F1118" t="s">
        <v>39</v>
      </c>
      <c r="G1118">
        <v>3</v>
      </c>
      <c r="H1118" t="s">
        <v>100</v>
      </c>
      <c r="I1118">
        <v>0.5</v>
      </c>
      <c r="J1118">
        <v>1</v>
      </c>
      <c r="K1118" t="s">
        <v>101</v>
      </c>
      <c r="L1118" t="s">
        <v>102</v>
      </c>
      <c r="M1118" t="s">
        <v>103</v>
      </c>
      <c r="N1118" t="s">
        <v>96</v>
      </c>
      <c r="O1118" t="s">
        <v>97</v>
      </c>
    </row>
    <row r="1119" spans="1:15" x14ac:dyDescent="0.2">
      <c r="A1119">
        <v>54</v>
      </c>
      <c r="B1119">
        <v>55</v>
      </c>
      <c r="C1119">
        <v>54</v>
      </c>
      <c r="D1119">
        <v>53</v>
      </c>
      <c r="E1119" t="s">
        <v>30</v>
      </c>
      <c r="F1119" t="s">
        <v>39</v>
      </c>
      <c r="G1119">
        <v>4</v>
      </c>
      <c r="H1119" t="s">
        <v>104</v>
      </c>
      <c r="I1119">
        <v>0</v>
      </c>
      <c r="J1119">
        <v>1</v>
      </c>
      <c r="K1119" t="s">
        <v>101</v>
      </c>
      <c r="L1119" t="s">
        <v>105</v>
      </c>
      <c r="M1119" t="s">
        <v>106</v>
      </c>
      <c r="N1119" t="s">
        <v>107</v>
      </c>
      <c r="O1119" t="s">
        <v>97</v>
      </c>
    </row>
    <row r="1120" spans="1:15" x14ac:dyDescent="0.2">
      <c r="A1120">
        <v>54</v>
      </c>
      <c r="B1120">
        <v>55</v>
      </c>
      <c r="C1120">
        <v>54</v>
      </c>
      <c r="D1120">
        <v>53</v>
      </c>
      <c r="E1120" t="s">
        <v>30</v>
      </c>
      <c r="F1120" t="s">
        <v>39</v>
      </c>
      <c r="G1120">
        <v>5</v>
      </c>
      <c r="H1120" t="s">
        <v>108</v>
      </c>
      <c r="I1120">
        <v>0.5</v>
      </c>
      <c r="J1120">
        <v>1</v>
      </c>
      <c r="K1120" t="s">
        <v>101</v>
      </c>
      <c r="L1120" t="s">
        <v>109</v>
      </c>
      <c r="M1120" t="s">
        <v>110</v>
      </c>
      <c r="N1120" t="s">
        <v>107</v>
      </c>
      <c r="O1120" t="s">
        <v>97</v>
      </c>
    </row>
    <row r="1121" spans="1:15" x14ac:dyDescent="0.2">
      <c r="A1121">
        <v>54</v>
      </c>
      <c r="B1121">
        <v>55</v>
      </c>
      <c r="C1121">
        <v>54</v>
      </c>
      <c r="D1121">
        <v>53</v>
      </c>
      <c r="E1121" t="s">
        <v>30</v>
      </c>
      <c r="F1121" t="s">
        <v>39</v>
      </c>
      <c r="G1121">
        <v>9</v>
      </c>
      <c r="H1121" t="s">
        <v>111</v>
      </c>
      <c r="I1121">
        <v>0</v>
      </c>
      <c r="J1121">
        <v>0.5</v>
      </c>
      <c r="K1121" t="s">
        <v>112</v>
      </c>
      <c r="L1121" t="s">
        <v>113</v>
      </c>
      <c r="M1121" t="s">
        <v>114</v>
      </c>
      <c r="N1121" t="s">
        <v>96</v>
      </c>
      <c r="O1121" t="s">
        <v>97</v>
      </c>
    </row>
    <row r="1122" spans="1:15" x14ac:dyDescent="0.2">
      <c r="A1122">
        <v>54</v>
      </c>
      <c r="B1122">
        <v>55</v>
      </c>
      <c r="C1122">
        <v>54</v>
      </c>
      <c r="D1122">
        <v>53</v>
      </c>
      <c r="E1122" t="s">
        <v>30</v>
      </c>
      <c r="F1122" t="s">
        <v>39</v>
      </c>
      <c r="G1122">
        <v>10</v>
      </c>
      <c r="H1122" t="s">
        <v>115</v>
      </c>
      <c r="I1122">
        <v>0</v>
      </c>
      <c r="J1122">
        <v>0.5</v>
      </c>
      <c r="K1122" t="s">
        <v>112</v>
      </c>
      <c r="L1122" t="s">
        <v>116</v>
      </c>
      <c r="M1122" t="s">
        <v>117</v>
      </c>
      <c r="N1122" t="s">
        <v>96</v>
      </c>
      <c r="O1122" t="s">
        <v>97</v>
      </c>
    </row>
    <row r="1123" spans="1:15" x14ac:dyDescent="0.2">
      <c r="A1123">
        <v>54</v>
      </c>
      <c r="B1123">
        <v>55</v>
      </c>
      <c r="C1123">
        <v>54</v>
      </c>
      <c r="D1123">
        <v>53</v>
      </c>
      <c r="E1123" t="s">
        <v>30</v>
      </c>
      <c r="F1123" t="s">
        <v>39</v>
      </c>
      <c r="G1123">
        <v>11</v>
      </c>
      <c r="H1123" t="s">
        <v>118</v>
      </c>
      <c r="I1123">
        <v>0.5</v>
      </c>
      <c r="J1123">
        <v>1</v>
      </c>
      <c r="K1123" t="s">
        <v>112</v>
      </c>
      <c r="L1123" t="s">
        <v>119</v>
      </c>
      <c r="M1123" t="s">
        <v>120</v>
      </c>
      <c r="N1123" t="s">
        <v>107</v>
      </c>
      <c r="O1123" t="s">
        <v>97</v>
      </c>
    </row>
    <row r="1124" spans="1:15" x14ac:dyDescent="0.2">
      <c r="A1124">
        <v>54</v>
      </c>
      <c r="B1124">
        <v>55</v>
      </c>
      <c r="C1124">
        <v>54</v>
      </c>
      <c r="D1124">
        <v>53</v>
      </c>
      <c r="E1124" t="s">
        <v>30</v>
      </c>
      <c r="F1124" t="s">
        <v>39</v>
      </c>
      <c r="G1124">
        <v>12</v>
      </c>
      <c r="H1124" t="s">
        <v>121</v>
      </c>
      <c r="I1124">
        <v>0</v>
      </c>
      <c r="J1124">
        <v>0.5</v>
      </c>
      <c r="K1124" t="s">
        <v>122</v>
      </c>
      <c r="L1124" t="s">
        <v>113</v>
      </c>
      <c r="M1124" t="s">
        <v>123</v>
      </c>
      <c r="N1124" t="s">
        <v>96</v>
      </c>
      <c r="O1124" t="s">
        <v>97</v>
      </c>
    </row>
    <row r="1125" spans="1:15" x14ac:dyDescent="0.2">
      <c r="A1125">
        <v>54</v>
      </c>
      <c r="B1125">
        <v>55</v>
      </c>
      <c r="C1125">
        <v>54</v>
      </c>
      <c r="D1125">
        <v>53</v>
      </c>
      <c r="E1125" t="s">
        <v>30</v>
      </c>
      <c r="F1125" t="s">
        <v>39</v>
      </c>
      <c r="G1125">
        <v>13</v>
      </c>
      <c r="H1125" t="s">
        <v>124</v>
      </c>
      <c r="I1125">
        <v>0</v>
      </c>
      <c r="J1125">
        <v>0.5</v>
      </c>
      <c r="K1125" t="s">
        <v>122</v>
      </c>
      <c r="L1125" t="s">
        <v>125</v>
      </c>
      <c r="M1125" t="s">
        <v>126</v>
      </c>
      <c r="N1125" t="s">
        <v>96</v>
      </c>
      <c r="O1125" t="s">
        <v>97</v>
      </c>
    </row>
    <row r="1126" spans="1:15" x14ac:dyDescent="0.2">
      <c r="A1126">
        <v>54</v>
      </c>
      <c r="B1126">
        <v>55</v>
      </c>
      <c r="C1126">
        <v>54</v>
      </c>
      <c r="D1126">
        <v>53</v>
      </c>
      <c r="E1126" t="s">
        <v>30</v>
      </c>
      <c r="F1126" t="s">
        <v>39</v>
      </c>
      <c r="G1126">
        <v>14</v>
      </c>
      <c r="H1126" t="s">
        <v>127</v>
      </c>
      <c r="I1126">
        <v>0.5</v>
      </c>
      <c r="J1126">
        <v>1</v>
      </c>
      <c r="K1126" t="s">
        <v>122</v>
      </c>
      <c r="L1126" t="s">
        <v>119</v>
      </c>
      <c r="M1126" t="s">
        <v>128</v>
      </c>
      <c r="N1126" t="s">
        <v>107</v>
      </c>
      <c r="O1126" t="s">
        <v>97</v>
      </c>
    </row>
    <row r="1127" spans="1:15" x14ac:dyDescent="0.2">
      <c r="A1127">
        <v>54</v>
      </c>
      <c r="B1127">
        <v>55</v>
      </c>
      <c r="C1127">
        <v>54</v>
      </c>
      <c r="D1127">
        <v>53</v>
      </c>
      <c r="E1127" t="s">
        <v>30</v>
      </c>
      <c r="F1127" t="s">
        <v>39</v>
      </c>
      <c r="G1127">
        <v>15</v>
      </c>
      <c r="H1127" t="s">
        <v>129</v>
      </c>
      <c r="I1127">
        <v>1</v>
      </c>
      <c r="J1127">
        <v>1</v>
      </c>
      <c r="K1127" t="s">
        <v>130</v>
      </c>
      <c r="L1127" t="s">
        <v>131</v>
      </c>
      <c r="M1127" t="s">
        <v>132</v>
      </c>
      <c r="N1127" t="s">
        <v>107</v>
      </c>
      <c r="O1127" t="s">
        <v>97</v>
      </c>
    </row>
    <row r="1128" spans="1:15" x14ac:dyDescent="0.2">
      <c r="A1128">
        <v>54</v>
      </c>
      <c r="B1128">
        <v>55</v>
      </c>
      <c r="C1128">
        <v>54</v>
      </c>
      <c r="D1128">
        <v>53</v>
      </c>
      <c r="E1128" t="s">
        <v>30</v>
      </c>
      <c r="F1128" t="s">
        <v>39</v>
      </c>
      <c r="G1128">
        <v>16</v>
      </c>
      <c r="H1128" t="s">
        <v>133</v>
      </c>
      <c r="I1128">
        <v>0</v>
      </c>
      <c r="J1128">
        <v>0</v>
      </c>
      <c r="K1128" t="e">
        <v>#N/A</v>
      </c>
      <c r="L1128" t="e">
        <v>#N/A</v>
      </c>
      <c r="M1128" t="e">
        <v>#N/A</v>
      </c>
      <c r="N1128" t="e">
        <v>#N/A</v>
      </c>
      <c r="O1128" t="s">
        <v>97</v>
      </c>
    </row>
    <row r="1129" spans="1:15" x14ac:dyDescent="0.2">
      <c r="A1129">
        <v>54</v>
      </c>
      <c r="B1129">
        <v>55</v>
      </c>
      <c r="C1129">
        <v>54</v>
      </c>
      <c r="D1129">
        <v>53</v>
      </c>
      <c r="E1129" t="s">
        <v>30</v>
      </c>
      <c r="F1129" t="s">
        <v>39</v>
      </c>
      <c r="G1129">
        <v>17</v>
      </c>
      <c r="H1129" t="s">
        <v>134</v>
      </c>
      <c r="I1129">
        <v>0.5</v>
      </c>
      <c r="J1129">
        <v>1</v>
      </c>
      <c r="K1129" t="s">
        <v>112</v>
      </c>
      <c r="L1129" t="s">
        <v>135</v>
      </c>
      <c r="M1129" t="s">
        <v>136</v>
      </c>
      <c r="N1129" t="s">
        <v>107</v>
      </c>
      <c r="O1129" t="s">
        <v>97</v>
      </c>
    </row>
    <row r="1130" spans="1:15" x14ac:dyDescent="0.2">
      <c r="A1130">
        <v>54</v>
      </c>
      <c r="B1130">
        <v>55</v>
      </c>
      <c r="C1130">
        <v>54</v>
      </c>
      <c r="D1130">
        <v>53</v>
      </c>
      <c r="E1130" t="s">
        <v>30</v>
      </c>
      <c r="F1130" t="s">
        <v>39</v>
      </c>
      <c r="G1130">
        <v>18</v>
      </c>
      <c r="H1130" t="s">
        <v>137</v>
      </c>
      <c r="I1130">
        <v>1</v>
      </c>
      <c r="J1130">
        <v>1</v>
      </c>
      <c r="K1130" t="s">
        <v>112</v>
      </c>
      <c r="L1130" t="s">
        <v>138</v>
      </c>
      <c r="M1130" t="s">
        <v>139</v>
      </c>
      <c r="N1130" t="s">
        <v>107</v>
      </c>
      <c r="O1130" t="s">
        <v>97</v>
      </c>
    </row>
    <row r="1131" spans="1:15" x14ac:dyDescent="0.2">
      <c r="A1131">
        <v>54</v>
      </c>
      <c r="B1131">
        <v>55</v>
      </c>
      <c r="C1131">
        <v>54</v>
      </c>
      <c r="D1131">
        <v>53</v>
      </c>
      <c r="E1131" t="s">
        <v>30</v>
      </c>
      <c r="F1131" t="s">
        <v>39</v>
      </c>
      <c r="G1131">
        <v>19</v>
      </c>
      <c r="H1131" t="s">
        <v>140</v>
      </c>
      <c r="I1131">
        <v>0</v>
      </c>
      <c r="J1131">
        <v>1</v>
      </c>
      <c r="K1131" t="s">
        <v>122</v>
      </c>
      <c r="L1131" t="s">
        <v>141</v>
      </c>
      <c r="M1131" t="s">
        <v>142</v>
      </c>
      <c r="N1131" t="s">
        <v>107</v>
      </c>
      <c r="O1131" t="s">
        <v>97</v>
      </c>
    </row>
    <row r="1132" spans="1:15" x14ac:dyDescent="0.2">
      <c r="A1132">
        <v>54</v>
      </c>
      <c r="B1132">
        <v>55</v>
      </c>
      <c r="C1132">
        <v>54</v>
      </c>
      <c r="D1132">
        <v>53</v>
      </c>
      <c r="E1132" t="s">
        <v>30</v>
      </c>
      <c r="F1132" t="s">
        <v>39</v>
      </c>
      <c r="G1132">
        <v>20</v>
      </c>
      <c r="H1132" t="s">
        <v>143</v>
      </c>
      <c r="I1132">
        <v>0</v>
      </c>
      <c r="J1132">
        <v>1</v>
      </c>
      <c r="K1132" t="s">
        <v>122</v>
      </c>
      <c r="L1132" t="s">
        <v>144</v>
      </c>
      <c r="M1132" t="s">
        <v>145</v>
      </c>
      <c r="N1132" t="s">
        <v>107</v>
      </c>
      <c r="O1132" t="s">
        <v>97</v>
      </c>
    </row>
    <row r="1133" spans="1:15" x14ac:dyDescent="0.2">
      <c r="A1133">
        <v>54</v>
      </c>
      <c r="B1133">
        <v>55</v>
      </c>
      <c r="C1133">
        <v>54</v>
      </c>
      <c r="D1133">
        <v>53</v>
      </c>
      <c r="E1133" t="s">
        <v>30</v>
      </c>
      <c r="F1133" t="s">
        <v>39</v>
      </c>
      <c r="G1133">
        <v>21</v>
      </c>
      <c r="H1133" t="s">
        <v>146</v>
      </c>
      <c r="I1133">
        <v>0.5</v>
      </c>
      <c r="J1133">
        <v>1</v>
      </c>
      <c r="K1133" t="s">
        <v>147</v>
      </c>
      <c r="L1133" t="s">
        <v>148</v>
      </c>
      <c r="M1133" t="s">
        <v>149</v>
      </c>
      <c r="N1133" t="s">
        <v>96</v>
      </c>
      <c r="O1133" t="s">
        <v>97</v>
      </c>
    </row>
    <row r="1134" spans="1:15" x14ac:dyDescent="0.2">
      <c r="A1134">
        <v>54</v>
      </c>
      <c r="B1134">
        <v>55</v>
      </c>
      <c r="C1134">
        <v>54</v>
      </c>
      <c r="D1134">
        <v>53</v>
      </c>
      <c r="E1134" t="s">
        <v>30</v>
      </c>
      <c r="F1134" t="s">
        <v>39</v>
      </c>
      <c r="G1134">
        <v>22</v>
      </c>
      <c r="H1134" t="s">
        <v>150</v>
      </c>
      <c r="I1134">
        <v>0</v>
      </c>
      <c r="J1134">
        <v>1</v>
      </c>
      <c r="K1134" t="s">
        <v>147</v>
      </c>
      <c r="L1134" t="s">
        <v>151</v>
      </c>
      <c r="M1134" t="s">
        <v>149</v>
      </c>
      <c r="N1134" t="s">
        <v>107</v>
      </c>
      <c r="O1134" t="s">
        <v>97</v>
      </c>
    </row>
    <row r="1135" spans="1:15" x14ac:dyDescent="0.2">
      <c r="A1135">
        <v>54</v>
      </c>
      <c r="B1135">
        <v>55</v>
      </c>
      <c r="C1135">
        <v>54</v>
      </c>
      <c r="D1135">
        <v>53</v>
      </c>
      <c r="E1135" t="s">
        <v>30</v>
      </c>
      <c r="F1135" t="s">
        <v>39</v>
      </c>
      <c r="G1135">
        <v>23</v>
      </c>
      <c r="H1135" t="s">
        <v>152</v>
      </c>
      <c r="I1135">
        <v>0</v>
      </c>
      <c r="J1135">
        <v>0</v>
      </c>
      <c r="K1135" t="s">
        <v>153</v>
      </c>
      <c r="L1135" t="s">
        <v>154</v>
      </c>
      <c r="M1135" t="s">
        <v>155</v>
      </c>
      <c r="N1135" t="s">
        <v>107</v>
      </c>
      <c r="O1135" t="s">
        <v>97</v>
      </c>
    </row>
    <row r="1136" spans="1:15" x14ac:dyDescent="0.2">
      <c r="A1136">
        <v>54</v>
      </c>
      <c r="B1136">
        <v>55</v>
      </c>
      <c r="C1136">
        <v>54</v>
      </c>
      <c r="D1136">
        <v>53</v>
      </c>
      <c r="E1136" t="s">
        <v>30</v>
      </c>
      <c r="F1136" t="s">
        <v>39</v>
      </c>
      <c r="G1136">
        <v>24</v>
      </c>
      <c r="H1136" t="s">
        <v>156</v>
      </c>
      <c r="I1136">
        <v>0.5</v>
      </c>
      <c r="J1136">
        <v>0.5</v>
      </c>
      <c r="K1136" t="s">
        <v>122</v>
      </c>
      <c r="L1136" t="s">
        <v>157</v>
      </c>
      <c r="M1136" t="s">
        <v>158</v>
      </c>
      <c r="N1136" t="s">
        <v>107</v>
      </c>
      <c r="O1136" t="s">
        <v>97</v>
      </c>
    </row>
    <row r="1137" spans="1:15" x14ac:dyDescent="0.2">
      <c r="A1137">
        <v>54</v>
      </c>
      <c r="B1137">
        <v>55</v>
      </c>
      <c r="C1137">
        <v>54</v>
      </c>
      <c r="D1137">
        <v>53</v>
      </c>
      <c r="E1137" t="s">
        <v>30</v>
      </c>
      <c r="F1137" t="s">
        <v>39</v>
      </c>
      <c r="G1137">
        <v>25</v>
      </c>
      <c r="H1137" t="s">
        <v>156</v>
      </c>
      <c r="I1137">
        <v>0.5</v>
      </c>
      <c r="J1137">
        <v>0.5</v>
      </c>
      <c r="K1137" t="s">
        <v>122</v>
      </c>
      <c r="L1137" t="s">
        <v>157</v>
      </c>
      <c r="M1137" t="s">
        <v>158</v>
      </c>
      <c r="N1137" t="s">
        <v>107</v>
      </c>
      <c r="O1137" t="s">
        <v>97</v>
      </c>
    </row>
    <row r="1138" spans="1:15" x14ac:dyDescent="0.2">
      <c r="A1138">
        <v>54</v>
      </c>
      <c r="B1138">
        <v>55</v>
      </c>
      <c r="C1138">
        <v>54</v>
      </c>
      <c r="D1138">
        <v>53</v>
      </c>
      <c r="E1138" t="s">
        <v>30</v>
      </c>
      <c r="F1138" t="s">
        <v>39</v>
      </c>
      <c r="G1138">
        <v>26</v>
      </c>
      <c r="H1138" t="s">
        <v>152</v>
      </c>
      <c r="I1138">
        <v>0</v>
      </c>
      <c r="J1138">
        <v>0</v>
      </c>
      <c r="K1138" t="s">
        <v>153</v>
      </c>
      <c r="L1138" t="s">
        <v>154</v>
      </c>
      <c r="M1138" t="s">
        <v>155</v>
      </c>
      <c r="N1138" t="s">
        <v>107</v>
      </c>
      <c r="O1138" t="s">
        <v>97</v>
      </c>
    </row>
    <row r="1139" spans="1:15" x14ac:dyDescent="0.2">
      <c r="A1139">
        <v>54</v>
      </c>
      <c r="B1139">
        <v>55</v>
      </c>
      <c r="C1139">
        <v>54</v>
      </c>
      <c r="D1139">
        <v>53</v>
      </c>
      <c r="E1139" t="s">
        <v>30</v>
      </c>
      <c r="F1139" t="s">
        <v>39</v>
      </c>
      <c r="G1139">
        <v>27</v>
      </c>
      <c r="H1139" t="s">
        <v>159</v>
      </c>
      <c r="I1139">
        <v>0.5</v>
      </c>
      <c r="J1139">
        <v>0.5</v>
      </c>
      <c r="K1139" t="s">
        <v>122</v>
      </c>
      <c r="L1139" t="s">
        <v>160</v>
      </c>
      <c r="M1139" t="s">
        <v>161</v>
      </c>
      <c r="N1139" t="s">
        <v>107</v>
      </c>
      <c r="O1139" t="s">
        <v>97</v>
      </c>
    </row>
    <row r="1140" spans="1:15" x14ac:dyDescent="0.2">
      <c r="A1140">
        <v>54</v>
      </c>
      <c r="B1140">
        <v>55</v>
      </c>
      <c r="C1140">
        <v>54</v>
      </c>
      <c r="D1140">
        <v>53</v>
      </c>
      <c r="E1140" t="s">
        <v>30</v>
      </c>
      <c r="F1140" t="s">
        <v>39</v>
      </c>
      <c r="G1140">
        <v>28</v>
      </c>
      <c r="H1140" t="s">
        <v>159</v>
      </c>
      <c r="I1140">
        <v>0.5</v>
      </c>
      <c r="J1140">
        <v>0.5</v>
      </c>
      <c r="K1140" t="s">
        <v>122</v>
      </c>
      <c r="L1140" t="s">
        <v>160</v>
      </c>
      <c r="M1140" t="s">
        <v>161</v>
      </c>
      <c r="N1140" t="s">
        <v>107</v>
      </c>
      <c r="O1140" t="s">
        <v>97</v>
      </c>
    </row>
    <row r="1141" spans="1:15" x14ac:dyDescent="0.2">
      <c r="A1141">
        <v>54</v>
      </c>
      <c r="B1141">
        <v>55</v>
      </c>
      <c r="C1141">
        <v>54</v>
      </c>
      <c r="D1141">
        <v>53</v>
      </c>
      <c r="E1141" t="s">
        <v>30</v>
      </c>
      <c r="F1141" t="s">
        <v>39</v>
      </c>
      <c r="G1141">
        <v>29</v>
      </c>
      <c r="H1141" t="s">
        <v>152</v>
      </c>
      <c r="I1141">
        <v>0</v>
      </c>
      <c r="J1141">
        <v>0</v>
      </c>
      <c r="K1141" t="s">
        <v>153</v>
      </c>
      <c r="L1141" t="s">
        <v>154</v>
      </c>
      <c r="M1141" t="s">
        <v>155</v>
      </c>
      <c r="N1141" t="s">
        <v>107</v>
      </c>
      <c r="O1141" t="s">
        <v>97</v>
      </c>
    </row>
    <row r="1142" spans="1:15" x14ac:dyDescent="0.2">
      <c r="A1142">
        <v>54</v>
      </c>
      <c r="B1142">
        <v>55</v>
      </c>
      <c r="C1142">
        <v>54</v>
      </c>
      <c r="D1142">
        <v>53</v>
      </c>
      <c r="E1142" t="s">
        <v>30</v>
      </c>
      <c r="F1142" t="s">
        <v>39</v>
      </c>
      <c r="G1142">
        <v>30</v>
      </c>
      <c r="H1142" t="s">
        <v>162</v>
      </c>
      <c r="I1142">
        <v>0</v>
      </c>
      <c r="J1142">
        <v>1</v>
      </c>
      <c r="K1142" t="s">
        <v>112</v>
      </c>
      <c r="L1142" t="s">
        <v>163</v>
      </c>
      <c r="M1142" t="s">
        <v>164</v>
      </c>
      <c r="N1142" t="s">
        <v>107</v>
      </c>
      <c r="O1142" t="s">
        <v>97</v>
      </c>
    </row>
    <row r="1143" spans="1:15" x14ac:dyDescent="0.2">
      <c r="A1143">
        <v>54</v>
      </c>
      <c r="B1143">
        <v>55</v>
      </c>
      <c r="C1143">
        <v>54</v>
      </c>
      <c r="D1143">
        <v>53</v>
      </c>
      <c r="E1143" t="s">
        <v>30</v>
      </c>
      <c r="F1143" t="s">
        <v>39</v>
      </c>
      <c r="G1143">
        <v>31</v>
      </c>
      <c r="H1143" t="s">
        <v>162</v>
      </c>
      <c r="I1143">
        <v>0</v>
      </c>
      <c r="J1143">
        <v>0</v>
      </c>
      <c r="K1143" t="s">
        <v>112</v>
      </c>
      <c r="L1143" t="s">
        <v>163</v>
      </c>
      <c r="M1143" t="s">
        <v>164</v>
      </c>
      <c r="N1143" t="s">
        <v>107</v>
      </c>
      <c r="O1143" t="s">
        <v>97</v>
      </c>
    </row>
    <row r="1144" spans="1:15" x14ac:dyDescent="0.2">
      <c r="A1144">
        <v>54</v>
      </c>
      <c r="B1144">
        <v>55</v>
      </c>
      <c r="C1144">
        <v>54</v>
      </c>
      <c r="D1144">
        <v>53</v>
      </c>
      <c r="E1144" t="s">
        <v>30</v>
      </c>
      <c r="F1144" t="s">
        <v>39</v>
      </c>
      <c r="G1144">
        <v>32</v>
      </c>
      <c r="H1144" t="s">
        <v>162</v>
      </c>
      <c r="I1144">
        <v>0</v>
      </c>
      <c r="J1144">
        <v>0</v>
      </c>
      <c r="K1144" t="s">
        <v>112</v>
      </c>
      <c r="L1144" t="s">
        <v>163</v>
      </c>
      <c r="M1144" t="s">
        <v>164</v>
      </c>
      <c r="N1144" t="s">
        <v>107</v>
      </c>
      <c r="O1144" t="s">
        <v>97</v>
      </c>
    </row>
    <row r="1145" spans="1:15" x14ac:dyDescent="0.2">
      <c r="A1145">
        <v>54</v>
      </c>
      <c r="B1145">
        <v>55</v>
      </c>
      <c r="C1145">
        <v>54</v>
      </c>
      <c r="D1145">
        <v>53</v>
      </c>
      <c r="E1145" t="s">
        <v>30</v>
      </c>
      <c r="F1145" t="s">
        <v>39</v>
      </c>
      <c r="G1145">
        <v>33</v>
      </c>
      <c r="H1145" t="s">
        <v>152</v>
      </c>
      <c r="I1145">
        <v>0</v>
      </c>
      <c r="J1145">
        <v>1</v>
      </c>
      <c r="K1145" t="s">
        <v>153</v>
      </c>
      <c r="L1145" t="s">
        <v>154</v>
      </c>
      <c r="M1145" t="s">
        <v>155</v>
      </c>
      <c r="N1145" t="s">
        <v>107</v>
      </c>
      <c r="O1145" t="s">
        <v>97</v>
      </c>
    </row>
    <row r="1146" spans="1:15" x14ac:dyDescent="0.2">
      <c r="A1146">
        <v>54</v>
      </c>
      <c r="B1146">
        <v>55</v>
      </c>
      <c r="C1146">
        <v>54</v>
      </c>
      <c r="D1146">
        <v>53</v>
      </c>
      <c r="E1146" t="s">
        <v>30</v>
      </c>
      <c r="F1146" t="s">
        <v>39</v>
      </c>
      <c r="G1146">
        <v>34</v>
      </c>
      <c r="H1146" t="s">
        <v>152</v>
      </c>
      <c r="I1146">
        <v>0</v>
      </c>
      <c r="J1146">
        <v>0</v>
      </c>
      <c r="K1146" t="s">
        <v>153</v>
      </c>
      <c r="L1146" t="s">
        <v>154</v>
      </c>
      <c r="M1146" t="s">
        <v>155</v>
      </c>
      <c r="N1146" t="s">
        <v>107</v>
      </c>
      <c r="O1146" t="s">
        <v>97</v>
      </c>
    </row>
    <row r="1147" spans="1:15" x14ac:dyDescent="0.2">
      <c r="A1147">
        <v>54</v>
      </c>
      <c r="B1147">
        <v>55</v>
      </c>
      <c r="C1147">
        <v>54</v>
      </c>
      <c r="D1147">
        <v>53</v>
      </c>
      <c r="E1147" t="s">
        <v>30</v>
      </c>
      <c r="F1147" t="s">
        <v>39</v>
      </c>
      <c r="G1147">
        <v>35</v>
      </c>
      <c r="H1147" t="s">
        <v>165</v>
      </c>
      <c r="I1147">
        <v>0</v>
      </c>
      <c r="J1147">
        <v>1</v>
      </c>
      <c r="K1147" t="s">
        <v>166</v>
      </c>
      <c r="L1147" t="s">
        <v>167</v>
      </c>
      <c r="M1147" t="s">
        <v>168</v>
      </c>
      <c r="N1147" t="s">
        <v>107</v>
      </c>
      <c r="O1147" t="s">
        <v>97</v>
      </c>
    </row>
    <row r="1148" spans="1:15" x14ac:dyDescent="0.2">
      <c r="A1148">
        <v>54</v>
      </c>
      <c r="B1148">
        <v>55</v>
      </c>
      <c r="C1148">
        <v>54</v>
      </c>
      <c r="D1148">
        <v>53</v>
      </c>
      <c r="E1148" t="s">
        <v>30</v>
      </c>
      <c r="F1148" t="s">
        <v>39</v>
      </c>
      <c r="G1148">
        <v>36</v>
      </c>
      <c r="H1148" t="s">
        <v>169</v>
      </c>
      <c r="I1148">
        <v>0</v>
      </c>
      <c r="J1148">
        <v>0</v>
      </c>
      <c r="K1148" t="e">
        <v>#N/A</v>
      </c>
      <c r="L1148" t="e">
        <v>#N/A</v>
      </c>
      <c r="M1148" t="e">
        <v>#N/A</v>
      </c>
      <c r="N1148" t="e">
        <v>#N/A</v>
      </c>
      <c r="O1148" t="s">
        <v>97</v>
      </c>
    </row>
    <row r="1149" spans="1:15" x14ac:dyDescent="0.2">
      <c r="A1149">
        <v>54</v>
      </c>
      <c r="B1149">
        <v>55</v>
      </c>
      <c r="C1149">
        <v>54</v>
      </c>
      <c r="D1149">
        <v>53</v>
      </c>
      <c r="E1149" t="s">
        <v>30</v>
      </c>
      <c r="F1149" t="s">
        <v>39</v>
      </c>
      <c r="G1149">
        <v>38</v>
      </c>
      <c r="H1149" t="s">
        <v>170</v>
      </c>
      <c r="I1149">
        <v>0</v>
      </c>
      <c r="J1149">
        <v>0.5</v>
      </c>
      <c r="K1149" t="s">
        <v>112</v>
      </c>
      <c r="L1149" t="s">
        <v>171</v>
      </c>
      <c r="M1149" t="s">
        <v>172</v>
      </c>
      <c r="N1149" t="s">
        <v>96</v>
      </c>
      <c r="O1149" t="s">
        <v>97</v>
      </c>
    </row>
    <row r="1150" spans="1:15" x14ac:dyDescent="0.2">
      <c r="A1150">
        <v>54</v>
      </c>
      <c r="B1150">
        <v>55</v>
      </c>
      <c r="C1150">
        <v>54</v>
      </c>
      <c r="D1150">
        <v>53</v>
      </c>
      <c r="E1150" t="s">
        <v>30</v>
      </c>
      <c r="F1150" t="s">
        <v>39</v>
      </c>
      <c r="G1150">
        <v>39</v>
      </c>
      <c r="H1150" t="s">
        <v>170</v>
      </c>
      <c r="I1150">
        <v>0</v>
      </c>
      <c r="J1150">
        <v>0.5</v>
      </c>
      <c r="K1150" t="s">
        <v>112</v>
      </c>
      <c r="L1150" t="s">
        <v>171</v>
      </c>
      <c r="M1150" t="s">
        <v>172</v>
      </c>
      <c r="N1150" t="s">
        <v>96</v>
      </c>
      <c r="O1150" t="s">
        <v>97</v>
      </c>
    </row>
    <row r="1151" spans="1:15" x14ac:dyDescent="0.2">
      <c r="A1151">
        <v>54</v>
      </c>
      <c r="B1151">
        <v>55</v>
      </c>
      <c r="C1151">
        <v>54</v>
      </c>
      <c r="D1151">
        <v>53</v>
      </c>
      <c r="E1151" t="s">
        <v>30</v>
      </c>
      <c r="F1151" t="s">
        <v>39</v>
      </c>
      <c r="G1151">
        <v>40</v>
      </c>
      <c r="H1151" t="s">
        <v>170</v>
      </c>
      <c r="I1151">
        <v>0</v>
      </c>
      <c r="J1151">
        <v>0.5</v>
      </c>
      <c r="K1151" t="s">
        <v>112</v>
      </c>
      <c r="L1151" t="s">
        <v>171</v>
      </c>
      <c r="M1151" t="s">
        <v>172</v>
      </c>
      <c r="N1151" t="s">
        <v>96</v>
      </c>
      <c r="O1151" t="s">
        <v>97</v>
      </c>
    </row>
    <row r="1152" spans="1:15" x14ac:dyDescent="0.2">
      <c r="A1152">
        <v>54</v>
      </c>
      <c r="B1152">
        <v>55</v>
      </c>
      <c r="C1152">
        <v>54</v>
      </c>
      <c r="D1152">
        <v>53</v>
      </c>
      <c r="E1152" t="s">
        <v>30</v>
      </c>
      <c r="F1152" t="s">
        <v>39</v>
      </c>
      <c r="G1152">
        <v>41</v>
      </c>
      <c r="H1152" t="s">
        <v>173</v>
      </c>
      <c r="I1152">
        <v>0</v>
      </c>
      <c r="J1152">
        <v>0</v>
      </c>
      <c r="K1152" t="s">
        <v>166</v>
      </c>
      <c r="L1152" t="s">
        <v>174</v>
      </c>
      <c r="M1152" t="s">
        <v>175</v>
      </c>
      <c r="N1152" t="s">
        <v>107</v>
      </c>
      <c r="O1152" t="s">
        <v>97</v>
      </c>
    </row>
    <row r="1153" spans="1:15" x14ac:dyDescent="0.2">
      <c r="A1153">
        <v>54</v>
      </c>
      <c r="B1153">
        <v>55</v>
      </c>
      <c r="C1153">
        <v>54</v>
      </c>
      <c r="D1153">
        <v>53</v>
      </c>
      <c r="E1153" t="s">
        <v>30</v>
      </c>
      <c r="F1153" t="s">
        <v>39</v>
      </c>
      <c r="G1153">
        <v>42</v>
      </c>
      <c r="H1153" t="s">
        <v>176</v>
      </c>
      <c r="I1153">
        <v>0</v>
      </c>
      <c r="J1153" t="s">
        <v>198</v>
      </c>
      <c r="K1153" t="s">
        <v>153</v>
      </c>
      <c r="L1153" t="s">
        <v>177</v>
      </c>
      <c r="M1153" t="s">
        <v>178</v>
      </c>
      <c r="N1153" t="s">
        <v>107</v>
      </c>
      <c r="O1153" t="s">
        <v>97</v>
      </c>
    </row>
    <row r="1154" spans="1:15" x14ac:dyDescent="0.2">
      <c r="A1154">
        <v>54</v>
      </c>
      <c r="B1154">
        <v>55</v>
      </c>
      <c r="C1154">
        <v>54</v>
      </c>
      <c r="D1154">
        <v>53</v>
      </c>
      <c r="E1154" t="s">
        <v>30</v>
      </c>
      <c r="F1154" t="s">
        <v>39</v>
      </c>
      <c r="G1154">
        <v>43</v>
      </c>
      <c r="H1154" t="s">
        <v>179</v>
      </c>
      <c r="I1154">
        <v>0</v>
      </c>
      <c r="J1154">
        <v>0</v>
      </c>
      <c r="K1154" t="s">
        <v>166</v>
      </c>
      <c r="L1154" t="s">
        <v>180</v>
      </c>
      <c r="M1154" t="s">
        <v>181</v>
      </c>
      <c r="N1154" t="s">
        <v>107</v>
      </c>
      <c r="O1154" t="s">
        <v>97</v>
      </c>
    </row>
    <row r="1155" spans="1:15" x14ac:dyDescent="0.2">
      <c r="A1155">
        <v>54</v>
      </c>
      <c r="B1155">
        <v>55</v>
      </c>
      <c r="C1155">
        <v>54</v>
      </c>
      <c r="D1155">
        <v>53</v>
      </c>
      <c r="E1155" t="s">
        <v>30</v>
      </c>
      <c r="F1155" t="s">
        <v>39</v>
      </c>
      <c r="G1155">
        <v>44</v>
      </c>
      <c r="H1155" t="s">
        <v>182</v>
      </c>
      <c r="I1155">
        <v>0</v>
      </c>
      <c r="J1155">
        <v>1</v>
      </c>
      <c r="K1155" t="s">
        <v>166</v>
      </c>
      <c r="L1155" t="s">
        <v>183</v>
      </c>
      <c r="M1155" t="s">
        <v>184</v>
      </c>
      <c r="N1155" t="s">
        <v>107</v>
      </c>
      <c r="O1155" t="s">
        <v>97</v>
      </c>
    </row>
    <row r="1156" spans="1:15" x14ac:dyDescent="0.2">
      <c r="A1156">
        <v>54</v>
      </c>
      <c r="B1156">
        <v>55</v>
      </c>
      <c r="C1156">
        <v>54</v>
      </c>
      <c r="D1156">
        <v>53</v>
      </c>
      <c r="E1156" t="s">
        <v>30</v>
      </c>
      <c r="F1156" t="s">
        <v>39</v>
      </c>
      <c r="G1156">
        <v>45</v>
      </c>
      <c r="H1156" t="s">
        <v>185</v>
      </c>
      <c r="I1156">
        <v>0</v>
      </c>
      <c r="J1156">
        <v>1</v>
      </c>
      <c r="K1156" t="s">
        <v>166</v>
      </c>
      <c r="L1156" t="s">
        <v>186</v>
      </c>
      <c r="M1156" t="s">
        <v>139</v>
      </c>
      <c r="N1156" t="s">
        <v>107</v>
      </c>
      <c r="O1156" t="s">
        <v>97</v>
      </c>
    </row>
    <row r="1157" spans="1:15" x14ac:dyDescent="0.2">
      <c r="A1157">
        <v>54</v>
      </c>
      <c r="B1157">
        <v>55</v>
      </c>
      <c r="C1157">
        <v>54</v>
      </c>
      <c r="D1157">
        <v>53</v>
      </c>
      <c r="E1157" t="s">
        <v>30</v>
      </c>
      <c r="F1157" t="s">
        <v>39</v>
      </c>
      <c r="G1157">
        <v>47</v>
      </c>
      <c r="H1157" t="s">
        <v>187</v>
      </c>
      <c r="I1157">
        <v>0.2</v>
      </c>
      <c r="J1157">
        <v>0.2</v>
      </c>
      <c r="K1157" t="s">
        <v>93</v>
      </c>
      <c r="L1157" t="s">
        <v>188</v>
      </c>
      <c r="M1157" t="s">
        <v>95</v>
      </c>
      <c r="N1157" t="s">
        <v>96</v>
      </c>
      <c r="O1157" t="s">
        <v>97</v>
      </c>
    </row>
    <row r="1158" spans="1:15" x14ac:dyDescent="0.2">
      <c r="A1158">
        <v>54</v>
      </c>
      <c r="B1158">
        <v>55</v>
      </c>
      <c r="C1158">
        <v>54</v>
      </c>
      <c r="D1158">
        <v>53</v>
      </c>
      <c r="E1158" t="s">
        <v>30</v>
      </c>
      <c r="F1158" t="s">
        <v>39</v>
      </c>
      <c r="G1158">
        <v>48</v>
      </c>
      <c r="H1158" t="s">
        <v>189</v>
      </c>
      <c r="I1158">
        <v>0.2</v>
      </c>
      <c r="J1158">
        <v>0.2</v>
      </c>
      <c r="K1158" t="s">
        <v>93</v>
      </c>
      <c r="L1158" t="s">
        <v>190</v>
      </c>
      <c r="M1158" t="s">
        <v>95</v>
      </c>
      <c r="N1158" t="s">
        <v>96</v>
      </c>
      <c r="O1158" t="s">
        <v>97</v>
      </c>
    </row>
    <row r="1159" spans="1:15" x14ac:dyDescent="0.2">
      <c r="A1159">
        <v>54</v>
      </c>
      <c r="B1159">
        <v>55</v>
      </c>
      <c r="C1159">
        <v>54</v>
      </c>
      <c r="D1159">
        <v>53</v>
      </c>
      <c r="E1159" t="s">
        <v>30</v>
      </c>
      <c r="F1159" t="s">
        <v>39</v>
      </c>
      <c r="G1159">
        <v>49</v>
      </c>
      <c r="H1159" t="s">
        <v>191</v>
      </c>
      <c r="I1159">
        <v>0.2</v>
      </c>
      <c r="J1159">
        <v>0.2</v>
      </c>
      <c r="K1159" t="s">
        <v>93</v>
      </c>
      <c r="L1159" t="s">
        <v>192</v>
      </c>
      <c r="M1159" t="s">
        <v>95</v>
      </c>
      <c r="N1159" t="s">
        <v>96</v>
      </c>
      <c r="O1159" t="s">
        <v>97</v>
      </c>
    </row>
    <row r="1160" spans="1:15" x14ac:dyDescent="0.2">
      <c r="A1160">
        <v>54</v>
      </c>
      <c r="B1160">
        <v>55</v>
      </c>
      <c r="C1160">
        <v>54</v>
      </c>
      <c r="D1160">
        <v>53</v>
      </c>
      <c r="E1160" t="s">
        <v>30</v>
      </c>
      <c r="F1160" t="s">
        <v>39</v>
      </c>
      <c r="G1160">
        <v>50</v>
      </c>
      <c r="H1160" t="s">
        <v>193</v>
      </c>
      <c r="I1160">
        <v>0.1</v>
      </c>
      <c r="J1160">
        <v>0.1</v>
      </c>
      <c r="K1160" t="s">
        <v>93</v>
      </c>
      <c r="L1160" t="s">
        <v>194</v>
      </c>
      <c r="M1160" t="s">
        <v>95</v>
      </c>
      <c r="N1160" t="s">
        <v>96</v>
      </c>
      <c r="O1160" t="s">
        <v>97</v>
      </c>
    </row>
    <row r="1161" spans="1:15" x14ac:dyDescent="0.2">
      <c r="A1161">
        <v>54</v>
      </c>
      <c r="B1161">
        <v>55</v>
      </c>
      <c r="C1161">
        <v>54</v>
      </c>
      <c r="D1161">
        <v>53</v>
      </c>
      <c r="E1161" t="s">
        <v>30</v>
      </c>
      <c r="F1161" t="s">
        <v>39</v>
      </c>
      <c r="G1161">
        <v>51</v>
      </c>
      <c r="H1161" t="s">
        <v>193</v>
      </c>
      <c r="I1161">
        <v>0.1</v>
      </c>
      <c r="J1161">
        <v>0.1</v>
      </c>
      <c r="K1161" t="s">
        <v>93</v>
      </c>
      <c r="L1161" t="s">
        <v>194</v>
      </c>
      <c r="M1161" t="s">
        <v>95</v>
      </c>
      <c r="N1161" t="s">
        <v>96</v>
      </c>
      <c r="O1161" t="s">
        <v>97</v>
      </c>
    </row>
    <row r="1162" spans="1:15" x14ac:dyDescent="0.2">
      <c r="A1162">
        <v>181</v>
      </c>
      <c r="B1162">
        <v>182</v>
      </c>
      <c r="C1162">
        <v>181</v>
      </c>
      <c r="D1162">
        <v>180</v>
      </c>
      <c r="E1162" t="s">
        <v>40</v>
      </c>
      <c r="F1162" t="s">
        <v>41</v>
      </c>
      <c r="G1162">
        <v>1</v>
      </c>
      <c r="H1162" t="s">
        <v>92</v>
      </c>
      <c r="I1162">
        <v>0.2</v>
      </c>
      <c r="J1162">
        <v>0.2</v>
      </c>
      <c r="K1162" t="s">
        <v>93</v>
      </c>
      <c r="L1162" t="s">
        <v>94</v>
      </c>
      <c r="M1162" t="s">
        <v>95</v>
      </c>
      <c r="N1162" t="s">
        <v>96</v>
      </c>
      <c r="O1162" t="s">
        <v>97</v>
      </c>
    </row>
    <row r="1163" spans="1:15" x14ac:dyDescent="0.2">
      <c r="A1163">
        <v>181</v>
      </c>
      <c r="B1163">
        <v>182</v>
      </c>
      <c r="C1163">
        <v>181</v>
      </c>
      <c r="D1163">
        <v>180</v>
      </c>
      <c r="E1163" t="s">
        <v>40</v>
      </c>
      <c r="F1163" t="s">
        <v>41</v>
      </c>
      <c r="G1163">
        <v>2</v>
      </c>
      <c r="H1163" t="s">
        <v>98</v>
      </c>
      <c r="I1163">
        <v>0.5</v>
      </c>
      <c r="J1163">
        <v>0.5</v>
      </c>
      <c r="K1163" t="s">
        <v>93</v>
      </c>
      <c r="L1163" t="s">
        <v>99</v>
      </c>
      <c r="M1163" t="s">
        <v>95</v>
      </c>
      <c r="N1163" t="s">
        <v>96</v>
      </c>
      <c r="O1163" t="s">
        <v>97</v>
      </c>
    </row>
    <row r="1164" spans="1:15" x14ac:dyDescent="0.2">
      <c r="A1164">
        <v>181</v>
      </c>
      <c r="B1164">
        <v>182</v>
      </c>
      <c r="C1164">
        <v>181</v>
      </c>
      <c r="D1164">
        <v>180</v>
      </c>
      <c r="E1164" t="s">
        <v>40</v>
      </c>
      <c r="F1164" t="s">
        <v>41</v>
      </c>
      <c r="G1164">
        <v>3</v>
      </c>
      <c r="H1164" t="s">
        <v>100</v>
      </c>
      <c r="I1164">
        <v>0</v>
      </c>
      <c r="J1164">
        <v>1</v>
      </c>
      <c r="K1164" t="s">
        <v>101</v>
      </c>
      <c r="L1164" t="s">
        <v>102</v>
      </c>
      <c r="M1164" t="s">
        <v>103</v>
      </c>
      <c r="N1164" t="s">
        <v>96</v>
      </c>
      <c r="O1164" t="s">
        <v>97</v>
      </c>
    </row>
    <row r="1165" spans="1:15" x14ac:dyDescent="0.2">
      <c r="A1165">
        <v>181</v>
      </c>
      <c r="B1165">
        <v>182</v>
      </c>
      <c r="C1165">
        <v>181</v>
      </c>
      <c r="D1165">
        <v>180</v>
      </c>
      <c r="E1165" t="s">
        <v>40</v>
      </c>
      <c r="F1165" t="s">
        <v>41</v>
      </c>
      <c r="G1165">
        <v>4</v>
      </c>
      <c r="H1165" t="s">
        <v>104</v>
      </c>
      <c r="I1165">
        <v>0.5</v>
      </c>
      <c r="J1165">
        <v>1</v>
      </c>
      <c r="K1165" t="s">
        <v>101</v>
      </c>
      <c r="L1165" t="s">
        <v>105</v>
      </c>
      <c r="M1165" t="s">
        <v>106</v>
      </c>
      <c r="N1165" t="s">
        <v>107</v>
      </c>
      <c r="O1165" t="s">
        <v>97</v>
      </c>
    </row>
    <row r="1166" spans="1:15" x14ac:dyDescent="0.2">
      <c r="A1166">
        <v>181</v>
      </c>
      <c r="B1166">
        <v>182</v>
      </c>
      <c r="C1166">
        <v>181</v>
      </c>
      <c r="D1166">
        <v>180</v>
      </c>
      <c r="E1166" t="s">
        <v>40</v>
      </c>
      <c r="F1166" t="s">
        <v>41</v>
      </c>
      <c r="G1166">
        <v>5</v>
      </c>
      <c r="H1166" t="s">
        <v>108</v>
      </c>
      <c r="I1166">
        <v>0.5</v>
      </c>
      <c r="J1166">
        <v>1</v>
      </c>
      <c r="K1166" t="s">
        <v>101</v>
      </c>
      <c r="L1166" t="s">
        <v>109</v>
      </c>
      <c r="M1166" t="s">
        <v>110</v>
      </c>
      <c r="N1166" t="s">
        <v>107</v>
      </c>
      <c r="O1166" t="s">
        <v>97</v>
      </c>
    </row>
    <row r="1167" spans="1:15" x14ac:dyDescent="0.2">
      <c r="A1167">
        <v>181</v>
      </c>
      <c r="B1167">
        <v>182</v>
      </c>
      <c r="C1167">
        <v>181</v>
      </c>
      <c r="D1167">
        <v>180</v>
      </c>
      <c r="E1167" t="s">
        <v>40</v>
      </c>
      <c r="F1167" t="s">
        <v>41</v>
      </c>
      <c r="G1167">
        <v>9</v>
      </c>
      <c r="H1167" t="s">
        <v>111</v>
      </c>
      <c r="I1167">
        <v>0.5</v>
      </c>
      <c r="J1167">
        <v>0.5</v>
      </c>
      <c r="K1167" t="s">
        <v>112</v>
      </c>
      <c r="L1167" t="s">
        <v>113</v>
      </c>
      <c r="M1167" t="s">
        <v>114</v>
      </c>
      <c r="N1167" t="s">
        <v>96</v>
      </c>
      <c r="O1167" t="s">
        <v>97</v>
      </c>
    </row>
    <row r="1168" spans="1:15" x14ac:dyDescent="0.2">
      <c r="A1168">
        <v>181</v>
      </c>
      <c r="B1168">
        <v>182</v>
      </c>
      <c r="C1168">
        <v>181</v>
      </c>
      <c r="D1168">
        <v>180</v>
      </c>
      <c r="E1168" t="s">
        <v>40</v>
      </c>
      <c r="F1168" t="s">
        <v>41</v>
      </c>
      <c r="G1168">
        <v>10</v>
      </c>
      <c r="H1168" t="s">
        <v>115</v>
      </c>
      <c r="I1168">
        <v>0</v>
      </c>
      <c r="J1168">
        <v>0.5</v>
      </c>
      <c r="K1168" t="s">
        <v>112</v>
      </c>
      <c r="L1168" t="s">
        <v>116</v>
      </c>
      <c r="M1168" t="s">
        <v>117</v>
      </c>
      <c r="N1168" t="s">
        <v>96</v>
      </c>
      <c r="O1168" t="s">
        <v>97</v>
      </c>
    </row>
    <row r="1169" spans="1:15" x14ac:dyDescent="0.2">
      <c r="A1169">
        <v>181</v>
      </c>
      <c r="B1169">
        <v>182</v>
      </c>
      <c r="C1169">
        <v>181</v>
      </c>
      <c r="D1169">
        <v>180</v>
      </c>
      <c r="E1169" t="s">
        <v>40</v>
      </c>
      <c r="F1169" t="s">
        <v>41</v>
      </c>
      <c r="G1169">
        <v>11</v>
      </c>
      <c r="H1169" t="s">
        <v>118</v>
      </c>
      <c r="I1169">
        <v>1</v>
      </c>
      <c r="J1169">
        <v>1</v>
      </c>
      <c r="K1169" t="s">
        <v>112</v>
      </c>
      <c r="L1169" t="s">
        <v>119</v>
      </c>
      <c r="M1169" t="s">
        <v>120</v>
      </c>
      <c r="N1169" t="s">
        <v>107</v>
      </c>
      <c r="O1169" t="s">
        <v>97</v>
      </c>
    </row>
    <row r="1170" spans="1:15" x14ac:dyDescent="0.2">
      <c r="A1170">
        <v>181</v>
      </c>
      <c r="B1170">
        <v>182</v>
      </c>
      <c r="C1170">
        <v>181</v>
      </c>
      <c r="D1170">
        <v>180</v>
      </c>
      <c r="E1170" t="s">
        <v>40</v>
      </c>
      <c r="F1170" t="s">
        <v>41</v>
      </c>
      <c r="G1170">
        <v>12</v>
      </c>
      <c r="H1170" t="s">
        <v>121</v>
      </c>
      <c r="I1170">
        <v>0</v>
      </c>
      <c r="J1170" t="s">
        <v>195</v>
      </c>
      <c r="K1170" t="s">
        <v>122</v>
      </c>
      <c r="L1170" t="s">
        <v>113</v>
      </c>
      <c r="M1170" t="s">
        <v>123</v>
      </c>
      <c r="N1170" t="s">
        <v>96</v>
      </c>
      <c r="O1170" t="s">
        <v>97</v>
      </c>
    </row>
    <row r="1171" spans="1:15" x14ac:dyDescent="0.2">
      <c r="A1171">
        <v>181</v>
      </c>
      <c r="B1171">
        <v>182</v>
      </c>
      <c r="C1171">
        <v>181</v>
      </c>
      <c r="D1171">
        <v>180</v>
      </c>
      <c r="E1171" t="s">
        <v>40</v>
      </c>
      <c r="F1171" t="s">
        <v>41</v>
      </c>
      <c r="G1171">
        <v>13</v>
      </c>
      <c r="H1171" t="s">
        <v>124</v>
      </c>
      <c r="I1171">
        <v>0</v>
      </c>
      <c r="J1171" t="s">
        <v>195</v>
      </c>
      <c r="K1171" t="s">
        <v>122</v>
      </c>
      <c r="L1171" t="s">
        <v>125</v>
      </c>
      <c r="M1171" t="s">
        <v>126</v>
      </c>
      <c r="N1171" t="s">
        <v>96</v>
      </c>
      <c r="O1171" t="s">
        <v>97</v>
      </c>
    </row>
    <row r="1172" spans="1:15" x14ac:dyDescent="0.2">
      <c r="A1172">
        <v>181</v>
      </c>
      <c r="B1172">
        <v>182</v>
      </c>
      <c r="C1172">
        <v>181</v>
      </c>
      <c r="D1172">
        <v>180</v>
      </c>
      <c r="E1172" t="s">
        <v>40</v>
      </c>
      <c r="F1172" t="s">
        <v>41</v>
      </c>
      <c r="G1172">
        <v>14</v>
      </c>
      <c r="H1172" t="s">
        <v>127</v>
      </c>
      <c r="I1172">
        <v>0.5</v>
      </c>
      <c r="J1172">
        <v>1</v>
      </c>
      <c r="K1172" t="s">
        <v>122</v>
      </c>
      <c r="L1172" t="s">
        <v>119</v>
      </c>
      <c r="M1172" t="s">
        <v>128</v>
      </c>
      <c r="N1172" t="s">
        <v>107</v>
      </c>
      <c r="O1172" t="s">
        <v>97</v>
      </c>
    </row>
    <row r="1173" spans="1:15" x14ac:dyDescent="0.2">
      <c r="A1173">
        <v>181</v>
      </c>
      <c r="B1173">
        <v>182</v>
      </c>
      <c r="C1173">
        <v>181</v>
      </c>
      <c r="D1173">
        <v>180</v>
      </c>
      <c r="E1173" t="s">
        <v>40</v>
      </c>
      <c r="F1173" t="s">
        <v>41</v>
      </c>
      <c r="G1173">
        <v>15</v>
      </c>
      <c r="H1173" t="s">
        <v>129</v>
      </c>
      <c r="I1173">
        <v>1</v>
      </c>
      <c r="J1173">
        <v>1</v>
      </c>
      <c r="K1173" t="s">
        <v>130</v>
      </c>
      <c r="L1173" t="s">
        <v>131</v>
      </c>
      <c r="M1173" t="s">
        <v>132</v>
      </c>
      <c r="N1173" t="s">
        <v>107</v>
      </c>
      <c r="O1173" t="s">
        <v>97</v>
      </c>
    </row>
    <row r="1174" spans="1:15" x14ac:dyDescent="0.2">
      <c r="A1174">
        <v>181</v>
      </c>
      <c r="B1174">
        <v>182</v>
      </c>
      <c r="C1174">
        <v>181</v>
      </c>
      <c r="D1174">
        <v>180</v>
      </c>
      <c r="E1174" t="s">
        <v>40</v>
      </c>
      <c r="F1174" t="s">
        <v>41</v>
      </c>
      <c r="G1174">
        <v>16</v>
      </c>
      <c r="H1174" t="s">
        <v>133</v>
      </c>
      <c r="I1174">
        <v>0</v>
      </c>
      <c r="J1174">
        <v>0</v>
      </c>
      <c r="K1174" t="e">
        <v>#N/A</v>
      </c>
      <c r="L1174" t="e">
        <v>#N/A</v>
      </c>
      <c r="M1174" t="e">
        <v>#N/A</v>
      </c>
      <c r="N1174" t="e">
        <v>#N/A</v>
      </c>
      <c r="O1174" t="s">
        <v>97</v>
      </c>
    </row>
    <row r="1175" spans="1:15" x14ac:dyDescent="0.2">
      <c r="A1175">
        <v>181</v>
      </c>
      <c r="B1175">
        <v>182</v>
      </c>
      <c r="C1175">
        <v>181</v>
      </c>
      <c r="D1175">
        <v>180</v>
      </c>
      <c r="E1175" t="s">
        <v>40</v>
      </c>
      <c r="F1175" t="s">
        <v>41</v>
      </c>
      <c r="G1175">
        <v>17</v>
      </c>
      <c r="H1175" t="s">
        <v>134</v>
      </c>
      <c r="I1175">
        <v>0.5</v>
      </c>
      <c r="J1175">
        <v>1</v>
      </c>
      <c r="K1175" t="s">
        <v>112</v>
      </c>
      <c r="L1175" t="s">
        <v>135</v>
      </c>
      <c r="M1175" t="s">
        <v>136</v>
      </c>
      <c r="N1175" t="s">
        <v>107</v>
      </c>
      <c r="O1175" t="s">
        <v>97</v>
      </c>
    </row>
    <row r="1176" spans="1:15" x14ac:dyDescent="0.2">
      <c r="A1176">
        <v>181</v>
      </c>
      <c r="B1176">
        <v>182</v>
      </c>
      <c r="C1176">
        <v>181</v>
      </c>
      <c r="D1176">
        <v>180</v>
      </c>
      <c r="E1176" t="s">
        <v>40</v>
      </c>
      <c r="F1176" t="s">
        <v>41</v>
      </c>
      <c r="G1176">
        <v>18</v>
      </c>
      <c r="H1176" t="s">
        <v>137</v>
      </c>
      <c r="I1176">
        <v>1</v>
      </c>
      <c r="J1176">
        <v>1</v>
      </c>
      <c r="K1176" t="s">
        <v>112</v>
      </c>
      <c r="L1176" t="s">
        <v>138</v>
      </c>
      <c r="M1176" t="s">
        <v>139</v>
      </c>
      <c r="N1176" t="s">
        <v>107</v>
      </c>
      <c r="O1176" t="s">
        <v>97</v>
      </c>
    </row>
    <row r="1177" spans="1:15" x14ac:dyDescent="0.2">
      <c r="A1177">
        <v>181</v>
      </c>
      <c r="B1177">
        <v>182</v>
      </c>
      <c r="C1177">
        <v>181</v>
      </c>
      <c r="D1177">
        <v>180</v>
      </c>
      <c r="E1177" t="s">
        <v>40</v>
      </c>
      <c r="F1177" t="s">
        <v>41</v>
      </c>
      <c r="G1177">
        <v>19</v>
      </c>
      <c r="H1177" t="s">
        <v>140</v>
      </c>
      <c r="I1177">
        <v>0.5</v>
      </c>
      <c r="J1177">
        <v>1</v>
      </c>
      <c r="K1177" t="s">
        <v>122</v>
      </c>
      <c r="L1177" t="s">
        <v>141</v>
      </c>
      <c r="M1177" t="s">
        <v>142</v>
      </c>
      <c r="N1177" t="s">
        <v>107</v>
      </c>
      <c r="O1177" t="s">
        <v>97</v>
      </c>
    </row>
    <row r="1178" spans="1:15" x14ac:dyDescent="0.2">
      <c r="A1178">
        <v>181</v>
      </c>
      <c r="B1178">
        <v>182</v>
      </c>
      <c r="C1178">
        <v>181</v>
      </c>
      <c r="D1178">
        <v>180</v>
      </c>
      <c r="E1178" t="s">
        <v>40</v>
      </c>
      <c r="F1178" t="s">
        <v>41</v>
      </c>
      <c r="G1178">
        <v>20</v>
      </c>
      <c r="H1178" t="s">
        <v>143</v>
      </c>
      <c r="I1178">
        <v>1</v>
      </c>
      <c r="J1178">
        <v>1</v>
      </c>
      <c r="K1178" t="s">
        <v>122</v>
      </c>
      <c r="L1178" t="s">
        <v>144</v>
      </c>
      <c r="M1178" t="s">
        <v>145</v>
      </c>
      <c r="N1178" t="s">
        <v>107</v>
      </c>
      <c r="O1178" t="s">
        <v>97</v>
      </c>
    </row>
    <row r="1179" spans="1:15" x14ac:dyDescent="0.2">
      <c r="A1179">
        <v>181</v>
      </c>
      <c r="B1179">
        <v>182</v>
      </c>
      <c r="C1179">
        <v>181</v>
      </c>
      <c r="D1179">
        <v>180</v>
      </c>
      <c r="E1179" t="s">
        <v>40</v>
      </c>
      <c r="F1179" t="s">
        <v>41</v>
      </c>
      <c r="G1179">
        <v>21</v>
      </c>
      <c r="H1179" t="s">
        <v>146</v>
      </c>
      <c r="I1179">
        <v>1</v>
      </c>
      <c r="J1179">
        <v>1</v>
      </c>
      <c r="K1179" t="s">
        <v>147</v>
      </c>
      <c r="L1179" t="s">
        <v>148</v>
      </c>
      <c r="M1179" t="s">
        <v>149</v>
      </c>
      <c r="N1179" t="s">
        <v>96</v>
      </c>
      <c r="O1179" t="s">
        <v>97</v>
      </c>
    </row>
    <row r="1180" spans="1:15" x14ac:dyDescent="0.2">
      <c r="A1180">
        <v>181</v>
      </c>
      <c r="B1180">
        <v>182</v>
      </c>
      <c r="C1180">
        <v>181</v>
      </c>
      <c r="D1180">
        <v>180</v>
      </c>
      <c r="E1180" t="s">
        <v>40</v>
      </c>
      <c r="F1180" t="s">
        <v>41</v>
      </c>
      <c r="G1180">
        <v>22</v>
      </c>
      <c r="H1180" t="s">
        <v>150</v>
      </c>
      <c r="I1180">
        <v>0</v>
      </c>
      <c r="J1180">
        <v>1</v>
      </c>
      <c r="K1180" t="s">
        <v>147</v>
      </c>
      <c r="L1180" t="s">
        <v>151</v>
      </c>
      <c r="M1180" t="s">
        <v>149</v>
      </c>
      <c r="N1180" t="s">
        <v>107</v>
      </c>
      <c r="O1180" t="s">
        <v>97</v>
      </c>
    </row>
    <row r="1181" spans="1:15" x14ac:dyDescent="0.2">
      <c r="A1181">
        <v>181</v>
      </c>
      <c r="B1181">
        <v>182</v>
      </c>
      <c r="C1181">
        <v>181</v>
      </c>
      <c r="D1181">
        <v>180</v>
      </c>
      <c r="E1181" t="s">
        <v>40</v>
      </c>
      <c r="F1181" t="s">
        <v>41</v>
      </c>
      <c r="G1181">
        <v>23</v>
      </c>
      <c r="H1181" t="s">
        <v>152</v>
      </c>
      <c r="I1181">
        <v>0</v>
      </c>
      <c r="J1181">
        <v>1</v>
      </c>
      <c r="K1181" t="s">
        <v>153</v>
      </c>
      <c r="L1181" t="s">
        <v>154</v>
      </c>
      <c r="M1181" t="s">
        <v>155</v>
      </c>
      <c r="N1181" t="s">
        <v>107</v>
      </c>
      <c r="O1181" t="s">
        <v>97</v>
      </c>
    </row>
    <row r="1182" spans="1:15" x14ac:dyDescent="0.2">
      <c r="A1182">
        <v>181</v>
      </c>
      <c r="B1182">
        <v>182</v>
      </c>
      <c r="C1182">
        <v>181</v>
      </c>
      <c r="D1182">
        <v>180</v>
      </c>
      <c r="E1182" t="s">
        <v>40</v>
      </c>
      <c r="F1182" t="s">
        <v>41</v>
      </c>
      <c r="G1182">
        <v>24</v>
      </c>
      <c r="H1182" t="s">
        <v>156</v>
      </c>
      <c r="I1182">
        <v>0.5</v>
      </c>
      <c r="J1182">
        <v>0.5</v>
      </c>
      <c r="K1182" t="s">
        <v>122</v>
      </c>
      <c r="L1182" t="s">
        <v>157</v>
      </c>
      <c r="M1182" t="s">
        <v>158</v>
      </c>
      <c r="N1182" t="s">
        <v>107</v>
      </c>
      <c r="O1182" t="s">
        <v>97</v>
      </c>
    </row>
    <row r="1183" spans="1:15" x14ac:dyDescent="0.2">
      <c r="A1183">
        <v>181</v>
      </c>
      <c r="B1183">
        <v>182</v>
      </c>
      <c r="C1183">
        <v>181</v>
      </c>
      <c r="D1183">
        <v>180</v>
      </c>
      <c r="E1183" t="s">
        <v>40</v>
      </c>
      <c r="F1183" t="s">
        <v>41</v>
      </c>
      <c r="G1183">
        <v>25</v>
      </c>
      <c r="H1183" t="s">
        <v>156</v>
      </c>
      <c r="I1183">
        <v>0</v>
      </c>
      <c r="J1183">
        <v>0.5</v>
      </c>
      <c r="K1183" t="s">
        <v>122</v>
      </c>
      <c r="L1183" t="s">
        <v>157</v>
      </c>
      <c r="M1183" t="s">
        <v>158</v>
      </c>
      <c r="N1183" t="s">
        <v>107</v>
      </c>
      <c r="O1183" t="s">
        <v>97</v>
      </c>
    </row>
    <row r="1184" spans="1:15" x14ac:dyDescent="0.2">
      <c r="A1184">
        <v>181</v>
      </c>
      <c r="B1184">
        <v>182</v>
      </c>
      <c r="C1184">
        <v>181</v>
      </c>
      <c r="D1184">
        <v>180</v>
      </c>
      <c r="E1184" t="s">
        <v>40</v>
      </c>
      <c r="F1184" t="s">
        <v>41</v>
      </c>
      <c r="G1184">
        <v>26</v>
      </c>
      <c r="H1184" t="s">
        <v>152</v>
      </c>
      <c r="I1184">
        <v>0</v>
      </c>
      <c r="J1184">
        <v>0</v>
      </c>
      <c r="K1184" t="s">
        <v>153</v>
      </c>
      <c r="L1184" t="s">
        <v>154</v>
      </c>
      <c r="M1184" t="s">
        <v>155</v>
      </c>
      <c r="N1184" t="s">
        <v>107</v>
      </c>
      <c r="O1184" t="s">
        <v>97</v>
      </c>
    </row>
    <row r="1185" spans="1:15" x14ac:dyDescent="0.2">
      <c r="A1185">
        <v>181</v>
      </c>
      <c r="B1185">
        <v>182</v>
      </c>
      <c r="C1185">
        <v>181</v>
      </c>
      <c r="D1185">
        <v>180</v>
      </c>
      <c r="E1185" t="s">
        <v>40</v>
      </c>
      <c r="F1185" t="s">
        <v>41</v>
      </c>
      <c r="G1185">
        <v>27</v>
      </c>
      <c r="H1185" t="s">
        <v>159</v>
      </c>
      <c r="I1185">
        <v>0</v>
      </c>
      <c r="J1185" t="s">
        <v>195</v>
      </c>
      <c r="K1185" t="s">
        <v>122</v>
      </c>
      <c r="L1185" t="s">
        <v>160</v>
      </c>
      <c r="M1185" t="s">
        <v>161</v>
      </c>
      <c r="N1185" t="s">
        <v>107</v>
      </c>
      <c r="O1185" t="s">
        <v>97</v>
      </c>
    </row>
    <row r="1186" spans="1:15" x14ac:dyDescent="0.2">
      <c r="A1186">
        <v>181</v>
      </c>
      <c r="B1186">
        <v>182</v>
      </c>
      <c r="C1186">
        <v>181</v>
      </c>
      <c r="D1186">
        <v>180</v>
      </c>
      <c r="E1186" t="s">
        <v>40</v>
      </c>
      <c r="F1186" t="s">
        <v>41</v>
      </c>
      <c r="G1186">
        <v>28</v>
      </c>
      <c r="H1186" t="s">
        <v>159</v>
      </c>
      <c r="I1186">
        <v>0</v>
      </c>
      <c r="J1186" t="s">
        <v>195</v>
      </c>
      <c r="K1186" t="s">
        <v>122</v>
      </c>
      <c r="L1186" t="s">
        <v>160</v>
      </c>
      <c r="M1186" t="s">
        <v>161</v>
      </c>
      <c r="N1186" t="s">
        <v>107</v>
      </c>
      <c r="O1186" t="s">
        <v>97</v>
      </c>
    </row>
    <row r="1187" spans="1:15" x14ac:dyDescent="0.2">
      <c r="A1187">
        <v>181</v>
      </c>
      <c r="B1187">
        <v>182</v>
      </c>
      <c r="C1187">
        <v>181</v>
      </c>
      <c r="D1187">
        <v>180</v>
      </c>
      <c r="E1187" t="s">
        <v>40</v>
      </c>
      <c r="F1187" t="s">
        <v>41</v>
      </c>
      <c r="G1187">
        <v>29</v>
      </c>
      <c r="H1187" t="s">
        <v>152</v>
      </c>
      <c r="I1187">
        <v>0</v>
      </c>
      <c r="J1187">
        <v>0</v>
      </c>
      <c r="K1187" t="s">
        <v>153</v>
      </c>
      <c r="L1187" t="s">
        <v>154</v>
      </c>
      <c r="M1187" t="s">
        <v>155</v>
      </c>
      <c r="N1187" t="s">
        <v>107</v>
      </c>
      <c r="O1187" t="s">
        <v>97</v>
      </c>
    </row>
    <row r="1188" spans="1:15" x14ac:dyDescent="0.2">
      <c r="A1188">
        <v>181</v>
      </c>
      <c r="B1188">
        <v>182</v>
      </c>
      <c r="C1188">
        <v>181</v>
      </c>
      <c r="D1188">
        <v>180</v>
      </c>
      <c r="E1188" t="s">
        <v>40</v>
      </c>
      <c r="F1188" t="s">
        <v>41</v>
      </c>
      <c r="G1188">
        <v>30</v>
      </c>
      <c r="H1188" t="s">
        <v>162</v>
      </c>
      <c r="I1188">
        <v>0.5</v>
      </c>
      <c r="J1188">
        <v>1</v>
      </c>
      <c r="K1188" t="s">
        <v>112</v>
      </c>
      <c r="L1188" t="s">
        <v>163</v>
      </c>
      <c r="M1188" t="s">
        <v>164</v>
      </c>
      <c r="N1188" t="s">
        <v>107</v>
      </c>
      <c r="O1188" t="s">
        <v>97</v>
      </c>
    </row>
    <row r="1189" spans="1:15" x14ac:dyDescent="0.2">
      <c r="A1189">
        <v>181</v>
      </c>
      <c r="B1189">
        <v>182</v>
      </c>
      <c r="C1189">
        <v>181</v>
      </c>
      <c r="D1189">
        <v>180</v>
      </c>
      <c r="E1189" t="s">
        <v>40</v>
      </c>
      <c r="F1189" t="s">
        <v>41</v>
      </c>
      <c r="G1189">
        <v>31</v>
      </c>
      <c r="H1189" t="s">
        <v>162</v>
      </c>
      <c r="I1189">
        <v>0</v>
      </c>
      <c r="J1189">
        <v>0</v>
      </c>
      <c r="K1189" t="s">
        <v>112</v>
      </c>
      <c r="L1189" t="s">
        <v>163</v>
      </c>
      <c r="M1189" t="s">
        <v>164</v>
      </c>
      <c r="N1189" t="s">
        <v>107</v>
      </c>
      <c r="O1189" t="s">
        <v>97</v>
      </c>
    </row>
    <row r="1190" spans="1:15" x14ac:dyDescent="0.2">
      <c r="A1190">
        <v>181</v>
      </c>
      <c r="B1190">
        <v>182</v>
      </c>
      <c r="C1190">
        <v>181</v>
      </c>
      <c r="D1190">
        <v>180</v>
      </c>
      <c r="E1190" t="s">
        <v>40</v>
      </c>
      <c r="F1190" t="s">
        <v>41</v>
      </c>
      <c r="G1190">
        <v>32</v>
      </c>
      <c r="H1190" t="s">
        <v>162</v>
      </c>
      <c r="I1190">
        <v>0</v>
      </c>
      <c r="J1190">
        <v>0</v>
      </c>
      <c r="K1190" t="s">
        <v>112</v>
      </c>
      <c r="L1190" t="s">
        <v>163</v>
      </c>
      <c r="M1190" t="s">
        <v>164</v>
      </c>
      <c r="N1190" t="s">
        <v>107</v>
      </c>
      <c r="O1190" t="s">
        <v>97</v>
      </c>
    </row>
    <row r="1191" spans="1:15" x14ac:dyDescent="0.2">
      <c r="A1191">
        <v>181</v>
      </c>
      <c r="B1191">
        <v>182</v>
      </c>
      <c r="C1191">
        <v>181</v>
      </c>
      <c r="D1191">
        <v>180</v>
      </c>
      <c r="E1191" t="s">
        <v>40</v>
      </c>
      <c r="F1191" t="s">
        <v>41</v>
      </c>
      <c r="G1191">
        <v>33</v>
      </c>
      <c r="H1191" t="s">
        <v>152</v>
      </c>
      <c r="I1191">
        <v>1</v>
      </c>
      <c r="J1191">
        <v>1</v>
      </c>
      <c r="K1191" t="s">
        <v>153</v>
      </c>
      <c r="L1191" t="s">
        <v>154</v>
      </c>
      <c r="M1191" t="s">
        <v>155</v>
      </c>
      <c r="N1191" t="s">
        <v>107</v>
      </c>
      <c r="O1191" t="s">
        <v>97</v>
      </c>
    </row>
    <row r="1192" spans="1:15" x14ac:dyDescent="0.2">
      <c r="A1192">
        <v>181</v>
      </c>
      <c r="B1192">
        <v>182</v>
      </c>
      <c r="C1192">
        <v>181</v>
      </c>
      <c r="D1192">
        <v>180</v>
      </c>
      <c r="E1192" t="s">
        <v>40</v>
      </c>
      <c r="F1192" t="s">
        <v>41</v>
      </c>
      <c r="G1192">
        <v>34</v>
      </c>
      <c r="H1192" t="s">
        <v>152</v>
      </c>
      <c r="I1192">
        <v>0</v>
      </c>
      <c r="J1192">
        <v>0</v>
      </c>
      <c r="K1192" t="s">
        <v>153</v>
      </c>
      <c r="L1192" t="s">
        <v>154</v>
      </c>
      <c r="M1192" t="s">
        <v>155</v>
      </c>
      <c r="N1192" t="s">
        <v>107</v>
      </c>
      <c r="O1192" t="s">
        <v>97</v>
      </c>
    </row>
    <row r="1193" spans="1:15" x14ac:dyDescent="0.2">
      <c r="A1193">
        <v>181</v>
      </c>
      <c r="B1193">
        <v>182</v>
      </c>
      <c r="C1193">
        <v>181</v>
      </c>
      <c r="D1193">
        <v>180</v>
      </c>
      <c r="E1193" t="s">
        <v>40</v>
      </c>
      <c r="F1193" t="s">
        <v>41</v>
      </c>
      <c r="G1193">
        <v>35</v>
      </c>
      <c r="H1193" t="s">
        <v>165</v>
      </c>
      <c r="I1193">
        <v>1</v>
      </c>
      <c r="J1193">
        <v>1</v>
      </c>
      <c r="K1193" t="s">
        <v>166</v>
      </c>
      <c r="L1193" t="s">
        <v>167</v>
      </c>
      <c r="M1193" t="s">
        <v>168</v>
      </c>
      <c r="N1193" t="s">
        <v>107</v>
      </c>
      <c r="O1193" t="s">
        <v>97</v>
      </c>
    </row>
    <row r="1194" spans="1:15" x14ac:dyDescent="0.2">
      <c r="A1194">
        <v>181</v>
      </c>
      <c r="B1194">
        <v>182</v>
      </c>
      <c r="C1194">
        <v>181</v>
      </c>
      <c r="D1194">
        <v>180</v>
      </c>
      <c r="E1194" t="s">
        <v>40</v>
      </c>
      <c r="F1194" t="s">
        <v>41</v>
      </c>
      <c r="G1194">
        <v>36</v>
      </c>
      <c r="H1194" t="s">
        <v>169</v>
      </c>
      <c r="I1194">
        <v>0</v>
      </c>
      <c r="J1194">
        <v>0</v>
      </c>
      <c r="K1194" t="e">
        <v>#N/A</v>
      </c>
      <c r="L1194" t="e">
        <v>#N/A</v>
      </c>
      <c r="M1194" t="e">
        <v>#N/A</v>
      </c>
      <c r="N1194" t="e">
        <v>#N/A</v>
      </c>
      <c r="O1194" t="s">
        <v>97</v>
      </c>
    </row>
    <row r="1195" spans="1:15" x14ac:dyDescent="0.2">
      <c r="A1195">
        <v>181</v>
      </c>
      <c r="B1195">
        <v>182</v>
      </c>
      <c r="C1195">
        <v>181</v>
      </c>
      <c r="D1195">
        <v>180</v>
      </c>
      <c r="E1195" t="s">
        <v>40</v>
      </c>
      <c r="F1195" t="s">
        <v>41</v>
      </c>
      <c r="G1195">
        <v>38</v>
      </c>
      <c r="H1195" t="s">
        <v>170</v>
      </c>
      <c r="I1195">
        <v>0.5</v>
      </c>
      <c r="J1195">
        <v>0.5</v>
      </c>
      <c r="K1195" t="s">
        <v>112</v>
      </c>
      <c r="L1195" t="s">
        <v>171</v>
      </c>
      <c r="M1195" t="s">
        <v>172</v>
      </c>
      <c r="N1195" t="s">
        <v>96</v>
      </c>
      <c r="O1195" t="s">
        <v>97</v>
      </c>
    </row>
    <row r="1196" spans="1:15" x14ac:dyDescent="0.2">
      <c r="A1196">
        <v>181</v>
      </c>
      <c r="B1196">
        <v>182</v>
      </c>
      <c r="C1196">
        <v>181</v>
      </c>
      <c r="D1196">
        <v>180</v>
      </c>
      <c r="E1196" t="s">
        <v>40</v>
      </c>
      <c r="F1196" t="s">
        <v>41</v>
      </c>
      <c r="G1196">
        <v>39</v>
      </c>
      <c r="H1196" t="s">
        <v>170</v>
      </c>
      <c r="I1196">
        <v>0.5</v>
      </c>
      <c r="J1196">
        <v>0.5</v>
      </c>
      <c r="K1196" t="s">
        <v>112</v>
      </c>
      <c r="L1196" t="s">
        <v>171</v>
      </c>
      <c r="M1196" t="s">
        <v>172</v>
      </c>
      <c r="N1196" t="s">
        <v>96</v>
      </c>
      <c r="O1196" t="s">
        <v>97</v>
      </c>
    </row>
    <row r="1197" spans="1:15" x14ac:dyDescent="0.2">
      <c r="A1197">
        <v>181</v>
      </c>
      <c r="B1197">
        <v>182</v>
      </c>
      <c r="C1197">
        <v>181</v>
      </c>
      <c r="D1197">
        <v>180</v>
      </c>
      <c r="E1197" t="s">
        <v>40</v>
      </c>
      <c r="F1197" t="s">
        <v>41</v>
      </c>
      <c r="G1197">
        <v>40</v>
      </c>
      <c r="H1197" t="s">
        <v>170</v>
      </c>
      <c r="I1197">
        <v>0</v>
      </c>
      <c r="J1197">
        <v>0.5</v>
      </c>
      <c r="K1197" t="s">
        <v>112</v>
      </c>
      <c r="L1197" t="s">
        <v>171</v>
      </c>
      <c r="M1197" t="s">
        <v>172</v>
      </c>
      <c r="N1197" t="s">
        <v>96</v>
      </c>
      <c r="O1197" t="s">
        <v>97</v>
      </c>
    </row>
    <row r="1198" spans="1:15" x14ac:dyDescent="0.2">
      <c r="A1198">
        <v>181</v>
      </c>
      <c r="B1198">
        <v>182</v>
      </c>
      <c r="C1198">
        <v>181</v>
      </c>
      <c r="D1198">
        <v>180</v>
      </c>
      <c r="E1198" t="s">
        <v>40</v>
      </c>
      <c r="F1198" t="s">
        <v>41</v>
      </c>
      <c r="G1198">
        <v>41</v>
      </c>
      <c r="H1198" t="s">
        <v>173</v>
      </c>
      <c r="I1198">
        <v>1</v>
      </c>
      <c r="J1198">
        <v>1</v>
      </c>
      <c r="K1198" t="s">
        <v>166</v>
      </c>
      <c r="L1198" t="s">
        <v>174</v>
      </c>
      <c r="M1198" t="s">
        <v>175</v>
      </c>
      <c r="N1198" t="s">
        <v>107</v>
      </c>
      <c r="O1198" t="s">
        <v>97</v>
      </c>
    </row>
    <row r="1199" spans="1:15" x14ac:dyDescent="0.2">
      <c r="A1199">
        <v>181</v>
      </c>
      <c r="B1199">
        <v>182</v>
      </c>
      <c r="C1199">
        <v>181</v>
      </c>
      <c r="D1199">
        <v>180</v>
      </c>
      <c r="E1199" t="s">
        <v>40</v>
      </c>
      <c r="F1199" t="s">
        <v>41</v>
      </c>
      <c r="G1199">
        <v>42</v>
      </c>
      <c r="H1199" t="s">
        <v>176</v>
      </c>
      <c r="I1199">
        <v>1</v>
      </c>
      <c r="J1199">
        <v>1</v>
      </c>
      <c r="K1199" t="s">
        <v>153</v>
      </c>
      <c r="L1199" t="s">
        <v>177</v>
      </c>
      <c r="M1199" t="s">
        <v>178</v>
      </c>
      <c r="N1199" t="s">
        <v>107</v>
      </c>
      <c r="O1199" t="s">
        <v>97</v>
      </c>
    </row>
    <row r="1200" spans="1:15" x14ac:dyDescent="0.2">
      <c r="A1200">
        <v>181</v>
      </c>
      <c r="B1200">
        <v>182</v>
      </c>
      <c r="C1200">
        <v>181</v>
      </c>
      <c r="D1200">
        <v>180</v>
      </c>
      <c r="E1200" t="s">
        <v>40</v>
      </c>
      <c r="F1200" t="s">
        <v>41</v>
      </c>
      <c r="G1200">
        <v>43</v>
      </c>
      <c r="H1200" t="s">
        <v>179</v>
      </c>
      <c r="I1200">
        <v>0</v>
      </c>
      <c r="J1200">
        <v>0</v>
      </c>
      <c r="K1200" t="s">
        <v>166</v>
      </c>
      <c r="L1200" t="s">
        <v>180</v>
      </c>
      <c r="M1200" t="s">
        <v>181</v>
      </c>
      <c r="N1200" t="s">
        <v>107</v>
      </c>
      <c r="O1200" t="s">
        <v>97</v>
      </c>
    </row>
    <row r="1201" spans="1:15" x14ac:dyDescent="0.2">
      <c r="A1201">
        <v>181</v>
      </c>
      <c r="B1201">
        <v>182</v>
      </c>
      <c r="C1201">
        <v>181</v>
      </c>
      <c r="D1201">
        <v>180</v>
      </c>
      <c r="E1201" t="s">
        <v>40</v>
      </c>
      <c r="F1201" t="s">
        <v>41</v>
      </c>
      <c r="G1201">
        <v>44</v>
      </c>
      <c r="H1201" t="s">
        <v>182</v>
      </c>
      <c r="I1201">
        <v>1</v>
      </c>
      <c r="J1201">
        <v>1</v>
      </c>
      <c r="K1201" t="s">
        <v>166</v>
      </c>
      <c r="L1201" t="s">
        <v>183</v>
      </c>
      <c r="M1201" t="s">
        <v>184</v>
      </c>
      <c r="N1201" t="s">
        <v>107</v>
      </c>
      <c r="O1201" t="s">
        <v>97</v>
      </c>
    </row>
    <row r="1202" spans="1:15" x14ac:dyDescent="0.2">
      <c r="A1202">
        <v>181</v>
      </c>
      <c r="B1202">
        <v>182</v>
      </c>
      <c r="C1202">
        <v>181</v>
      </c>
      <c r="D1202">
        <v>180</v>
      </c>
      <c r="E1202" t="s">
        <v>40</v>
      </c>
      <c r="F1202" t="s">
        <v>41</v>
      </c>
      <c r="G1202">
        <v>45</v>
      </c>
      <c r="H1202" t="s">
        <v>185</v>
      </c>
      <c r="I1202">
        <v>0</v>
      </c>
      <c r="J1202">
        <v>1</v>
      </c>
      <c r="K1202" t="s">
        <v>166</v>
      </c>
      <c r="L1202" t="s">
        <v>186</v>
      </c>
      <c r="M1202" t="s">
        <v>139</v>
      </c>
      <c r="N1202" t="s">
        <v>107</v>
      </c>
      <c r="O1202" t="s">
        <v>97</v>
      </c>
    </row>
    <row r="1203" spans="1:15" x14ac:dyDescent="0.2">
      <c r="A1203">
        <v>181</v>
      </c>
      <c r="B1203">
        <v>182</v>
      </c>
      <c r="C1203">
        <v>181</v>
      </c>
      <c r="D1203">
        <v>180</v>
      </c>
      <c r="E1203" t="s">
        <v>40</v>
      </c>
      <c r="F1203" t="s">
        <v>41</v>
      </c>
      <c r="G1203">
        <v>47</v>
      </c>
      <c r="H1203" t="s">
        <v>187</v>
      </c>
      <c r="I1203">
        <v>0.2</v>
      </c>
      <c r="J1203">
        <v>0.2</v>
      </c>
      <c r="K1203" t="s">
        <v>93</v>
      </c>
      <c r="L1203" t="s">
        <v>188</v>
      </c>
      <c r="M1203" t="s">
        <v>95</v>
      </c>
      <c r="N1203" t="s">
        <v>96</v>
      </c>
      <c r="O1203" t="s">
        <v>97</v>
      </c>
    </row>
    <row r="1204" spans="1:15" x14ac:dyDescent="0.2">
      <c r="A1204">
        <v>181</v>
      </c>
      <c r="B1204">
        <v>182</v>
      </c>
      <c r="C1204">
        <v>181</v>
      </c>
      <c r="D1204">
        <v>180</v>
      </c>
      <c r="E1204" t="s">
        <v>40</v>
      </c>
      <c r="F1204" t="s">
        <v>41</v>
      </c>
      <c r="G1204">
        <v>48</v>
      </c>
      <c r="H1204" t="s">
        <v>189</v>
      </c>
      <c r="I1204">
        <v>0.2</v>
      </c>
      <c r="J1204">
        <v>0.2</v>
      </c>
      <c r="K1204" t="s">
        <v>93</v>
      </c>
      <c r="L1204" t="s">
        <v>190</v>
      </c>
      <c r="M1204" t="s">
        <v>95</v>
      </c>
      <c r="N1204" t="s">
        <v>96</v>
      </c>
      <c r="O1204" t="s">
        <v>97</v>
      </c>
    </row>
    <row r="1205" spans="1:15" x14ac:dyDescent="0.2">
      <c r="A1205">
        <v>181</v>
      </c>
      <c r="B1205">
        <v>182</v>
      </c>
      <c r="C1205">
        <v>181</v>
      </c>
      <c r="D1205">
        <v>180</v>
      </c>
      <c r="E1205" t="s">
        <v>40</v>
      </c>
      <c r="F1205" t="s">
        <v>41</v>
      </c>
      <c r="G1205">
        <v>49</v>
      </c>
      <c r="H1205" t="s">
        <v>191</v>
      </c>
      <c r="I1205">
        <v>0.2</v>
      </c>
      <c r="J1205">
        <v>0.2</v>
      </c>
      <c r="K1205" t="s">
        <v>93</v>
      </c>
      <c r="L1205" t="s">
        <v>192</v>
      </c>
      <c r="M1205" t="s">
        <v>95</v>
      </c>
      <c r="N1205" t="s">
        <v>96</v>
      </c>
      <c r="O1205" t="s">
        <v>97</v>
      </c>
    </row>
    <row r="1206" spans="1:15" x14ac:dyDescent="0.2">
      <c r="A1206">
        <v>181</v>
      </c>
      <c r="B1206">
        <v>182</v>
      </c>
      <c r="C1206">
        <v>181</v>
      </c>
      <c r="D1206">
        <v>180</v>
      </c>
      <c r="E1206" t="s">
        <v>40</v>
      </c>
      <c r="F1206" t="s">
        <v>41</v>
      </c>
      <c r="G1206">
        <v>50</v>
      </c>
      <c r="H1206" t="s">
        <v>193</v>
      </c>
      <c r="I1206">
        <v>0.1</v>
      </c>
      <c r="J1206">
        <v>0.1</v>
      </c>
      <c r="K1206" t="s">
        <v>93</v>
      </c>
      <c r="L1206" t="s">
        <v>194</v>
      </c>
      <c r="M1206" t="s">
        <v>95</v>
      </c>
      <c r="N1206" t="s">
        <v>96</v>
      </c>
      <c r="O1206" t="s">
        <v>97</v>
      </c>
    </row>
    <row r="1207" spans="1:15" x14ac:dyDescent="0.2">
      <c r="A1207">
        <v>181</v>
      </c>
      <c r="B1207">
        <v>182</v>
      </c>
      <c r="C1207">
        <v>181</v>
      </c>
      <c r="D1207">
        <v>180</v>
      </c>
      <c r="E1207" t="s">
        <v>40</v>
      </c>
      <c r="F1207" t="s">
        <v>41</v>
      </c>
      <c r="G1207">
        <v>51</v>
      </c>
      <c r="H1207" t="s">
        <v>193</v>
      </c>
      <c r="I1207">
        <v>0.1</v>
      </c>
      <c r="J1207">
        <v>0.1</v>
      </c>
      <c r="K1207" t="s">
        <v>93</v>
      </c>
      <c r="L1207" t="s">
        <v>194</v>
      </c>
      <c r="M1207" t="s">
        <v>95</v>
      </c>
      <c r="N1207" t="s">
        <v>96</v>
      </c>
      <c r="O1207" t="s">
        <v>97</v>
      </c>
    </row>
    <row r="1208" spans="1:15" x14ac:dyDescent="0.2">
      <c r="A1208">
        <v>186</v>
      </c>
      <c r="B1208">
        <v>187</v>
      </c>
      <c r="C1208">
        <v>186</v>
      </c>
      <c r="D1208">
        <v>185</v>
      </c>
      <c r="E1208" t="s">
        <v>40</v>
      </c>
      <c r="F1208" t="s">
        <v>42</v>
      </c>
      <c r="G1208">
        <v>1</v>
      </c>
      <c r="H1208" t="s">
        <v>92</v>
      </c>
      <c r="I1208">
        <v>0.2</v>
      </c>
      <c r="J1208">
        <v>0.2</v>
      </c>
      <c r="K1208" t="s">
        <v>93</v>
      </c>
      <c r="L1208" t="s">
        <v>94</v>
      </c>
      <c r="M1208" t="s">
        <v>95</v>
      </c>
      <c r="N1208" t="s">
        <v>96</v>
      </c>
      <c r="O1208" t="s">
        <v>97</v>
      </c>
    </row>
    <row r="1209" spans="1:15" x14ac:dyDescent="0.2">
      <c r="A1209">
        <v>186</v>
      </c>
      <c r="B1209">
        <v>187</v>
      </c>
      <c r="C1209">
        <v>186</v>
      </c>
      <c r="D1209">
        <v>185</v>
      </c>
      <c r="E1209" t="s">
        <v>40</v>
      </c>
      <c r="F1209" t="s">
        <v>42</v>
      </c>
      <c r="G1209">
        <v>2</v>
      </c>
      <c r="H1209" t="s">
        <v>98</v>
      </c>
      <c r="I1209">
        <v>0.5</v>
      </c>
      <c r="J1209">
        <v>0.5</v>
      </c>
      <c r="K1209" t="s">
        <v>93</v>
      </c>
      <c r="L1209" t="s">
        <v>99</v>
      </c>
      <c r="M1209" t="s">
        <v>95</v>
      </c>
      <c r="N1209" t="s">
        <v>96</v>
      </c>
      <c r="O1209" t="s">
        <v>97</v>
      </c>
    </row>
    <row r="1210" spans="1:15" x14ac:dyDescent="0.2">
      <c r="A1210">
        <v>186</v>
      </c>
      <c r="B1210">
        <v>187</v>
      </c>
      <c r="C1210">
        <v>186</v>
      </c>
      <c r="D1210">
        <v>185</v>
      </c>
      <c r="E1210" t="s">
        <v>40</v>
      </c>
      <c r="F1210" t="s">
        <v>42</v>
      </c>
      <c r="G1210">
        <v>3</v>
      </c>
      <c r="H1210" t="s">
        <v>100</v>
      </c>
      <c r="I1210">
        <v>0</v>
      </c>
      <c r="J1210">
        <v>1</v>
      </c>
      <c r="K1210" t="s">
        <v>101</v>
      </c>
      <c r="L1210" t="s">
        <v>102</v>
      </c>
      <c r="M1210" t="s">
        <v>103</v>
      </c>
      <c r="N1210" t="s">
        <v>96</v>
      </c>
      <c r="O1210" t="s">
        <v>97</v>
      </c>
    </row>
    <row r="1211" spans="1:15" x14ac:dyDescent="0.2">
      <c r="A1211">
        <v>186</v>
      </c>
      <c r="B1211">
        <v>187</v>
      </c>
      <c r="C1211">
        <v>186</v>
      </c>
      <c r="D1211">
        <v>185</v>
      </c>
      <c r="E1211" t="s">
        <v>40</v>
      </c>
      <c r="F1211" t="s">
        <v>42</v>
      </c>
      <c r="G1211">
        <v>4</v>
      </c>
      <c r="H1211" t="s">
        <v>104</v>
      </c>
      <c r="I1211">
        <v>0.5</v>
      </c>
      <c r="J1211">
        <v>1</v>
      </c>
      <c r="K1211" t="s">
        <v>101</v>
      </c>
      <c r="L1211" t="s">
        <v>105</v>
      </c>
      <c r="M1211" t="s">
        <v>106</v>
      </c>
      <c r="N1211" t="s">
        <v>107</v>
      </c>
      <c r="O1211" t="s">
        <v>97</v>
      </c>
    </row>
    <row r="1212" spans="1:15" x14ac:dyDescent="0.2">
      <c r="A1212">
        <v>186</v>
      </c>
      <c r="B1212">
        <v>187</v>
      </c>
      <c r="C1212">
        <v>186</v>
      </c>
      <c r="D1212">
        <v>185</v>
      </c>
      <c r="E1212" t="s">
        <v>40</v>
      </c>
      <c r="F1212" t="s">
        <v>42</v>
      </c>
      <c r="G1212">
        <v>5</v>
      </c>
      <c r="H1212" t="s">
        <v>108</v>
      </c>
      <c r="I1212">
        <v>0.5</v>
      </c>
      <c r="J1212">
        <v>1</v>
      </c>
      <c r="K1212" t="s">
        <v>101</v>
      </c>
      <c r="L1212" t="s">
        <v>109</v>
      </c>
      <c r="M1212" t="s">
        <v>110</v>
      </c>
      <c r="N1212" t="s">
        <v>107</v>
      </c>
      <c r="O1212" t="s">
        <v>97</v>
      </c>
    </row>
    <row r="1213" spans="1:15" x14ac:dyDescent="0.2">
      <c r="A1213">
        <v>186</v>
      </c>
      <c r="B1213">
        <v>187</v>
      </c>
      <c r="C1213">
        <v>186</v>
      </c>
      <c r="D1213">
        <v>185</v>
      </c>
      <c r="E1213" t="s">
        <v>40</v>
      </c>
      <c r="F1213" t="s">
        <v>42</v>
      </c>
      <c r="G1213">
        <v>9</v>
      </c>
      <c r="H1213" t="s">
        <v>111</v>
      </c>
      <c r="I1213">
        <v>0.5</v>
      </c>
      <c r="J1213">
        <v>0.5</v>
      </c>
      <c r="K1213" t="s">
        <v>112</v>
      </c>
      <c r="L1213" t="s">
        <v>113</v>
      </c>
      <c r="M1213" t="s">
        <v>114</v>
      </c>
      <c r="N1213" t="s">
        <v>96</v>
      </c>
      <c r="O1213" t="s">
        <v>97</v>
      </c>
    </row>
    <row r="1214" spans="1:15" x14ac:dyDescent="0.2">
      <c r="A1214">
        <v>186</v>
      </c>
      <c r="B1214">
        <v>187</v>
      </c>
      <c r="C1214">
        <v>186</v>
      </c>
      <c r="D1214">
        <v>185</v>
      </c>
      <c r="E1214" t="s">
        <v>40</v>
      </c>
      <c r="F1214" t="s">
        <v>42</v>
      </c>
      <c r="G1214">
        <v>10</v>
      </c>
      <c r="H1214" t="s">
        <v>115</v>
      </c>
      <c r="I1214">
        <v>0.5</v>
      </c>
      <c r="J1214">
        <v>0.5</v>
      </c>
      <c r="K1214" t="s">
        <v>112</v>
      </c>
      <c r="L1214" t="s">
        <v>116</v>
      </c>
      <c r="M1214" t="s">
        <v>117</v>
      </c>
      <c r="N1214" t="s">
        <v>96</v>
      </c>
      <c r="O1214" t="s">
        <v>97</v>
      </c>
    </row>
    <row r="1215" spans="1:15" x14ac:dyDescent="0.2">
      <c r="A1215">
        <v>186</v>
      </c>
      <c r="B1215">
        <v>187</v>
      </c>
      <c r="C1215">
        <v>186</v>
      </c>
      <c r="D1215">
        <v>185</v>
      </c>
      <c r="E1215" t="s">
        <v>40</v>
      </c>
      <c r="F1215" t="s">
        <v>42</v>
      </c>
      <c r="G1215">
        <v>11</v>
      </c>
      <c r="H1215" t="s">
        <v>118</v>
      </c>
      <c r="I1215">
        <v>1</v>
      </c>
      <c r="J1215">
        <v>1</v>
      </c>
      <c r="K1215" t="s">
        <v>112</v>
      </c>
      <c r="L1215" t="s">
        <v>119</v>
      </c>
      <c r="M1215" t="s">
        <v>120</v>
      </c>
      <c r="N1215" t="s">
        <v>107</v>
      </c>
      <c r="O1215" t="s">
        <v>97</v>
      </c>
    </row>
    <row r="1216" spans="1:15" x14ac:dyDescent="0.2">
      <c r="A1216">
        <v>186</v>
      </c>
      <c r="B1216">
        <v>187</v>
      </c>
      <c r="C1216">
        <v>186</v>
      </c>
      <c r="D1216">
        <v>185</v>
      </c>
      <c r="E1216" t="s">
        <v>40</v>
      </c>
      <c r="F1216" t="s">
        <v>42</v>
      </c>
      <c r="G1216">
        <v>12</v>
      </c>
      <c r="H1216" t="s">
        <v>121</v>
      </c>
      <c r="I1216">
        <v>0</v>
      </c>
      <c r="J1216">
        <v>0.5</v>
      </c>
      <c r="K1216" t="s">
        <v>122</v>
      </c>
      <c r="L1216" t="s">
        <v>113</v>
      </c>
      <c r="M1216" t="s">
        <v>123</v>
      </c>
      <c r="N1216" t="s">
        <v>96</v>
      </c>
      <c r="O1216" t="s">
        <v>97</v>
      </c>
    </row>
    <row r="1217" spans="1:15" x14ac:dyDescent="0.2">
      <c r="A1217">
        <v>186</v>
      </c>
      <c r="B1217">
        <v>187</v>
      </c>
      <c r="C1217">
        <v>186</v>
      </c>
      <c r="D1217">
        <v>185</v>
      </c>
      <c r="E1217" t="s">
        <v>40</v>
      </c>
      <c r="F1217" t="s">
        <v>42</v>
      </c>
      <c r="G1217">
        <v>13</v>
      </c>
      <c r="H1217" t="s">
        <v>124</v>
      </c>
      <c r="I1217">
        <v>0</v>
      </c>
      <c r="J1217">
        <v>0.5</v>
      </c>
      <c r="K1217" t="s">
        <v>122</v>
      </c>
      <c r="L1217" t="s">
        <v>125</v>
      </c>
      <c r="M1217" t="s">
        <v>126</v>
      </c>
      <c r="N1217" t="s">
        <v>96</v>
      </c>
      <c r="O1217" t="s">
        <v>97</v>
      </c>
    </row>
    <row r="1218" spans="1:15" x14ac:dyDescent="0.2">
      <c r="A1218">
        <v>186</v>
      </c>
      <c r="B1218">
        <v>187</v>
      </c>
      <c r="C1218">
        <v>186</v>
      </c>
      <c r="D1218">
        <v>185</v>
      </c>
      <c r="E1218" t="s">
        <v>40</v>
      </c>
      <c r="F1218" t="s">
        <v>42</v>
      </c>
      <c r="G1218">
        <v>14</v>
      </c>
      <c r="H1218" t="s">
        <v>127</v>
      </c>
      <c r="I1218">
        <v>0.5</v>
      </c>
      <c r="J1218">
        <v>1</v>
      </c>
      <c r="K1218" t="s">
        <v>122</v>
      </c>
      <c r="L1218" t="s">
        <v>119</v>
      </c>
      <c r="M1218" t="s">
        <v>128</v>
      </c>
      <c r="N1218" t="s">
        <v>107</v>
      </c>
      <c r="O1218" t="s">
        <v>97</v>
      </c>
    </row>
    <row r="1219" spans="1:15" x14ac:dyDescent="0.2">
      <c r="A1219">
        <v>186</v>
      </c>
      <c r="B1219">
        <v>187</v>
      </c>
      <c r="C1219">
        <v>186</v>
      </c>
      <c r="D1219">
        <v>185</v>
      </c>
      <c r="E1219" t="s">
        <v>40</v>
      </c>
      <c r="F1219" t="s">
        <v>42</v>
      </c>
      <c r="G1219">
        <v>15</v>
      </c>
      <c r="H1219" t="s">
        <v>129</v>
      </c>
      <c r="I1219">
        <v>1</v>
      </c>
      <c r="J1219">
        <v>1</v>
      </c>
      <c r="K1219" t="s">
        <v>130</v>
      </c>
      <c r="L1219" t="s">
        <v>131</v>
      </c>
      <c r="M1219" t="s">
        <v>132</v>
      </c>
      <c r="N1219" t="s">
        <v>107</v>
      </c>
      <c r="O1219" t="s">
        <v>97</v>
      </c>
    </row>
    <row r="1220" spans="1:15" x14ac:dyDescent="0.2">
      <c r="A1220">
        <v>186</v>
      </c>
      <c r="B1220">
        <v>187</v>
      </c>
      <c r="C1220">
        <v>186</v>
      </c>
      <c r="D1220">
        <v>185</v>
      </c>
      <c r="E1220" t="s">
        <v>40</v>
      </c>
      <c r="F1220" t="s">
        <v>42</v>
      </c>
      <c r="G1220">
        <v>16</v>
      </c>
      <c r="H1220" t="s">
        <v>133</v>
      </c>
      <c r="I1220">
        <v>0</v>
      </c>
      <c r="J1220">
        <v>0</v>
      </c>
      <c r="K1220" t="e">
        <v>#N/A</v>
      </c>
      <c r="L1220" t="e">
        <v>#N/A</v>
      </c>
      <c r="M1220" t="e">
        <v>#N/A</v>
      </c>
      <c r="N1220" t="e">
        <v>#N/A</v>
      </c>
      <c r="O1220" t="s">
        <v>97</v>
      </c>
    </row>
    <row r="1221" spans="1:15" x14ac:dyDescent="0.2">
      <c r="A1221">
        <v>186</v>
      </c>
      <c r="B1221">
        <v>187</v>
      </c>
      <c r="C1221">
        <v>186</v>
      </c>
      <c r="D1221">
        <v>185</v>
      </c>
      <c r="E1221" t="s">
        <v>40</v>
      </c>
      <c r="F1221" t="s">
        <v>42</v>
      </c>
      <c r="G1221">
        <v>17</v>
      </c>
      <c r="H1221" t="s">
        <v>134</v>
      </c>
      <c r="I1221">
        <v>0.5</v>
      </c>
      <c r="J1221">
        <v>1</v>
      </c>
      <c r="K1221" t="s">
        <v>112</v>
      </c>
      <c r="L1221" t="s">
        <v>135</v>
      </c>
      <c r="M1221" t="s">
        <v>136</v>
      </c>
      <c r="N1221" t="s">
        <v>107</v>
      </c>
      <c r="O1221" t="s">
        <v>97</v>
      </c>
    </row>
    <row r="1222" spans="1:15" x14ac:dyDescent="0.2">
      <c r="A1222">
        <v>186</v>
      </c>
      <c r="B1222">
        <v>187</v>
      </c>
      <c r="C1222">
        <v>186</v>
      </c>
      <c r="D1222">
        <v>185</v>
      </c>
      <c r="E1222" t="s">
        <v>40</v>
      </c>
      <c r="F1222" t="s">
        <v>42</v>
      </c>
      <c r="G1222">
        <v>18</v>
      </c>
      <c r="H1222" t="s">
        <v>137</v>
      </c>
      <c r="I1222">
        <v>1</v>
      </c>
      <c r="J1222">
        <v>1</v>
      </c>
      <c r="K1222" t="s">
        <v>112</v>
      </c>
      <c r="L1222" t="s">
        <v>138</v>
      </c>
      <c r="M1222" t="s">
        <v>139</v>
      </c>
      <c r="N1222" t="s">
        <v>107</v>
      </c>
      <c r="O1222" t="s">
        <v>97</v>
      </c>
    </row>
    <row r="1223" spans="1:15" x14ac:dyDescent="0.2">
      <c r="A1223">
        <v>186</v>
      </c>
      <c r="B1223">
        <v>187</v>
      </c>
      <c r="C1223">
        <v>186</v>
      </c>
      <c r="D1223">
        <v>185</v>
      </c>
      <c r="E1223" t="s">
        <v>40</v>
      </c>
      <c r="F1223" t="s">
        <v>42</v>
      </c>
      <c r="G1223">
        <v>19</v>
      </c>
      <c r="H1223" t="s">
        <v>140</v>
      </c>
      <c r="I1223">
        <v>0</v>
      </c>
      <c r="J1223">
        <v>1</v>
      </c>
      <c r="K1223" t="s">
        <v>122</v>
      </c>
      <c r="L1223" t="s">
        <v>141</v>
      </c>
      <c r="M1223" t="s">
        <v>142</v>
      </c>
      <c r="N1223" t="s">
        <v>107</v>
      </c>
      <c r="O1223" t="s">
        <v>97</v>
      </c>
    </row>
    <row r="1224" spans="1:15" x14ac:dyDescent="0.2">
      <c r="A1224">
        <v>186</v>
      </c>
      <c r="B1224">
        <v>187</v>
      </c>
      <c r="C1224">
        <v>186</v>
      </c>
      <c r="D1224">
        <v>185</v>
      </c>
      <c r="E1224" t="s">
        <v>40</v>
      </c>
      <c r="F1224" t="s">
        <v>42</v>
      </c>
      <c r="G1224">
        <v>20</v>
      </c>
      <c r="H1224" t="s">
        <v>143</v>
      </c>
      <c r="I1224">
        <v>0</v>
      </c>
      <c r="J1224">
        <v>1</v>
      </c>
      <c r="K1224" t="s">
        <v>122</v>
      </c>
      <c r="L1224" t="s">
        <v>144</v>
      </c>
      <c r="M1224" t="s">
        <v>145</v>
      </c>
      <c r="N1224" t="s">
        <v>107</v>
      </c>
      <c r="O1224" t="s">
        <v>97</v>
      </c>
    </row>
    <row r="1225" spans="1:15" x14ac:dyDescent="0.2">
      <c r="A1225">
        <v>186</v>
      </c>
      <c r="B1225">
        <v>187</v>
      </c>
      <c r="C1225">
        <v>186</v>
      </c>
      <c r="D1225">
        <v>185</v>
      </c>
      <c r="E1225" t="s">
        <v>40</v>
      </c>
      <c r="F1225" t="s">
        <v>42</v>
      </c>
      <c r="G1225">
        <v>21</v>
      </c>
      <c r="H1225" t="s">
        <v>146</v>
      </c>
      <c r="I1225">
        <v>1</v>
      </c>
      <c r="J1225">
        <v>1</v>
      </c>
      <c r="K1225" t="s">
        <v>147</v>
      </c>
      <c r="L1225" t="s">
        <v>148</v>
      </c>
      <c r="M1225" t="s">
        <v>149</v>
      </c>
      <c r="N1225" t="s">
        <v>96</v>
      </c>
      <c r="O1225" t="s">
        <v>97</v>
      </c>
    </row>
    <row r="1226" spans="1:15" x14ac:dyDescent="0.2">
      <c r="A1226">
        <v>186</v>
      </c>
      <c r="B1226">
        <v>187</v>
      </c>
      <c r="C1226">
        <v>186</v>
      </c>
      <c r="D1226">
        <v>185</v>
      </c>
      <c r="E1226" t="s">
        <v>40</v>
      </c>
      <c r="F1226" t="s">
        <v>42</v>
      </c>
      <c r="G1226">
        <v>22</v>
      </c>
      <c r="H1226" t="s">
        <v>150</v>
      </c>
      <c r="I1226">
        <v>0</v>
      </c>
      <c r="J1226">
        <v>1</v>
      </c>
      <c r="K1226" t="s">
        <v>147</v>
      </c>
      <c r="L1226" t="s">
        <v>151</v>
      </c>
      <c r="M1226" t="s">
        <v>149</v>
      </c>
      <c r="N1226" t="s">
        <v>107</v>
      </c>
      <c r="O1226" t="s">
        <v>97</v>
      </c>
    </row>
    <row r="1227" spans="1:15" x14ac:dyDescent="0.2">
      <c r="A1227">
        <v>186</v>
      </c>
      <c r="B1227">
        <v>187</v>
      </c>
      <c r="C1227">
        <v>186</v>
      </c>
      <c r="D1227">
        <v>185</v>
      </c>
      <c r="E1227" t="s">
        <v>40</v>
      </c>
      <c r="F1227" t="s">
        <v>42</v>
      </c>
      <c r="G1227">
        <v>23</v>
      </c>
      <c r="H1227" t="s">
        <v>152</v>
      </c>
      <c r="I1227">
        <v>0</v>
      </c>
      <c r="J1227">
        <v>1</v>
      </c>
      <c r="K1227" t="s">
        <v>153</v>
      </c>
      <c r="L1227" t="s">
        <v>154</v>
      </c>
      <c r="M1227" t="s">
        <v>155</v>
      </c>
      <c r="N1227" t="s">
        <v>107</v>
      </c>
      <c r="O1227" t="s">
        <v>97</v>
      </c>
    </row>
    <row r="1228" spans="1:15" x14ac:dyDescent="0.2">
      <c r="A1228">
        <v>186</v>
      </c>
      <c r="B1228">
        <v>187</v>
      </c>
      <c r="C1228">
        <v>186</v>
      </c>
      <c r="D1228">
        <v>185</v>
      </c>
      <c r="E1228" t="s">
        <v>40</v>
      </c>
      <c r="F1228" t="s">
        <v>42</v>
      </c>
      <c r="G1228">
        <v>24</v>
      </c>
      <c r="H1228" t="s">
        <v>156</v>
      </c>
      <c r="I1228">
        <v>0.5</v>
      </c>
      <c r="J1228">
        <v>0.5</v>
      </c>
      <c r="K1228" t="s">
        <v>122</v>
      </c>
      <c r="L1228" t="s">
        <v>157</v>
      </c>
      <c r="M1228" t="s">
        <v>158</v>
      </c>
      <c r="N1228" t="s">
        <v>107</v>
      </c>
      <c r="O1228" t="s">
        <v>97</v>
      </c>
    </row>
    <row r="1229" spans="1:15" x14ac:dyDescent="0.2">
      <c r="A1229">
        <v>186</v>
      </c>
      <c r="B1229">
        <v>187</v>
      </c>
      <c r="C1229">
        <v>186</v>
      </c>
      <c r="D1229">
        <v>185</v>
      </c>
      <c r="E1229" t="s">
        <v>40</v>
      </c>
      <c r="F1229" t="s">
        <v>42</v>
      </c>
      <c r="G1229">
        <v>25</v>
      </c>
      <c r="H1229" t="s">
        <v>156</v>
      </c>
      <c r="I1229">
        <v>0.5</v>
      </c>
      <c r="J1229">
        <v>0.5</v>
      </c>
      <c r="K1229" t="s">
        <v>122</v>
      </c>
      <c r="L1229" t="s">
        <v>157</v>
      </c>
      <c r="M1229" t="s">
        <v>158</v>
      </c>
      <c r="N1229" t="s">
        <v>107</v>
      </c>
      <c r="O1229" t="s">
        <v>97</v>
      </c>
    </row>
    <row r="1230" spans="1:15" x14ac:dyDescent="0.2">
      <c r="A1230">
        <v>186</v>
      </c>
      <c r="B1230">
        <v>187</v>
      </c>
      <c r="C1230">
        <v>186</v>
      </c>
      <c r="D1230">
        <v>185</v>
      </c>
      <c r="E1230" t="s">
        <v>40</v>
      </c>
      <c r="F1230" t="s">
        <v>42</v>
      </c>
      <c r="G1230">
        <v>26</v>
      </c>
      <c r="H1230" t="s">
        <v>152</v>
      </c>
      <c r="I1230">
        <v>0</v>
      </c>
      <c r="J1230">
        <v>0</v>
      </c>
      <c r="K1230" t="s">
        <v>153</v>
      </c>
      <c r="L1230" t="s">
        <v>154</v>
      </c>
      <c r="M1230" t="s">
        <v>155</v>
      </c>
      <c r="N1230" t="s">
        <v>107</v>
      </c>
      <c r="O1230" t="s">
        <v>97</v>
      </c>
    </row>
    <row r="1231" spans="1:15" x14ac:dyDescent="0.2">
      <c r="A1231">
        <v>186</v>
      </c>
      <c r="B1231">
        <v>187</v>
      </c>
      <c r="C1231">
        <v>186</v>
      </c>
      <c r="D1231">
        <v>185</v>
      </c>
      <c r="E1231" t="s">
        <v>40</v>
      </c>
      <c r="F1231" t="s">
        <v>42</v>
      </c>
      <c r="G1231">
        <v>27</v>
      </c>
      <c r="H1231" t="s">
        <v>159</v>
      </c>
      <c r="I1231">
        <v>0</v>
      </c>
      <c r="J1231">
        <v>0.5</v>
      </c>
      <c r="K1231" t="s">
        <v>122</v>
      </c>
      <c r="L1231" t="s">
        <v>160</v>
      </c>
      <c r="M1231" t="s">
        <v>161</v>
      </c>
      <c r="N1231" t="s">
        <v>107</v>
      </c>
      <c r="O1231" t="s">
        <v>97</v>
      </c>
    </row>
    <row r="1232" spans="1:15" x14ac:dyDescent="0.2">
      <c r="A1232">
        <v>186</v>
      </c>
      <c r="B1232">
        <v>187</v>
      </c>
      <c r="C1232">
        <v>186</v>
      </c>
      <c r="D1232">
        <v>185</v>
      </c>
      <c r="E1232" t="s">
        <v>40</v>
      </c>
      <c r="F1232" t="s">
        <v>42</v>
      </c>
      <c r="G1232">
        <v>28</v>
      </c>
      <c r="H1232" t="s">
        <v>159</v>
      </c>
      <c r="I1232">
        <v>0</v>
      </c>
      <c r="J1232">
        <v>0.5</v>
      </c>
      <c r="K1232" t="s">
        <v>122</v>
      </c>
      <c r="L1232" t="s">
        <v>160</v>
      </c>
      <c r="M1232" t="s">
        <v>161</v>
      </c>
      <c r="N1232" t="s">
        <v>107</v>
      </c>
      <c r="O1232" t="s">
        <v>97</v>
      </c>
    </row>
    <row r="1233" spans="1:15" x14ac:dyDescent="0.2">
      <c r="A1233">
        <v>186</v>
      </c>
      <c r="B1233">
        <v>187</v>
      </c>
      <c r="C1233">
        <v>186</v>
      </c>
      <c r="D1233">
        <v>185</v>
      </c>
      <c r="E1233" t="s">
        <v>40</v>
      </c>
      <c r="F1233" t="s">
        <v>42</v>
      </c>
      <c r="G1233">
        <v>29</v>
      </c>
      <c r="H1233" t="s">
        <v>152</v>
      </c>
      <c r="I1233">
        <v>0</v>
      </c>
      <c r="J1233">
        <v>0</v>
      </c>
      <c r="K1233" t="s">
        <v>153</v>
      </c>
      <c r="L1233" t="s">
        <v>154</v>
      </c>
      <c r="M1233" t="s">
        <v>155</v>
      </c>
      <c r="N1233" t="s">
        <v>107</v>
      </c>
      <c r="O1233" t="s">
        <v>97</v>
      </c>
    </row>
    <row r="1234" spans="1:15" x14ac:dyDescent="0.2">
      <c r="A1234">
        <v>186</v>
      </c>
      <c r="B1234">
        <v>187</v>
      </c>
      <c r="C1234">
        <v>186</v>
      </c>
      <c r="D1234">
        <v>185</v>
      </c>
      <c r="E1234" t="s">
        <v>40</v>
      </c>
      <c r="F1234" t="s">
        <v>42</v>
      </c>
      <c r="G1234">
        <v>30</v>
      </c>
      <c r="H1234" t="s">
        <v>162</v>
      </c>
      <c r="I1234">
        <v>1</v>
      </c>
      <c r="J1234">
        <v>1</v>
      </c>
      <c r="K1234" t="s">
        <v>112</v>
      </c>
      <c r="L1234" t="s">
        <v>163</v>
      </c>
      <c r="M1234" t="s">
        <v>164</v>
      </c>
      <c r="N1234" t="s">
        <v>107</v>
      </c>
      <c r="O1234" t="s">
        <v>97</v>
      </c>
    </row>
    <row r="1235" spans="1:15" x14ac:dyDescent="0.2">
      <c r="A1235">
        <v>186</v>
      </c>
      <c r="B1235">
        <v>187</v>
      </c>
      <c r="C1235">
        <v>186</v>
      </c>
      <c r="D1235">
        <v>185</v>
      </c>
      <c r="E1235" t="s">
        <v>40</v>
      </c>
      <c r="F1235" t="s">
        <v>42</v>
      </c>
      <c r="G1235">
        <v>31</v>
      </c>
      <c r="H1235" t="s">
        <v>162</v>
      </c>
      <c r="I1235">
        <v>0</v>
      </c>
      <c r="J1235">
        <v>0</v>
      </c>
      <c r="K1235" t="s">
        <v>112</v>
      </c>
      <c r="L1235" t="s">
        <v>163</v>
      </c>
      <c r="M1235" t="s">
        <v>164</v>
      </c>
      <c r="N1235" t="s">
        <v>107</v>
      </c>
      <c r="O1235" t="s">
        <v>97</v>
      </c>
    </row>
    <row r="1236" spans="1:15" x14ac:dyDescent="0.2">
      <c r="A1236">
        <v>186</v>
      </c>
      <c r="B1236">
        <v>187</v>
      </c>
      <c r="C1236">
        <v>186</v>
      </c>
      <c r="D1236">
        <v>185</v>
      </c>
      <c r="E1236" t="s">
        <v>40</v>
      </c>
      <c r="F1236" t="s">
        <v>42</v>
      </c>
      <c r="G1236">
        <v>32</v>
      </c>
      <c r="H1236" t="s">
        <v>162</v>
      </c>
      <c r="I1236">
        <v>0</v>
      </c>
      <c r="J1236">
        <v>0</v>
      </c>
      <c r="K1236" t="s">
        <v>112</v>
      </c>
      <c r="L1236" t="s">
        <v>163</v>
      </c>
      <c r="M1236" t="s">
        <v>164</v>
      </c>
      <c r="N1236" t="s">
        <v>107</v>
      </c>
      <c r="O1236" t="s">
        <v>97</v>
      </c>
    </row>
    <row r="1237" spans="1:15" x14ac:dyDescent="0.2">
      <c r="A1237">
        <v>186</v>
      </c>
      <c r="B1237">
        <v>187</v>
      </c>
      <c r="C1237">
        <v>186</v>
      </c>
      <c r="D1237">
        <v>185</v>
      </c>
      <c r="E1237" t="s">
        <v>40</v>
      </c>
      <c r="F1237" t="s">
        <v>42</v>
      </c>
      <c r="G1237">
        <v>33</v>
      </c>
      <c r="H1237" t="s">
        <v>152</v>
      </c>
      <c r="I1237">
        <v>1</v>
      </c>
      <c r="J1237">
        <v>1</v>
      </c>
      <c r="K1237" t="s">
        <v>153</v>
      </c>
      <c r="L1237" t="s">
        <v>154</v>
      </c>
      <c r="M1237" t="s">
        <v>155</v>
      </c>
      <c r="N1237" t="s">
        <v>107</v>
      </c>
      <c r="O1237" t="s">
        <v>97</v>
      </c>
    </row>
    <row r="1238" spans="1:15" x14ac:dyDescent="0.2">
      <c r="A1238">
        <v>186</v>
      </c>
      <c r="B1238">
        <v>187</v>
      </c>
      <c r="C1238">
        <v>186</v>
      </c>
      <c r="D1238">
        <v>185</v>
      </c>
      <c r="E1238" t="s">
        <v>40</v>
      </c>
      <c r="F1238" t="s">
        <v>42</v>
      </c>
      <c r="G1238">
        <v>34</v>
      </c>
      <c r="H1238" t="s">
        <v>152</v>
      </c>
      <c r="I1238">
        <v>0</v>
      </c>
      <c r="J1238">
        <v>0</v>
      </c>
      <c r="K1238" t="s">
        <v>153</v>
      </c>
      <c r="L1238" t="s">
        <v>154</v>
      </c>
      <c r="M1238" t="s">
        <v>155</v>
      </c>
      <c r="N1238" t="s">
        <v>107</v>
      </c>
      <c r="O1238" t="s">
        <v>97</v>
      </c>
    </row>
    <row r="1239" spans="1:15" x14ac:dyDescent="0.2">
      <c r="A1239">
        <v>186</v>
      </c>
      <c r="B1239">
        <v>187</v>
      </c>
      <c r="C1239">
        <v>186</v>
      </c>
      <c r="D1239">
        <v>185</v>
      </c>
      <c r="E1239" t="s">
        <v>40</v>
      </c>
      <c r="F1239" t="s">
        <v>42</v>
      </c>
      <c r="G1239">
        <v>35</v>
      </c>
      <c r="H1239" t="s">
        <v>165</v>
      </c>
      <c r="I1239">
        <v>1</v>
      </c>
      <c r="J1239">
        <v>1</v>
      </c>
      <c r="K1239" t="s">
        <v>166</v>
      </c>
      <c r="L1239" t="s">
        <v>167</v>
      </c>
      <c r="M1239" t="s">
        <v>168</v>
      </c>
      <c r="N1239" t="s">
        <v>107</v>
      </c>
      <c r="O1239" t="s">
        <v>97</v>
      </c>
    </row>
    <row r="1240" spans="1:15" x14ac:dyDescent="0.2">
      <c r="A1240">
        <v>186</v>
      </c>
      <c r="B1240">
        <v>187</v>
      </c>
      <c r="C1240">
        <v>186</v>
      </c>
      <c r="D1240">
        <v>185</v>
      </c>
      <c r="E1240" t="s">
        <v>40</v>
      </c>
      <c r="F1240" t="s">
        <v>42</v>
      </c>
      <c r="G1240">
        <v>36</v>
      </c>
      <c r="H1240" t="s">
        <v>169</v>
      </c>
      <c r="I1240">
        <v>0</v>
      </c>
      <c r="J1240">
        <v>0</v>
      </c>
      <c r="K1240" t="e">
        <v>#N/A</v>
      </c>
      <c r="L1240" t="e">
        <v>#N/A</v>
      </c>
      <c r="M1240" t="e">
        <v>#N/A</v>
      </c>
      <c r="N1240" t="e">
        <v>#N/A</v>
      </c>
      <c r="O1240" t="s">
        <v>97</v>
      </c>
    </row>
    <row r="1241" spans="1:15" x14ac:dyDescent="0.2">
      <c r="A1241">
        <v>186</v>
      </c>
      <c r="B1241">
        <v>187</v>
      </c>
      <c r="C1241">
        <v>186</v>
      </c>
      <c r="D1241">
        <v>185</v>
      </c>
      <c r="E1241" t="s">
        <v>40</v>
      </c>
      <c r="F1241" t="s">
        <v>42</v>
      </c>
      <c r="G1241">
        <v>38</v>
      </c>
      <c r="H1241" t="s">
        <v>170</v>
      </c>
      <c r="I1241">
        <v>0.5</v>
      </c>
      <c r="J1241">
        <v>0.5</v>
      </c>
      <c r="K1241" t="s">
        <v>112</v>
      </c>
      <c r="L1241" t="s">
        <v>171</v>
      </c>
      <c r="M1241" t="s">
        <v>172</v>
      </c>
      <c r="N1241" t="s">
        <v>96</v>
      </c>
      <c r="O1241" t="s">
        <v>97</v>
      </c>
    </row>
    <row r="1242" spans="1:15" x14ac:dyDescent="0.2">
      <c r="A1242">
        <v>186</v>
      </c>
      <c r="B1242">
        <v>187</v>
      </c>
      <c r="C1242">
        <v>186</v>
      </c>
      <c r="D1242">
        <v>185</v>
      </c>
      <c r="E1242" t="s">
        <v>40</v>
      </c>
      <c r="F1242" t="s">
        <v>42</v>
      </c>
      <c r="G1242">
        <v>39</v>
      </c>
      <c r="H1242" t="s">
        <v>170</v>
      </c>
      <c r="I1242">
        <v>0.5</v>
      </c>
      <c r="J1242">
        <v>0.5</v>
      </c>
      <c r="K1242" t="s">
        <v>112</v>
      </c>
      <c r="L1242" t="s">
        <v>171</v>
      </c>
      <c r="M1242" t="s">
        <v>172</v>
      </c>
      <c r="N1242" t="s">
        <v>96</v>
      </c>
      <c r="O1242" t="s">
        <v>97</v>
      </c>
    </row>
    <row r="1243" spans="1:15" x14ac:dyDescent="0.2">
      <c r="A1243">
        <v>186</v>
      </c>
      <c r="B1243">
        <v>187</v>
      </c>
      <c r="C1243">
        <v>186</v>
      </c>
      <c r="D1243">
        <v>185</v>
      </c>
      <c r="E1243" t="s">
        <v>40</v>
      </c>
      <c r="F1243" t="s">
        <v>42</v>
      </c>
      <c r="G1243">
        <v>40</v>
      </c>
      <c r="H1243" t="s">
        <v>170</v>
      </c>
      <c r="I1243">
        <v>0</v>
      </c>
      <c r="J1243">
        <v>0.5</v>
      </c>
      <c r="K1243" t="s">
        <v>112</v>
      </c>
      <c r="L1243" t="s">
        <v>171</v>
      </c>
      <c r="M1243" t="s">
        <v>172</v>
      </c>
      <c r="N1243" t="s">
        <v>96</v>
      </c>
      <c r="O1243" t="s">
        <v>97</v>
      </c>
    </row>
    <row r="1244" spans="1:15" x14ac:dyDescent="0.2">
      <c r="A1244">
        <v>186</v>
      </c>
      <c r="B1244">
        <v>187</v>
      </c>
      <c r="C1244">
        <v>186</v>
      </c>
      <c r="D1244">
        <v>185</v>
      </c>
      <c r="E1244" t="s">
        <v>40</v>
      </c>
      <c r="F1244" t="s">
        <v>42</v>
      </c>
      <c r="G1244">
        <v>41</v>
      </c>
      <c r="H1244" t="s">
        <v>173</v>
      </c>
      <c r="I1244">
        <v>1</v>
      </c>
      <c r="J1244">
        <v>1</v>
      </c>
      <c r="K1244" t="s">
        <v>166</v>
      </c>
      <c r="L1244" t="s">
        <v>174</v>
      </c>
      <c r="M1244" t="s">
        <v>175</v>
      </c>
      <c r="N1244" t="s">
        <v>107</v>
      </c>
      <c r="O1244" t="s">
        <v>97</v>
      </c>
    </row>
    <row r="1245" spans="1:15" x14ac:dyDescent="0.2">
      <c r="A1245">
        <v>186</v>
      </c>
      <c r="B1245">
        <v>187</v>
      </c>
      <c r="C1245">
        <v>186</v>
      </c>
      <c r="D1245">
        <v>185</v>
      </c>
      <c r="E1245" t="s">
        <v>40</v>
      </c>
      <c r="F1245" t="s">
        <v>42</v>
      </c>
      <c r="G1245">
        <v>42</v>
      </c>
      <c r="H1245" t="s">
        <v>176</v>
      </c>
      <c r="I1245">
        <v>1</v>
      </c>
      <c r="J1245">
        <v>1</v>
      </c>
      <c r="K1245" t="s">
        <v>153</v>
      </c>
      <c r="L1245" t="s">
        <v>177</v>
      </c>
      <c r="M1245" t="s">
        <v>178</v>
      </c>
      <c r="N1245" t="s">
        <v>107</v>
      </c>
      <c r="O1245" t="s">
        <v>97</v>
      </c>
    </row>
    <row r="1246" spans="1:15" x14ac:dyDescent="0.2">
      <c r="A1246">
        <v>186</v>
      </c>
      <c r="B1246">
        <v>187</v>
      </c>
      <c r="C1246">
        <v>186</v>
      </c>
      <c r="D1246">
        <v>185</v>
      </c>
      <c r="E1246" t="s">
        <v>40</v>
      </c>
      <c r="F1246" t="s">
        <v>42</v>
      </c>
      <c r="G1246">
        <v>43</v>
      </c>
      <c r="H1246" t="s">
        <v>179</v>
      </c>
      <c r="I1246">
        <v>0</v>
      </c>
      <c r="J1246">
        <v>0</v>
      </c>
      <c r="K1246" t="s">
        <v>166</v>
      </c>
      <c r="L1246" t="s">
        <v>180</v>
      </c>
      <c r="M1246" t="s">
        <v>181</v>
      </c>
      <c r="N1246" t="s">
        <v>107</v>
      </c>
      <c r="O1246" t="s">
        <v>97</v>
      </c>
    </row>
    <row r="1247" spans="1:15" x14ac:dyDescent="0.2">
      <c r="A1247">
        <v>186</v>
      </c>
      <c r="B1247">
        <v>187</v>
      </c>
      <c r="C1247">
        <v>186</v>
      </c>
      <c r="D1247">
        <v>185</v>
      </c>
      <c r="E1247" t="s">
        <v>40</v>
      </c>
      <c r="F1247" t="s">
        <v>42</v>
      </c>
      <c r="G1247">
        <v>44</v>
      </c>
      <c r="H1247" t="s">
        <v>182</v>
      </c>
      <c r="I1247">
        <v>1</v>
      </c>
      <c r="J1247">
        <v>1</v>
      </c>
      <c r="K1247" t="s">
        <v>166</v>
      </c>
      <c r="L1247" t="s">
        <v>183</v>
      </c>
      <c r="M1247" t="s">
        <v>184</v>
      </c>
      <c r="N1247" t="s">
        <v>107</v>
      </c>
      <c r="O1247" t="s">
        <v>97</v>
      </c>
    </row>
    <row r="1248" spans="1:15" x14ac:dyDescent="0.2">
      <c r="A1248">
        <v>186</v>
      </c>
      <c r="B1248">
        <v>187</v>
      </c>
      <c r="C1248">
        <v>186</v>
      </c>
      <c r="D1248">
        <v>185</v>
      </c>
      <c r="E1248" t="s">
        <v>40</v>
      </c>
      <c r="F1248" t="s">
        <v>42</v>
      </c>
      <c r="G1248">
        <v>45</v>
      </c>
      <c r="H1248" t="s">
        <v>185</v>
      </c>
      <c r="I1248">
        <v>0</v>
      </c>
      <c r="J1248">
        <v>1</v>
      </c>
      <c r="K1248" t="s">
        <v>166</v>
      </c>
      <c r="L1248" t="s">
        <v>186</v>
      </c>
      <c r="M1248" t="s">
        <v>139</v>
      </c>
      <c r="N1248" t="s">
        <v>107</v>
      </c>
      <c r="O1248" t="s">
        <v>97</v>
      </c>
    </row>
    <row r="1249" spans="1:15" x14ac:dyDescent="0.2">
      <c r="A1249">
        <v>186</v>
      </c>
      <c r="B1249">
        <v>187</v>
      </c>
      <c r="C1249">
        <v>186</v>
      </c>
      <c r="D1249">
        <v>185</v>
      </c>
      <c r="E1249" t="s">
        <v>40</v>
      </c>
      <c r="F1249" t="s">
        <v>42</v>
      </c>
      <c r="G1249">
        <v>47</v>
      </c>
      <c r="H1249" t="s">
        <v>187</v>
      </c>
      <c r="I1249">
        <v>0.2</v>
      </c>
      <c r="J1249">
        <v>0.2</v>
      </c>
      <c r="K1249" t="s">
        <v>93</v>
      </c>
      <c r="L1249" t="s">
        <v>188</v>
      </c>
      <c r="M1249" t="s">
        <v>95</v>
      </c>
      <c r="N1249" t="s">
        <v>96</v>
      </c>
      <c r="O1249" t="s">
        <v>97</v>
      </c>
    </row>
    <row r="1250" spans="1:15" x14ac:dyDescent="0.2">
      <c r="A1250">
        <v>186</v>
      </c>
      <c r="B1250">
        <v>187</v>
      </c>
      <c r="C1250">
        <v>186</v>
      </c>
      <c r="D1250">
        <v>185</v>
      </c>
      <c r="E1250" t="s">
        <v>40</v>
      </c>
      <c r="F1250" t="s">
        <v>42</v>
      </c>
      <c r="G1250">
        <v>48</v>
      </c>
      <c r="H1250" t="s">
        <v>189</v>
      </c>
      <c r="I1250">
        <v>0.2</v>
      </c>
      <c r="J1250">
        <v>0.2</v>
      </c>
      <c r="K1250" t="s">
        <v>93</v>
      </c>
      <c r="L1250" t="s">
        <v>190</v>
      </c>
      <c r="M1250" t="s">
        <v>95</v>
      </c>
      <c r="N1250" t="s">
        <v>96</v>
      </c>
      <c r="O1250" t="s">
        <v>97</v>
      </c>
    </row>
    <row r="1251" spans="1:15" x14ac:dyDescent="0.2">
      <c r="A1251">
        <v>186</v>
      </c>
      <c r="B1251">
        <v>187</v>
      </c>
      <c r="C1251">
        <v>186</v>
      </c>
      <c r="D1251">
        <v>185</v>
      </c>
      <c r="E1251" t="s">
        <v>40</v>
      </c>
      <c r="F1251" t="s">
        <v>42</v>
      </c>
      <c r="G1251">
        <v>49</v>
      </c>
      <c r="H1251" t="s">
        <v>191</v>
      </c>
      <c r="I1251">
        <v>0.2</v>
      </c>
      <c r="J1251">
        <v>0.2</v>
      </c>
      <c r="K1251" t="s">
        <v>93</v>
      </c>
      <c r="L1251" t="s">
        <v>192</v>
      </c>
      <c r="M1251" t="s">
        <v>95</v>
      </c>
      <c r="N1251" t="s">
        <v>96</v>
      </c>
      <c r="O1251" t="s">
        <v>97</v>
      </c>
    </row>
    <row r="1252" spans="1:15" x14ac:dyDescent="0.2">
      <c r="A1252">
        <v>186</v>
      </c>
      <c r="B1252">
        <v>187</v>
      </c>
      <c r="C1252">
        <v>186</v>
      </c>
      <c r="D1252">
        <v>185</v>
      </c>
      <c r="E1252" t="s">
        <v>40</v>
      </c>
      <c r="F1252" t="s">
        <v>42</v>
      </c>
      <c r="G1252">
        <v>50</v>
      </c>
      <c r="H1252" t="s">
        <v>193</v>
      </c>
      <c r="I1252">
        <v>0.1</v>
      </c>
      <c r="J1252">
        <v>0.1</v>
      </c>
      <c r="K1252" t="s">
        <v>93</v>
      </c>
      <c r="L1252" t="s">
        <v>194</v>
      </c>
      <c r="M1252" t="s">
        <v>95</v>
      </c>
      <c r="N1252" t="s">
        <v>96</v>
      </c>
      <c r="O1252" t="s">
        <v>97</v>
      </c>
    </row>
    <row r="1253" spans="1:15" x14ac:dyDescent="0.2">
      <c r="A1253">
        <v>186</v>
      </c>
      <c r="B1253">
        <v>187</v>
      </c>
      <c r="C1253">
        <v>186</v>
      </c>
      <c r="D1253">
        <v>185</v>
      </c>
      <c r="E1253" t="s">
        <v>40</v>
      </c>
      <c r="F1253" t="s">
        <v>42</v>
      </c>
      <c r="G1253">
        <v>51</v>
      </c>
      <c r="H1253" t="s">
        <v>193</v>
      </c>
      <c r="I1253">
        <v>0.1</v>
      </c>
      <c r="J1253">
        <v>0.1</v>
      </c>
      <c r="K1253" t="s">
        <v>93</v>
      </c>
      <c r="L1253" t="s">
        <v>194</v>
      </c>
      <c r="M1253" t="s">
        <v>95</v>
      </c>
      <c r="N1253" t="s">
        <v>96</v>
      </c>
      <c r="O1253" t="s">
        <v>97</v>
      </c>
    </row>
    <row r="1254" spans="1:15" x14ac:dyDescent="0.2">
      <c r="A1254">
        <v>206</v>
      </c>
      <c r="B1254">
        <v>207</v>
      </c>
      <c r="C1254">
        <v>206</v>
      </c>
      <c r="D1254">
        <v>205</v>
      </c>
      <c r="E1254" t="s">
        <v>40</v>
      </c>
      <c r="F1254" t="s">
        <v>43</v>
      </c>
      <c r="G1254">
        <v>1</v>
      </c>
      <c r="H1254" t="s">
        <v>92</v>
      </c>
      <c r="I1254">
        <v>0.2</v>
      </c>
      <c r="J1254">
        <v>0.2</v>
      </c>
      <c r="K1254" t="s">
        <v>93</v>
      </c>
      <c r="L1254" t="s">
        <v>94</v>
      </c>
      <c r="M1254" t="s">
        <v>95</v>
      </c>
      <c r="N1254" t="s">
        <v>96</v>
      </c>
      <c r="O1254" t="s">
        <v>97</v>
      </c>
    </row>
    <row r="1255" spans="1:15" x14ac:dyDescent="0.2">
      <c r="A1255">
        <v>206</v>
      </c>
      <c r="B1255">
        <v>207</v>
      </c>
      <c r="C1255">
        <v>206</v>
      </c>
      <c r="D1255">
        <v>205</v>
      </c>
      <c r="E1255" t="s">
        <v>40</v>
      </c>
      <c r="F1255" t="s">
        <v>43</v>
      </c>
      <c r="G1255">
        <v>2</v>
      </c>
      <c r="H1255" t="s">
        <v>98</v>
      </c>
      <c r="I1255">
        <v>0.25</v>
      </c>
      <c r="J1255">
        <v>0.5</v>
      </c>
      <c r="K1255" t="s">
        <v>93</v>
      </c>
      <c r="L1255" t="s">
        <v>99</v>
      </c>
      <c r="M1255" t="s">
        <v>95</v>
      </c>
      <c r="N1255" t="s">
        <v>96</v>
      </c>
      <c r="O1255" t="s">
        <v>97</v>
      </c>
    </row>
    <row r="1256" spans="1:15" x14ac:dyDescent="0.2">
      <c r="A1256">
        <v>206</v>
      </c>
      <c r="B1256">
        <v>207</v>
      </c>
      <c r="C1256">
        <v>206</v>
      </c>
      <c r="D1256">
        <v>205</v>
      </c>
      <c r="E1256" t="s">
        <v>40</v>
      </c>
      <c r="F1256" t="s">
        <v>43</v>
      </c>
      <c r="G1256">
        <v>3</v>
      </c>
      <c r="H1256" t="s">
        <v>100</v>
      </c>
      <c r="I1256">
        <v>1</v>
      </c>
      <c r="J1256">
        <v>1</v>
      </c>
      <c r="K1256" t="s">
        <v>101</v>
      </c>
      <c r="L1256" t="s">
        <v>102</v>
      </c>
      <c r="M1256" t="s">
        <v>103</v>
      </c>
      <c r="N1256" t="s">
        <v>96</v>
      </c>
      <c r="O1256" t="s">
        <v>97</v>
      </c>
    </row>
    <row r="1257" spans="1:15" x14ac:dyDescent="0.2">
      <c r="A1257">
        <v>206</v>
      </c>
      <c r="B1257">
        <v>207</v>
      </c>
      <c r="C1257">
        <v>206</v>
      </c>
      <c r="D1257">
        <v>205</v>
      </c>
      <c r="E1257" t="s">
        <v>40</v>
      </c>
      <c r="F1257" t="s">
        <v>43</v>
      </c>
      <c r="G1257">
        <v>4</v>
      </c>
      <c r="H1257" t="s">
        <v>104</v>
      </c>
      <c r="I1257">
        <v>0.5</v>
      </c>
      <c r="J1257">
        <v>1</v>
      </c>
      <c r="K1257" t="s">
        <v>101</v>
      </c>
      <c r="L1257" t="s">
        <v>105</v>
      </c>
      <c r="M1257" t="s">
        <v>106</v>
      </c>
      <c r="N1257" t="s">
        <v>107</v>
      </c>
      <c r="O1257" t="s">
        <v>97</v>
      </c>
    </row>
    <row r="1258" spans="1:15" x14ac:dyDescent="0.2">
      <c r="A1258">
        <v>206</v>
      </c>
      <c r="B1258">
        <v>207</v>
      </c>
      <c r="C1258">
        <v>206</v>
      </c>
      <c r="D1258">
        <v>205</v>
      </c>
      <c r="E1258" t="s">
        <v>40</v>
      </c>
      <c r="F1258" t="s">
        <v>43</v>
      </c>
      <c r="G1258">
        <v>5</v>
      </c>
      <c r="H1258" t="s">
        <v>108</v>
      </c>
      <c r="I1258">
        <v>0.5</v>
      </c>
      <c r="J1258">
        <v>1</v>
      </c>
      <c r="K1258" t="s">
        <v>101</v>
      </c>
      <c r="L1258" t="s">
        <v>109</v>
      </c>
      <c r="M1258" t="s">
        <v>110</v>
      </c>
      <c r="N1258" t="s">
        <v>107</v>
      </c>
      <c r="O1258" t="s">
        <v>97</v>
      </c>
    </row>
    <row r="1259" spans="1:15" x14ac:dyDescent="0.2">
      <c r="A1259">
        <v>206</v>
      </c>
      <c r="B1259">
        <v>207</v>
      </c>
      <c r="C1259">
        <v>206</v>
      </c>
      <c r="D1259">
        <v>205</v>
      </c>
      <c r="E1259" t="s">
        <v>40</v>
      </c>
      <c r="F1259" t="s">
        <v>43</v>
      </c>
      <c r="G1259">
        <v>9</v>
      </c>
      <c r="H1259" t="s">
        <v>111</v>
      </c>
      <c r="I1259">
        <v>0.5</v>
      </c>
      <c r="J1259">
        <v>0.5</v>
      </c>
      <c r="K1259" t="s">
        <v>112</v>
      </c>
      <c r="L1259" t="s">
        <v>113</v>
      </c>
      <c r="M1259" t="s">
        <v>114</v>
      </c>
      <c r="N1259" t="s">
        <v>96</v>
      </c>
      <c r="O1259" t="s">
        <v>97</v>
      </c>
    </row>
    <row r="1260" spans="1:15" x14ac:dyDescent="0.2">
      <c r="A1260">
        <v>206</v>
      </c>
      <c r="B1260">
        <v>207</v>
      </c>
      <c r="C1260">
        <v>206</v>
      </c>
      <c r="D1260">
        <v>205</v>
      </c>
      <c r="E1260" t="s">
        <v>40</v>
      </c>
      <c r="F1260" t="s">
        <v>43</v>
      </c>
      <c r="G1260">
        <v>10</v>
      </c>
      <c r="H1260" t="s">
        <v>115</v>
      </c>
      <c r="I1260">
        <v>0</v>
      </c>
      <c r="J1260">
        <v>0.5</v>
      </c>
      <c r="K1260" t="s">
        <v>112</v>
      </c>
      <c r="L1260" t="s">
        <v>116</v>
      </c>
      <c r="M1260" t="s">
        <v>117</v>
      </c>
      <c r="N1260" t="s">
        <v>96</v>
      </c>
      <c r="O1260" t="s">
        <v>97</v>
      </c>
    </row>
    <row r="1261" spans="1:15" x14ac:dyDescent="0.2">
      <c r="A1261">
        <v>206</v>
      </c>
      <c r="B1261">
        <v>207</v>
      </c>
      <c r="C1261">
        <v>206</v>
      </c>
      <c r="D1261">
        <v>205</v>
      </c>
      <c r="E1261" t="s">
        <v>40</v>
      </c>
      <c r="F1261" t="s">
        <v>43</v>
      </c>
      <c r="G1261">
        <v>11</v>
      </c>
      <c r="H1261" t="s">
        <v>118</v>
      </c>
      <c r="I1261">
        <v>1</v>
      </c>
      <c r="J1261">
        <v>1</v>
      </c>
      <c r="K1261" t="s">
        <v>112</v>
      </c>
      <c r="L1261" t="s">
        <v>119</v>
      </c>
      <c r="M1261" t="s">
        <v>120</v>
      </c>
      <c r="N1261" t="s">
        <v>107</v>
      </c>
      <c r="O1261" t="s">
        <v>97</v>
      </c>
    </row>
    <row r="1262" spans="1:15" x14ac:dyDescent="0.2">
      <c r="A1262">
        <v>206</v>
      </c>
      <c r="B1262">
        <v>207</v>
      </c>
      <c r="C1262">
        <v>206</v>
      </c>
      <c r="D1262">
        <v>205</v>
      </c>
      <c r="E1262" t="s">
        <v>40</v>
      </c>
      <c r="F1262" t="s">
        <v>43</v>
      </c>
      <c r="G1262">
        <v>12</v>
      </c>
      <c r="H1262" t="s">
        <v>121</v>
      </c>
      <c r="I1262">
        <v>0</v>
      </c>
      <c r="J1262" t="s">
        <v>195</v>
      </c>
      <c r="K1262" t="s">
        <v>122</v>
      </c>
      <c r="L1262" t="s">
        <v>113</v>
      </c>
      <c r="M1262" t="s">
        <v>123</v>
      </c>
      <c r="N1262" t="s">
        <v>96</v>
      </c>
      <c r="O1262" t="s">
        <v>97</v>
      </c>
    </row>
    <row r="1263" spans="1:15" x14ac:dyDescent="0.2">
      <c r="A1263">
        <v>206</v>
      </c>
      <c r="B1263">
        <v>207</v>
      </c>
      <c r="C1263">
        <v>206</v>
      </c>
      <c r="D1263">
        <v>205</v>
      </c>
      <c r="E1263" t="s">
        <v>40</v>
      </c>
      <c r="F1263" t="s">
        <v>43</v>
      </c>
      <c r="G1263">
        <v>13</v>
      </c>
      <c r="H1263" t="s">
        <v>124</v>
      </c>
      <c r="I1263">
        <v>0</v>
      </c>
      <c r="J1263" t="s">
        <v>195</v>
      </c>
      <c r="K1263" t="s">
        <v>122</v>
      </c>
      <c r="L1263" t="s">
        <v>125</v>
      </c>
      <c r="M1263" t="s">
        <v>126</v>
      </c>
      <c r="N1263" t="s">
        <v>96</v>
      </c>
      <c r="O1263" t="s">
        <v>97</v>
      </c>
    </row>
    <row r="1264" spans="1:15" x14ac:dyDescent="0.2">
      <c r="A1264">
        <v>206</v>
      </c>
      <c r="B1264">
        <v>207</v>
      </c>
      <c r="C1264">
        <v>206</v>
      </c>
      <c r="D1264">
        <v>205</v>
      </c>
      <c r="E1264" t="s">
        <v>40</v>
      </c>
      <c r="F1264" t="s">
        <v>43</v>
      </c>
      <c r="G1264">
        <v>14</v>
      </c>
      <c r="H1264" t="s">
        <v>127</v>
      </c>
      <c r="I1264">
        <v>0.5</v>
      </c>
      <c r="J1264">
        <v>1</v>
      </c>
      <c r="K1264" t="s">
        <v>122</v>
      </c>
      <c r="L1264" t="s">
        <v>119</v>
      </c>
      <c r="M1264" t="s">
        <v>128</v>
      </c>
      <c r="N1264" t="s">
        <v>107</v>
      </c>
      <c r="O1264" t="s">
        <v>97</v>
      </c>
    </row>
    <row r="1265" spans="1:15" x14ac:dyDescent="0.2">
      <c r="A1265">
        <v>206</v>
      </c>
      <c r="B1265">
        <v>207</v>
      </c>
      <c r="C1265">
        <v>206</v>
      </c>
      <c r="D1265">
        <v>205</v>
      </c>
      <c r="E1265" t="s">
        <v>40</v>
      </c>
      <c r="F1265" t="s">
        <v>43</v>
      </c>
      <c r="G1265">
        <v>15</v>
      </c>
      <c r="H1265" t="s">
        <v>129</v>
      </c>
      <c r="I1265">
        <v>1</v>
      </c>
      <c r="J1265">
        <v>1</v>
      </c>
      <c r="K1265" t="s">
        <v>130</v>
      </c>
      <c r="L1265" t="s">
        <v>131</v>
      </c>
      <c r="M1265" t="s">
        <v>132</v>
      </c>
      <c r="N1265" t="s">
        <v>107</v>
      </c>
      <c r="O1265" t="s">
        <v>97</v>
      </c>
    </row>
    <row r="1266" spans="1:15" x14ac:dyDescent="0.2">
      <c r="A1266">
        <v>206</v>
      </c>
      <c r="B1266">
        <v>207</v>
      </c>
      <c r="C1266">
        <v>206</v>
      </c>
      <c r="D1266">
        <v>205</v>
      </c>
      <c r="E1266" t="s">
        <v>40</v>
      </c>
      <c r="F1266" t="s">
        <v>43</v>
      </c>
      <c r="G1266">
        <v>16</v>
      </c>
      <c r="H1266" t="s">
        <v>133</v>
      </c>
      <c r="I1266">
        <v>0</v>
      </c>
      <c r="J1266">
        <v>0</v>
      </c>
      <c r="K1266" t="e">
        <v>#N/A</v>
      </c>
      <c r="L1266" t="e">
        <v>#N/A</v>
      </c>
      <c r="M1266" t="e">
        <v>#N/A</v>
      </c>
      <c r="N1266" t="e">
        <v>#N/A</v>
      </c>
      <c r="O1266" t="s">
        <v>97</v>
      </c>
    </row>
    <row r="1267" spans="1:15" x14ac:dyDescent="0.2">
      <c r="A1267">
        <v>206</v>
      </c>
      <c r="B1267">
        <v>207</v>
      </c>
      <c r="C1267">
        <v>206</v>
      </c>
      <c r="D1267">
        <v>205</v>
      </c>
      <c r="E1267" t="s">
        <v>40</v>
      </c>
      <c r="F1267" t="s">
        <v>43</v>
      </c>
      <c r="G1267">
        <v>17</v>
      </c>
      <c r="H1267" t="s">
        <v>134</v>
      </c>
      <c r="I1267">
        <v>0.5</v>
      </c>
      <c r="J1267">
        <v>1</v>
      </c>
      <c r="K1267" t="s">
        <v>112</v>
      </c>
      <c r="L1267" t="s">
        <v>135</v>
      </c>
      <c r="M1267" t="s">
        <v>136</v>
      </c>
      <c r="N1267" t="s">
        <v>107</v>
      </c>
      <c r="O1267" t="s">
        <v>97</v>
      </c>
    </row>
    <row r="1268" spans="1:15" x14ac:dyDescent="0.2">
      <c r="A1268">
        <v>206</v>
      </c>
      <c r="B1268">
        <v>207</v>
      </c>
      <c r="C1268">
        <v>206</v>
      </c>
      <c r="D1268">
        <v>205</v>
      </c>
      <c r="E1268" t="s">
        <v>40</v>
      </c>
      <c r="F1268" t="s">
        <v>43</v>
      </c>
      <c r="G1268">
        <v>18</v>
      </c>
      <c r="H1268" t="s">
        <v>137</v>
      </c>
      <c r="I1268">
        <v>1</v>
      </c>
      <c r="J1268">
        <v>1</v>
      </c>
      <c r="K1268" t="s">
        <v>112</v>
      </c>
      <c r="L1268" t="s">
        <v>138</v>
      </c>
      <c r="M1268" t="s">
        <v>139</v>
      </c>
      <c r="N1268" t="s">
        <v>107</v>
      </c>
      <c r="O1268" t="s">
        <v>97</v>
      </c>
    </row>
    <row r="1269" spans="1:15" x14ac:dyDescent="0.2">
      <c r="A1269">
        <v>206</v>
      </c>
      <c r="B1269">
        <v>207</v>
      </c>
      <c r="C1269">
        <v>206</v>
      </c>
      <c r="D1269">
        <v>205</v>
      </c>
      <c r="E1269" t="s">
        <v>40</v>
      </c>
      <c r="F1269" t="s">
        <v>43</v>
      </c>
      <c r="G1269">
        <v>19</v>
      </c>
      <c r="H1269" t="s">
        <v>140</v>
      </c>
      <c r="I1269">
        <v>0.5</v>
      </c>
      <c r="J1269">
        <v>1</v>
      </c>
      <c r="K1269" t="s">
        <v>122</v>
      </c>
      <c r="L1269" t="s">
        <v>141</v>
      </c>
      <c r="M1269" t="s">
        <v>142</v>
      </c>
      <c r="N1269" t="s">
        <v>107</v>
      </c>
      <c r="O1269" t="s">
        <v>97</v>
      </c>
    </row>
    <row r="1270" spans="1:15" x14ac:dyDescent="0.2">
      <c r="A1270">
        <v>206</v>
      </c>
      <c r="B1270">
        <v>207</v>
      </c>
      <c r="C1270">
        <v>206</v>
      </c>
      <c r="D1270">
        <v>205</v>
      </c>
      <c r="E1270" t="s">
        <v>40</v>
      </c>
      <c r="F1270" t="s">
        <v>43</v>
      </c>
      <c r="G1270">
        <v>20</v>
      </c>
      <c r="H1270" t="s">
        <v>143</v>
      </c>
      <c r="I1270">
        <v>1</v>
      </c>
      <c r="J1270">
        <v>1</v>
      </c>
      <c r="K1270" t="s">
        <v>122</v>
      </c>
      <c r="L1270" t="s">
        <v>144</v>
      </c>
      <c r="M1270" t="s">
        <v>145</v>
      </c>
      <c r="N1270" t="s">
        <v>107</v>
      </c>
      <c r="O1270" t="s">
        <v>97</v>
      </c>
    </row>
    <row r="1271" spans="1:15" x14ac:dyDescent="0.2">
      <c r="A1271">
        <v>206</v>
      </c>
      <c r="B1271">
        <v>207</v>
      </c>
      <c r="C1271">
        <v>206</v>
      </c>
      <c r="D1271">
        <v>205</v>
      </c>
      <c r="E1271" t="s">
        <v>40</v>
      </c>
      <c r="F1271" t="s">
        <v>43</v>
      </c>
      <c r="G1271">
        <v>21</v>
      </c>
      <c r="H1271" t="s">
        <v>146</v>
      </c>
      <c r="I1271">
        <v>0.5</v>
      </c>
      <c r="J1271">
        <v>1</v>
      </c>
      <c r="K1271" t="s">
        <v>147</v>
      </c>
      <c r="L1271" t="s">
        <v>148</v>
      </c>
      <c r="M1271" t="s">
        <v>149</v>
      </c>
      <c r="N1271" t="s">
        <v>96</v>
      </c>
      <c r="O1271" t="s">
        <v>97</v>
      </c>
    </row>
    <row r="1272" spans="1:15" x14ac:dyDescent="0.2">
      <c r="A1272">
        <v>206</v>
      </c>
      <c r="B1272">
        <v>207</v>
      </c>
      <c r="C1272">
        <v>206</v>
      </c>
      <c r="D1272">
        <v>205</v>
      </c>
      <c r="E1272" t="s">
        <v>40</v>
      </c>
      <c r="F1272" t="s">
        <v>43</v>
      </c>
      <c r="G1272">
        <v>22</v>
      </c>
      <c r="H1272" t="s">
        <v>150</v>
      </c>
      <c r="I1272">
        <v>0</v>
      </c>
      <c r="J1272">
        <v>1</v>
      </c>
      <c r="K1272" t="s">
        <v>147</v>
      </c>
      <c r="L1272" t="s">
        <v>151</v>
      </c>
      <c r="M1272" t="s">
        <v>149</v>
      </c>
      <c r="N1272" t="s">
        <v>107</v>
      </c>
      <c r="O1272" t="s">
        <v>97</v>
      </c>
    </row>
    <row r="1273" spans="1:15" x14ac:dyDescent="0.2">
      <c r="A1273">
        <v>206</v>
      </c>
      <c r="B1273">
        <v>207</v>
      </c>
      <c r="C1273">
        <v>206</v>
      </c>
      <c r="D1273">
        <v>205</v>
      </c>
      <c r="E1273" t="s">
        <v>40</v>
      </c>
      <c r="F1273" t="s">
        <v>43</v>
      </c>
      <c r="G1273">
        <v>23</v>
      </c>
      <c r="H1273" t="s">
        <v>152</v>
      </c>
      <c r="I1273">
        <v>0</v>
      </c>
      <c r="J1273">
        <v>1</v>
      </c>
      <c r="K1273" t="s">
        <v>153</v>
      </c>
      <c r="L1273" t="s">
        <v>154</v>
      </c>
      <c r="M1273" t="s">
        <v>155</v>
      </c>
      <c r="N1273" t="s">
        <v>107</v>
      </c>
      <c r="O1273" t="s">
        <v>97</v>
      </c>
    </row>
    <row r="1274" spans="1:15" x14ac:dyDescent="0.2">
      <c r="A1274">
        <v>206</v>
      </c>
      <c r="B1274">
        <v>207</v>
      </c>
      <c r="C1274">
        <v>206</v>
      </c>
      <c r="D1274">
        <v>205</v>
      </c>
      <c r="E1274" t="s">
        <v>40</v>
      </c>
      <c r="F1274" t="s">
        <v>43</v>
      </c>
      <c r="G1274">
        <v>24</v>
      </c>
      <c r="H1274" t="s">
        <v>156</v>
      </c>
      <c r="I1274">
        <v>0.5</v>
      </c>
      <c r="J1274">
        <v>0.5</v>
      </c>
      <c r="K1274" t="s">
        <v>122</v>
      </c>
      <c r="L1274" t="s">
        <v>157</v>
      </c>
      <c r="M1274" t="s">
        <v>158</v>
      </c>
      <c r="N1274" t="s">
        <v>107</v>
      </c>
      <c r="O1274" t="s">
        <v>97</v>
      </c>
    </row>
    <row r="1275" spans="1:15" x14ac:dyDescent="0.2">
      <c r="A1275">
        <v>206</v>
      </c>
      <c r="B1275">
        <v>207</v>
      </c>
      <c r="C1275">
        <v>206</v>
      </c>
      <c r="D1275">
        <v>205</v>
      </c>
      <c r="E1275" t="s">
        <v>40</v>
      </c>
      <c r="F1275" t="s">
        <v>43</v>
      </c>
      <c r="G1275">
        <v>25</v>
      </c>
      <c r="H1275" t="s">
        <v>156</v>
      </c>
      <c r="I1275">
        <v>0</v>
      </c>
      <c r="J1275">
        <v>0.5</v>
      </c>
      <c r="K1275" t="s">
        <v>122</v>
      </c>
      <c r="L1275" t="s">
        <v>157</v>
      </c>
      <c r="M1275" t="s">
        <v>158</v>
      </c>
      <c r="N1275" t="s">
        <v>107</v>
      </c>
      <c r="O1275" t="s">
        <v>97</v>
      </c>
    </row>
    <row r="1276" spans="1:15" x14ac:dyDescent="0.2">
      <c r="A1276">
        <v>206</v>
      </c>
      <c r="B1276">
        <v>207</v>
      </c>
      <c r="C1276">
        <v>206</v>
      </c>
      <c r="D1276">
        <v>205</v>
      </c>
      <c r="E1276" t="s">
        <v>40</v>
      </c>
      <c r="F1276" t="s">
        <v>43</v>
      </c>
      <c r="G1276">
        <v>26</v>
      </c>
      <c r="H1276" t="s">
        <v>152</v>
      </c>
      <c r="I1276">
        <v>0</v>
      </c>
      <c r="J1276">
        <v>0</v>
      </c>
      <c r="K1276" t="s">
        <v>153</v>
      </c>
      <c r="L1276" t="s">
        <v>154</v>
      </c>
      <c r="M1276" t="s">
        <v>155</v>
      </c>
      <c r="N1276" t="s">
        <v>107</v>
      </c>
      <c r="O1276" t="s">
        <v>97</v>
      </c>
    </row>
    <row r="1277" spans="1:15" x14ac:dyDescent="0.2">
      <c r="A1277">
        <v>206</v>
      </c>
      <c r="B1277">
        <v>207</v>
      </c>
      <c r="C1277">
        <v>206</v>
      </c>
      <c r="D1277">
        <v>205</v>
      </c>
      <c r="E1277" t="s">
        <v>40</v>
      </c>
      <c r="F1277" t="s">
        <v>43</v>
      </c>
      <c r="G1277">
        <v>27</v>
      </c>
      <c r="H1277" t="s">
        <v>159</v>
      </c>
      <c r="I1277">
        <v>0.5</v>
      </c>
      <c r="J1277">
        <v>0.5</v>
      </c>
      <c r="K1277" t="s">
        <v>122</v>
      </c>
      <c r="L1277" t="s">
        <v>160</v>
      </c>
      <c r="M1277" t="s">
        <v>161</v>
      </c>
      <c r="N1277" t="s">
        <v>107</v>
      </c>
      <c r="O1277" t="s">
        <v>97</v>
      </c>
    </row>
    <row r="1278" spans="1:15" x14ac:dyDescent="0.2">
      <c r="A1278">
        <v>206</v>
      </c>
      <c r="B1278">
        <v>207</v>
      </c>
      <c r="C1278">
        <v>206</v>
      </c>
      <c r="D1278">
        <v>205</v>
      </c>
      <c r="E1278" t="s">
        <v>40</v>
      </c>
      <c r="F1278" t="s">
        <v>43</v>
      </c>
      <c r="G1278">
        <v>28</v>
      </c>
      <c r="H1278" t="s">
        <v>159</v>
      </c>
      <c r="I1278">
        <v>0.5</v>
      </c>
      <c r="J1278">
        <v>0.5</v>
      </c>
      <c r="K1278" t="s">
        <v>122</v>
      </c>
      <c r="L1278" t="s">
        <v>160</v>
      </c>
      <c r="M1278" t="s">
        <v>161</v>
      </c>
      <c r="N1278" t="s">
        <v>107</v>
      </c>
      <c r="O1278" t="s">
        <v>97</v>
      </c>
    </row>
    <row r="1279" spans="1:15" x14ac:dyDescent="0.2">
      <c r="A1279">
        <v>206</v>
      </c>
      <c r="B1279">
        <v>207</v>
      </c>
      <c r="C1279">
        <v>206</v>
      </c>
      <c r="D1279">
        <v>205</v>
      </c>
      <c r="E1279" t="s">
        <v>40</v>
      </c>
      <c r="F1279" t="s">
        <v>43</v>
      </c>
      <c r="G1279">
        <v>29</v>
      </c>
      <c r="H1279" t="s">
        <v>152</v>
      </c>
      <c r="I1279">
        <v>0</v>
      </c>
      <c r="J1279">
        <v>0</v>
      </c>
      <c r="K1279" t="s">
        <v>153</v>
      </c>
      <c r="L1279" t="s">
        <v>154</v>
      </c>
      <c r="M1279" t="s">
        <v>155</v>
      </c>
      <c r="N1279" t="s">
        <v>107</v>
      </c>
      <c r="O1279" t="s">
        <v>97</v>
      </c>
    </row>
    <row r="1280" spans="1:15" x14ac:dyDescent="0.2">
      <c r="A1280">
        <v>206</v>
      </c>
      <c r="B1280">
        <v>207</v>
      </c>
      <c r="C1280">
        <v>206</v>
      </c>
      <c r="D1280">
        <v>205</v>
      </c>
      <c r="E1280" t="s">
        <v>40</v>
      </c>
      <c r="F1280" t="s">
        <v>43</v>
      </c>
      <c r="G1280">
        <v>30</v>
      </c>
      <c r="H1280" t="s">
        <v>162</v>
      </c>
      <c r="I1280">
        <v>1</v>
      </c>
      <c r="J1280">
        <v>1</v>
      </c>
      <c r="K1280" t="s">
        <v>112</v>
      </c>
      <c r="L1280" t="s">
        <v>163</v>
      </c>
      <c r="M1280" t="s">
        <v>164</v>
      </c>
      <c r="N1280" t="s">
        <v>107</v>
      </c>
      <c r="O1280" t="s">
        <v>97</v>
      </c>
    </row>
    <row r="1281" spans="1:15" x14ac:dyDescent="0.2">
      <c r="A1281">
        <v>206</v>
      </c>
      <c r="B1281">
        <v>207</v>
      </c>
      <c r="C1281">
        <v>206</v>
      </c>
      <c r="D1281">
        <v>205</v>
      </c>
      <c r="E1281" t="s">
        <v>40</v>
      </c>
      <c r="F1281" t="s">
        <v>43</v>
      </c>
      <c r="G1281">
        <v>31</v>
      </c>
      <c r="H1281" t="s">
        <v>162</v>
      </c>
      <c r="I1281">
        <v>0</v>
      </c>
      <c r="J1281">
        <v>0</v>
      </c>
      <c r="K1281" t="s">
        <v>112</v>
      </c>
      <c r="L1281" t="s">
        <v>163</v>
      </c>
      <c r="M1281" t="s">
        <v>164</v>
      </c>
      <c r="N1281" t="s">
        <v>107</v>
      </c>
      <c r="O1281" t="s">
        <v>97</v>
      </c>
    </row>
    <row r="1282" spans="1:15" x14ac:dyDescent="0.2">
      <c r="A1282">
        <v>206</v>
      </c>
      <c r="B1282">
        <v>207</v>
      </c>
      <c r="C1282">
        <v>206</v>
      </c>
      <c r="D1282">
        <v>205</v>
      </c>
      <c r="E1282" t="s">
        <v>40</v>
      </c>
      <c r="F1282" t="s">
        <v>43</v>
      </c>
      <c r="G1282">
        <v>32</v>
      </c>
      <c r="H1282" t="s">
        <v>162</v>
      </c>
      <c r="I1282">
        <v>0</v>
      </c>
      <c r="J1282">
        <v>0</v>
      </c>
      <c r="K1282" t="s">
        <v>112</v>
      </c>
      <c r="L1282" t="s">
        <v>163</v>
      </c>
      <c r="M1282" t="s">
        <v>164</v>
      </c>
      <c r="N1282" t="s">
        <v>107</v>
      </c>
      <c r="O1282" t="s">
        <v>97</v>
      </c>
    </row>
    <row r="1283" spans="1:15" x14ac:dyDescent="0.2">
      <c r="A1283">
        <v>206</v>
      </c>
      <c r="B1283">
        <v>207</v>
      </c>
      <c r="C1283">
        <v>206</v>
      </c>
      <c r="D1283">
        <v>205</v>
      </c>
      <c r="E1283" t="s">
        <v>40</v>
      </c>
      <c r="F1283" t="s">
        <v>43</v>
      </c>
      <c r="G1283">
        <v>33</v>
      </c>
      <c r="H1283" t="s">
        <v>152</v>
      </c>
      <c r="I1283">
        <v>1</v>
      </c>
      <c r="J1283">
        <v>1</v>
      </c>
      <c r="K1283" t="s">
        <v>153</v>
      </c>
      <c r="L1283" t="s">
        <v>154</v>
      </c>
      <c r="M1283" t="s">
        <v>155</v>
      </c>
      <c r="N1283" t="s">
        <v>107</v>
      </c>
      <c r="O1283" t="s">
        <v>97</v>
      </c>
    </row>
    <row r="1284" spans="1:15" x14ac:dyDescent="0.2">
      <c r="A1284">
        <v>206</v>
      </c>
      <c r="B1284">
        <v>207</v>
      </c>
      <c r="C1284">
        <v>206</v>
      </c>
      <c r="D1284">
        <v>205</v>
      </c>
      <c r="E1284" t="s">
        <v>40</v>
      </c>
      <c r="F1284" t="s">
        <v>43</v>
      </c>
      <c r="G1284">
        <v>34</v>
      </c>
      <c r="H1284" t="s">
        <v>152</v>
      </c>
      <c r="I1284">
        <v>0</v>
      </c>
      <c r="J1284">
        <v>0</v>
      </c>
      <c r="K1284" t="s">
        <v>153</v>
      </c>
      <c r="L1284" t="s">
        <v>154</v>
      </c>
      <c r="M1284" t="s">
        <v>155</v>
      </c>
      <c r="N1284" t="s">
        <v>107</v>
      </c>
      <c r="O1284" t="s">
        <v>97</v>
      </c>
    </row>
    <row r="1285" spans="1:15" x14ac:dyDescent="0.2">
      <c r="A1285">
        <v>206</v>
      </c>
      <c r="B1285">
        <v>207</v>
      </c>
      <c r="C1285">
        <v>206</v>
      </c>
      <c r="D1285">
        <v>205</v>
      </c>
      <c r="E1285" t="s">
        <v>40</v>
      </c>
      <c r="F1285" t="s">
        <v>43</v>
      </c>
      <c r="G1285">
        <v>35</v>
      </c>
      <c r="H1285" t="s">
        <v>165</v>
      </c>
      <c r="I1285">
        <v>1</v>
      </c>
      <c r="J1285">
        <v>1</v>
      </c>
      <c r="K1285" t="s">
        <v>166</v>
      </c>
      <c r="L1285" t="s">
        <v>167</v>
      </c>
      <c r="M1285" t="s">
        <v>168</v>
      </c>
      <c r="N1285" t="s">
        <v>107</v>
      </c>
      <c r="O1285" t="s">
        <v>97</v>
      </c>
    </row>
    <row r="1286" spans="1:15" x14ac:dyDescent="0.2">
      <c r="A1286">
        <v>206</v>
      </c>
      <c r="B1286">
        <v>207</v>
      </c>
      <c r="C1286">
        <v>206</v>
      </c>
      <c r="D1286">
        <v>205</v>
      </c>
      <c r="E1286" t="s">
        <v>40</v>
      </c>
      <c r="F1286" t="s">
        <v>43</v>
      </c>
      <c r="G1286">
        <v>36</v>
      </c>
      <c r="H1286" t="s">
        <v>169</v>
      </c>
      <c r="I1286">
        <v>0</v>
      </c>
      <c r="J1286">
        <v>0</v>
      </c>
      <c r="K1286" t="e">
        <v>#N/A</v>
      </c>
      <c r="L1286" t="e">
        <v>#N/A</v>
      </c>
      <c r="M1286" t="e">
        <v>#N/A</v>
      </c>
      <c r="N1286" t="e">
        <v>#N/A</v>
      </c>
      <c r="O1286" t="s">
        <v>97</v>
      </c>
    </row>
    <row r="1287" spans="1:15" x14ac:dyDescent="0.2">
      <c r="A1287">
        <v>206</v>
      </c>
      <c r="B1287">
        <v>207</v>
      </c>
      <c r="C1287">
        <v>206</v>
      </c>
      <c r="D1287">
        <v>205</v>
      </c>
      <c r="E1287" t="s">
        <v>40</v>
      </c>
      <c r="F1287" t="s">
        <v>43</v>
      </c>
      <c r="G1287">
        <v>38</v>
      </c>
      <c r="H1287" t="s">
        <v>170</v>
      </c>
      <c r="I1287">
        <v>0.5</v>
      </c>
      <c r="J1287">
        <v>0.5</v>
      </c>
      <c r="K1287" t="s">
        <v>112</v>
      </c>
      <c r="L1287" t="s">
        <v>171</v>
      </c>
      <c r="M1287" t="s">
        <v>172</v>
      </c>
      <c r="N1287" t="s">
        <v>96</v>
      </c>
      <c r="O1287" t="s">
        <v>97</v>
      </c>
    </row>
    <row r="1288" spans="1:15" x14ac:dyDescent="0.2">
      <c r="A1288">
        <v>206</v>
      </c>
      <c r="B1288">
        <v>207</v>
      </c>
      <c r="C1288">
        <v>206</v>
      </c>
      <c r="D1288">
        <v>205</v>
      </c>
      <c r="E1288" t="s">
        <v>40</v>
      </c>
      <c r="F1288" t="s">
        <v>43</v>
      </c>
      <c r="G1288">
        <v>39</v>
      </c>
      <c r="H1288" t="s">
        <v>170</v>
      </c>
      <c r="I1288">
        <v>0.5</v>
      </c>
      <c r="J1288">
        <v>0.5</v>
      </c>
      <c r="K1288" t="s">
        <v>112</v>
      </c>
      <c r="L1288" t="s">
        <v>171</v>
      </c>
      <c r="M1288" t="s">
        <v>172</v>
      </c>
      <c r="N1288" t="s">
        <v>96</v>
      </c>
      <c r="O1288" t="s">
        <v>97</v>
      </c>
    </row>
    <row r="1289" spans="1:15" x14ac:dyDescent="0.2">
      <c r="A1289">
        <v>206</v>
      </c>
      <c r="B1289">
        <v>207</v>
      </c>
      <c r="C1289">
        <v>206</v>
      </c>
      <c r="D1289">
        <v>205</v>
      </c>
      <c r="E1289" t="s">
        <v>40</v>
      </c>
      <c r="F1289" t="s">
        <v>43</v>
      </c>
      <c r="G1289">
        <v>40</v>
      </c>
      <c r="H1289" t="s">
        <v>170</v>
      </c>
      <c r="I1289">
        <v>0</v>
      </c>
      <c r="J1289">
        <v>0.5</v>
      </c>
      <c r="K1289" t="s">
        <v>112</v>
      </c>
      <c r="L1289" t="s">
        <v>171</v>
      </c>
      <c r="M1289" t="s">
        <v>172</v>
      </c>
      <c r="N1289" t="s">
        <v>96</v>
      </c>
      <c r="O1289" t="s">
        <v>97</v>
      </c>
    </row>
    <row r="1290" spans="1:15" x14ac:dyDescent="0.2">
      <c r="A1290">
        <v>206</v>
      </c>
      <c r="B1290">
        <v>207</v>
      </c>
      <c r="C1290">
        <v>206</v>
      </c>
      <c r="D1290">
        <v>205</v>
      </c>
      <c r="E1290" t="s">
        <v>40</v>
      </c>
      <c r="F1290" t="s">
        <v>43</v>
      </c>
      <c r="G1290">
        <v>41</v>
      </c>
      <c r="H1290" t="s">
        <v>173</v>
      </c>
      <c r="I1290">
        <v>1</v>
      </c>
      <c r="J1290">
        <v>1</v>
      </c>
      <c r="K1290" t="s">
        <v>166</v>
      </c>
      <c r="L1290" t="s">
        <v>174</v>
      </c>
      <c r="M1290" t="s">
        <v>175</v>
      </c>
      <c r="N1290" t="s">
        <v>107</v>
      </c>
      <c r="O1290" t="s">
        <v>97</v>
      </c>
    </row>
    <row r="1291" spans="1:15" x14ac:dyDescent="0.2">
      <c r="A1291">
        <v>206</v>
      </c>
      <c r="B1291">
        <v>207</v>
      </c>
      <c r="C1291">
        <v>206</v>
      </c>
      <c r="D1291">
        <v>205</v>
      </c>
      <c r="E1291" t="s">
        <v>40</v>
      </c>
      <c r="F1291" t="s">
        <v>43</v>
      </c>
      <c r="G1291">
        <v>42</v>
      </c>
      <c r="H1291" t="s">
        <v>176</v>
      </c>
      <c r="I1291">
        <v>1</v>
      </c>
      <c r="J1291">
        <v>1</v>
      </c>
      <c r="K1291" t="s">
        <v>153</v>
      </c>
      <c r="L1291" t="s">
        <v>177</v>
      </c>
      <c r="M1291" t="s">
        <v>178</v>
      </c>
      <c r="N1291" t="s">
        <v>107</v>
      </c>
      <c r="O1291" t="s">
        <v>97</v>
      </c>
    </row>
    <row r="1292" spans="1:15" x14ac:dyDescent="0.2">
      <c r="A1292">
        <v>206</v>
      </c>
      <c r="B1292">
        <v>207</v>
      </c>
      <c r="C1292">
        <v>206</v>
      </c>
      <c r="D1292">
        <v>205</v>
      </c>
      <c r="E1292" t="s">
        <v>40</v>
      </c>
      <c r="F1292" t="s">
        <v>43</v>
      </c>
      <c r="G1292">
        <v>43</v>
      </c>
      <c r="H1292" t="s">
        <v>179</v>
      </c>
      <c r="I1292">
        <v>0</v>
      </c>
      <c r="J1292">
        <v>0</v>
      </c>
      <c r="K1292" t="s">
        <v>166</v>
      </c>
      <c r="L1292" t="s">
        <v>180</v>
      </c>
      <c r="M1292" t="s">
        <v>181</v>
      </c>
      <c r="N1292" t="s">
        <v>107</v>
      </c>
      <c r="O1292" t="s">
        <v>97</v>
      </c>
    </row>
    <row r="1293" spans="1:15" x14ac:dyDescent="0.2">
      <c r="A1293">
        <v>206</v>
      </c>
      <c r="B1293">
        <v>207</v>
      </c>
      <c r="C1293">
        <v>206</v>
      </c>
      <c r="D1293">
        <v>205</v>
      </c>
      <c r="E1293" t="s">
        <v>40</v>
      </c>
      <c r="F1293" t="s">
        <v>43</v>
      </c>
      <c r="G1293">
        <v>44</v>
      </c>
      <c r="H1293" t="s">
        <v>182</v>
      </c>
      <c r="I1293">
        <v>1</v>
      </c>
      <c r="J1293">
        <v>1</v>
      </c>
      <c r="K1293" t="s">
        <v>166</v>
      </c>
      <c r="L1293" t="s">
        <v>183</v>
      </c>
      <c r="M1293" t="s">
        <v>184</v>
      </c>
      <c r="N1293" t="s">
        <v>107</v>
      </c>
      <c r="O1293" t="s">
        <v>97</v>
      </c>
    </row>
    <row r="1294" spans="1:15" x14ac:dyDescent="0.2">
      <c r="A1294">
        <v>206</v>
      </c>
      <c r="B1294">
        <v>207</v>
      </c>
      <c r="C1294">
        <v>206</v>
      </c>
      <c r="D1294">
        <v>205</v>
      </c>
      <c r="E1294" t="s">
        <v>40</v>
      </c>
      <c r="F1294" t="s">
        <v>43</v>
      </c>
      <c r="G1294">
        <v>45</v>
      </c>
      <c r="H1294" t="s">
        <v>185</v>
      </c>
      <c r="I1294">
        <v>1</v>
      </c>
      <c r="J1294">
        <v>1</v>
      </c>
      <c r="K1294" t="s">
        <v>166</v>
      </c>
      <c r="L1294" t="s">
        <v>186</v>
      </c>
      <c r="M1294" t="s">
        <v>139</v>
      </c>
      <c r="N1294" t="s">
        <v>107</v>
      </c>
      <c r="O1294" t="s">
        <v>97</v>
      </c>
    </row>
    <row r="1295" spans="1:15" x14ac:dyDescent="0.2">
      <c r="A1295">
        <v>206</v>
      </c>
      <c r="B1295">
        <v>207</v>
      </c>
      <c r="C1295">
        <v>206</v>
      </c>
      <c r="D1295">
        <v>205</v>
      </c>
      <c r="E1295" t="s">
        <v>40</v>
      </c>
      <c r="F1295" t="s">
        <v>43</v>
      </c>
      <c r="G1295">
        <v>47</v>
      </c>
      <c r="H1295" t="s">
        <v>187</v>
      </c>
      <c r="I1295">
        <v>0.2</v>
      </c>
      <c r="J1295">
        <v>0.2</v>
      </c>
      <c r="K1295" t="s">
        <v>93</v>
      </c>
      <c r="L1295" t="s">
        <v>188</v>
      </c>
      <c r="M1295" t="s">
        <v>95</v>
      </c>
      <c r="N1295" t="s">
        <v>96</v>
      </c>
      <c r="O1295" t="s">
        <v>97</v>
      </c>
    </row>
    <row r="1296" spans="1:15" x14ac:dyDescent="0.2">
      <c r="A1296">
        <v>206</v>
      </c>
      <c r="B1296">
        <v>207</v>
      </c>
      <c r="C1296">
        <v>206</v>
      </c>
      <c r="D1296">
        <v>205</v>
      </c>
      <c r="E1296" t="s">
        <v>40</v>
      </c>
      <c r="F1296" t="s">
        <v>43</v>
      </c>
      <c r="G1296">
        <v>48</v>
      </c>
      <c r="H1296" t="s">
        <v>189</v>
      </c>
      <c r="I1296">
        <v>0.2</v>
      </c>
      <c r="J1296">
        <v>0.2</v>
      </c>
      <c r="K1296" t="s">
        <v>93</v>
      </c>
      <c r="L1296" t="s">
        <v>190</v>
      </c>
      <c r="M1296" t="s">
        <v>95</v>
      </c>
      <c r="N1296" t="s">
        <v>96</v>
      </c>
      <c r="O1296" t="s">
        <v>97</v>
      </c>
    </row>
    <row r="1297" spans="1:15" x14ac:dyDescent="0.2">
      <c r="A1297">
        <v>206</v>
      </c>
      <c r="B1297">
        <v>207</v>
      </c>
      <c r="C1297">
        <v>206</v>
      </c>
      <c r="D1297">
        <v>205</v>
      </c>
      <c r="E1297" t="s">
        <v>40</v>
      </c>
      <c r="F1297" t="s">
        <v>43</v>
      </c>
      <c r="G1297">
        <v>49</v>
      </c>
      <c r="H1297" t="s">
        <v>191</v>
      </c>
      <c r="I1297">
        <v>0.2</v>
      </c>
      <c r="J1297">
        <v>0.2</v>
      </c>
      <c r="K1297" t="s">
        <v>93</v>
      </c>
      <c r="L1297" t="s">
        <v>192</v>
      </c>
      <c r="M1297" t="s">
        <v>95</v>
      </c>
      <c r="N1297" t="s">
        <v>96</v>
      </c>
      <c r="O1297" t="s">
        <v>97</v>
      </c>
    </row>
    <row r="1298" spans="1:15" x14ac:dyDescent="0.2">
      <c r="A1298">
        <v>206</v>
      </c>
      <c r="B1298">
        <v>207</v>
      </c>
      <c r="C1298">
        <v>206</v>
      </c>
      <c r="D1298">
        <v>205</v>
      </c>
      <c r="E1298" t="s">
        <v>40</v>
      </c>
      <c r="F1298" t="s">
        <v>43</v>
      </c>
      <c r="G1298">
        <v>50</v>
      </c>
      <c r="H1298" t="s">
        <v>193</v>
      </c>
      <c r="I1298">
        <v>0.1</v>
      </c>
      <c r="J1298">
        <v>0.1</v>
      </c>
      <c r="K1298" t="s">
        <v>93</v>
      </c>
      <c r="L1298" t="s">
        <v>194</v>
      </c>
      <c r="M1298" t="s">
        <v>95</v>
      </c>
      <c r="N1298" t="s">
        <v>96</v>
      </c>
      <c r="O1298" t="s">
        <v>97</v>
      </c>
    </row>
    <row r="1299" spans="1:15" x14ac:dyDescent="0.2">
      <c r="A1299">
        <v>206</v>
      </c>
      <c r="B1299">
        <v>207</v>
      </c>
      <c r="C1299">
        <v>206</v>
      </c>
      <c r="D1299">
        <v>205</v>
      </c>
      <c r="E1299" t="s">
        <v>40</v>
      </c>
      <c r="F1299" t="s">
        <v>43</v>
      </c>
      <c r="G1299">
        <v>51</v>
      </c>
      <c r="H1299" t="s">
        <v>193</v>
      </c>
      <c r="I1299">
        <v>0.1</v>
      </c>
      <c r="J1299">
        <v>0.1</v>
      </c>
      <c r="K1299" t="s">
        <v>93</v>
      </c>
      <c r="L1299" t="s">
        <v>194</v>
      </c>
      <c r="M1299" t="s">
        <v>95</v>
      </c>
      <c r="N1299" t="s">
        <v>96</v>
      </c>
      <c r="O1299" t="s">
        <v>97</v>
      </c>
    </row>
    <row r="1300" spans="1:15" x14ac:dyDescent="0.2">
      <c r="A1300">
        <v>217</v>
      </c>
      <c r="B1300">
        <v>218</v>
      </c>
      <c r="C1300">
        <v>217</v>
      </c>
      <c r="D1300">
        <v>216</v>
      </c>
      <c r="E1300" t="s">
        <v>44</v>
      </c>
      <c r="F1300" t="s">
        <v>45</v>
      </c>
      <c r="G1300">
        <v>1</v>
      </c>
      <c r="H1300" t="s">
        <v>92</v>
      </c>
      <c r="I1300">
        <v>0</v>
      </c>
      <c r="J1300">
        <v>0</v>
      </c>
      <c r="K1300" t="s">
        <v>93</v>
      </c>
      <c r="L1300" t="s">
        <v>94</v>
      </c>
      <c r="M1300" t="s">
        <v>95</v>
      </c>
      <c r="N1300" t="s">
        <v>96</v>
      </c>
      <c r="O1300" t="s">
        <v>97</v>
      </c>
    </row>
    <row r="1301" spans="1:15" x14ac:dyDescent="0.2">
      <c r="A1301">
        <v>217</v>
      </c>
      <c r="B1301">
        <v>218</v>
      </c>
      <c r="C1301">
        <v>217</v>
      </c>
      <c r="D1301">
        <v>216</v>
      </c>
      <c r="E1301" t="s">
        <v>44</v>
      </c>
      <c r="F1301" t="s">
        <v>45</v>
      </c>
      <c r="G1301">
        <v>2</v>
      </c>
      <c r="H1301" t="s">
        <v>98</v>
      </c>
      <c r="I1301">
        <v>0.5</v>
      </c>
      <c r="J1301">
        <v>0.5</v>
      </c>
      <c r="K1301" t="s">
        <v>93</v>
      </c>
      <c r="L1301" t="s">
        <v>99</v>
      </c>
      <c r="M1301" t="s">
        <v>95</v>
      </c>
      <c r="N1301" t="s">
        <v>96</v>
      </c>
      <c r="O1301" t="s">
        <v>97</v>
      </c>
    </row>
    <row r="1302" spans="1:15" x14ac:dyDescent="0.2">
      <c r="A1302">
        <v>217</v>
      </c>
      <c r="B1302">
        <v>218</v>
      </c>
      <c r="C1302">
        <v>217</v>
      </c>
      <c r="D1302">
        <v>216</v>
      </c>
      <c r="E1302" t="s">
        <v>44</v>
      </c>
      <c r="F1302" t="s">
        <v>45</v>
      </c>
      <c r="G1302">
        <v>3</v>
      </c>
      <c r="H1302" t="s">
        <v>100</v>
      </c>
      <c r="I1302">
        <v>0</v>
      </c>
      <c r="J1302">
        <v>1</v>
      </c>
      <c r="K1302" t="s">
        <v>101</v>
      </c>
      <c r="L1302" t="s">
        <v>102</v>
      </c>
      <c r="M1302" t="s">
        <v>103</v>
      </c>
      <c r="N1302" t="s">
        <v>96</v>
      </c>
      <c r="O1302" t="s">
        <v>97</v>
      </c>
    </row>
    <row r="1303" spans="1:15" x14ac:dyDescent="0.2">
      <c r="A1303">
        <v>217</v>
      </c>
      <c r="B1303">
        <v>218</v>
      </c>
      <c r="C1303">
        <v>217</v>
      </c>
      <c r="D1303">
        <v>216</v>
      </c>
      <c r="E1303" t="s">
        <v>44</v>
      </c>
      <c r="F1303" t="s">
        <v>45</v>
      </c>
      <c r="G1303">
        <v>4</v>
      </c>
      <c r="H1303" t="s">
        <v>104</v>
      </c>
      <c r="I1303">
        <v>0</v>
      </c>
      <c r="J1303">
        <v>1</v>
      </c>
      <c r="K1303" t="s">
        <v>101</v>
      </c>
      <c r="L1303" t="s">
        <v>105</v>
      </c>
      <c r="M1303" t="s">
        <v>106</v>
      </c>
      <c r="N1303" t="s">
        <v>107</v>
      </c>
      <c r="O1303" t="s">
        <v>97</v>
      </c>
    </row>
    <row r="1304" spans="1:15" x14ac:dyDescent="0.2">
      <c r="A1304">
        <v>217</v>
      </c>
      <c r="B1304">
        <v>218</v>
      </c>
      <c r="C1304">
        <v>217</v>
      </c>
      <c r="D1304">
        <v>216</v>
      </c>
      <c r="E1304" t="s">
        <v>44</v>
      </c>
      <c r="F1304" t="s">
        <v>45</v>
      </c>
      <c r="G1304">
        <v>5</v>
      </c>
      <c r="H1304" t="s">
        <v>108</v>
      </c>
      <c r="I1304">
        <v>0</v>
      </c>
      <c r="J1304">
        <v>1</v>
      </c>
      <c r="K1304" t="s">
        <v>101</v>
      </c>
      <c r="L1304" t="s">
        <v>109</v>
      </c>
      <c r="M1304" t="s">
        <v>110</v>
      </c>
      <c r="N1304" t="s">
        <v>107</v>
      </c>
      <c r="O1304" t="s">
        <v>97</v>
      </c>
    </row>
    <row r="1305" spans="1:15" x14ac:dyDescent="0.2">
      <c r="A1305">
        <v>217</v>
      </c>
      <c r="B1305">
        <v>218</v>
      </c>
      <c r="C1305">
        <v>217</v>
      </c>
      <c r="D1305">
        <v>216</v>
      </c>
      <c r="E1305" t="s">
        <v>44</v>
      </c>
      <c r="F1305" t="s">
        <v>45</v>
      </c>
      <c r="G1305">
        <v>9</v>
      </c>
      <c r="H1305" t="s">
        <v>111</v>
      </c>
      <c r="I1305">
        <v>0</v>
      </c>
      <c r="J1305" t="s">
        <v>195</v>
      </c>
      <c r="K1305" t="s">
        <v>112</v>
      </c>
      <c r="L1305" t="s">
        <v>113</v>
      </c>
      <c r="M1305" t="s">
        <v>114</v>
      </c>
      <c r="N1305" t="s">
        <v>96</v>
      </c>
      <c r="O1305" t="s">
        <v>97</v>
      </c>
    </row>
    <row r="1306" spans="1:15" x14ac:dyDescent="0.2">
      <c r="A1306">
        <v>217</v>
      </c>
      <c r="B1306">
        <v>218</v>
      </c>
      <c r="C1306">
        <v>217</v>
      </c>
      <c r="D1306">
        <v>216</v>
      </c>
      <c r="E1306" t="s">
        <v>44</v>
      </c>
      <c r="F1306" t="s">
        <v>45</v>
      </c>
      <c r="G1306">
        <v>10</v>
      </c>
      <c r="H1306" t="s">
        <v>115</v>
      </c>
      <c r="I1306">
        <v>0</v>
      </c>
      <c r="J1306">
        <v>0.5</v>
      </c>
      <c r="K1306" t="s">
        <v>112</v>
      </c>
      <c r="L1306" t="s">
        <v>116</v>
      </c>
      <c r="M1306" t="s">
        <v>117</v>
      </c>
      <c r="N1306" t="s">
        <v>96</v>
      </c>
      <c r="O1306" t="s">
        <v>97</v>
      </c>
    </row>
    <row r="1307" spans="1:15" x14ac:dyDescent="0.2">
      <c r="A1307">
        <v>217</v>
      </c>
      <c r="B1307">
        <v>218</v>
      </c>
      <c r="C1307">
        <v>217</v>
      </c>
      <c r="D1307">
        <v>216</v>
      </c>
      <c r="E1307" t="s">
        <v>44</v>
      </c>
      <c r="F1307" t="s">
        <v>45</v>
      </c>
      <c r="G1307">
        <v>11</v>
      </c>
      <c r="H1307" t="s">
        <v>118</v>
      </c>
      <c r="I1307">
        <v>0.5</v>
      </c>
      <c r="J1307">
        <v>1</v>
      </c>
      <c r="K1307" t="s">
        <v>112</v>
      </c>
      <c r="L1307" t="s">
        <v>119</v>
      </c>
      <c r="M1307" t="s">
        <v>120</v>
      </c>
      <c r="N1307" t="s">
        <v>107</v>
      </c>
      <c r="O1307" t="s">
        <v>97</v>
      </c>
    </row>
    <row r="1308" spans="1:15" x14ac:dyDescent="0.2">
      <c r="A1308">
        <v>217</v>
      </c>
      <c r="B1308">
        <v>218</v>
      </c>
      <c r="C1308">
        <v>217</v>
      </c>
      <c r="D1308">
        <v>216</v>
      </c>
      <c r="E1308" t="s">
        <v>44</v>
      </c>
      <c r="F1308" t="s">
        <v>45</v>
      </c>
      <c r="G1308">
        <v>12</v>
      </c>
      <c r="H1308" t="s">
        <v>121</v>
      </c>
      <c r="I1308">
        <v>0</v>
      </c>
      <c r="J1308" t="s">
        <v>195</v>
      </c>
      <c r="K1308" t="s">
        <v>122</v>
      </c>
      <c r="L1308" t="s">
        <v>113</v>
      </c>
      <c r="M1308" t="s">
        <v>123</v>
      </c>
      <c r="N1308" t="s">
        <v>96</v>
      </c>
      <c r="O1308" t="s">
        <v>97</v>
      </c>
    </row>
    <row r="1309" spans="1:15" x14ac:dyDescent="0.2">
      <c r="A1309">
        <v>217</v>
      </c>
      <c r="B1309">
        <v>218</v>
      </c>
      <c r="C1309">
        <v>217</v>
      </c>
      <c r="D1309">
        <v>216</v>
      </c>
      <c r="E1309" t="s">
        <v>44</v>
      </c>
      <c r="F1309" t="s">
        <v>45</v>
      </c>
      <c r="G1309">
        <v>13</v>
      </c>
      <c r="H1309" t="s">
        <v>124</v>
      </c>
      <c r="I1309">
        <v>0</v>
      </c>
      <c r="J1309" t="s">
        <v>195</v>
      </c>
      <c r="K1309" t="s">
        <v>122</v>
      </c>
      <c r="L1309" t="s">
        <v>125</v>
      </c>
      <c r="M1309" t="s">
        <v>126</v>
      </c>
      <c r="N1309" t="s">
        <v>96</v>
      </c>
      <c r="O1309" t="s">
        <v>97</v>
      </c>
    </row>
    <row r="1310" spans="1:15" x14ac:dyDescent="0.2">
      <c r="A1310">
        <v>217</v>
      </c>
      <c r="B1310">
        <v>218</v>
      </c>
      <c r="C1310">
        <v>217</v>
      </c>
      <c r="D1310">
        <v>216</v>
      </c>
      <c r="E1310" t="s">
        <v>44</v>
      </c>
      <c r="F1310" t="s">
        <v>45</v>
      </c>
      <c r="G1310">
        <v>14</v>
      </c>
      <c r="H1310" t="s">
        <v>127</v>
      </c>
      <c r="I1310">
        <v>0.5</v>
      </c>
      <c r="J1310">
        <v>1</v>
      </c>
      <c r="K1310" t="s">
        <v>122</v>
      </c>
      <c r="L1310" t="s">
        <v>119</v>
      </c>
      <c r="M1310" t="s">
        <v>128</v>
      </c>
      <c r="N1310" t="s">
        <v>107</v>
      </c>
      <c r="O1310" t="s">
        <v>97</v>
      </c>
    </row>
    <row r="1311" spans="1:15" x14ac:dyDescent="0.2">
      <c r="A1311">
        <v>217</v>
      </c>
      <c r="B1311">
        <v>218</v>
      </c>
      <c r="C1311">
        <v>217</v>
      </c>
      <c r="D1311">
        <v>216</v>
      </c>
      <c r="E1311" t="s">
        <v>44</v>
      </c>
      <c r="F1311" t="s">
        <v>45</v>
      </c>
      <c r="G1311">
        <v>15</v>
      </c>
      <c r="H1311" t="s">
        <v>129</v>
      </c>
      <c r="I1311">
        <v>0</v>
      </c>
      <c r="J1311">
        <v>1</v>
      </c>
      <c r="K1311" t="s">
        <v>130</v>
      </c>
      <c r="L1311" t="s">
        <v>131</v>
      </c>
      <c r="M1311" t="s">
        <v>132</v>
      </c>
      <c r="N1311" t="s">
        <v>107</v>
      </c>
      <c r="O1311" t="s">
        <v>97</v>
      </c>
    </row>
    <row r="1312" spans="1:15" x14ac:dyDescent="0.2">
      <c r="A1312">
        <v>217</v>
      </c>
      <c r="B1312">
        <v>218</v>
      </c>
      <c r="C1312">
        <v>217</v>
      </c>
      <c r="D1312">
        <v>216</v>
      </c>
      <c r="E1312" t="s">
        <v>44</v>
      </c>
      <c r="F1312" t="s">
        <v>45</v>
      </c>
      <c r="G1312">
        <v>16</v>
      </c>
      <c r="H1312" t="s">
        <v>133</v>
      </c>
      <c r="I1312">
        <v>0</v>
      </c>
      <c r="J1312">
        <v>0</v>
      </c>
      <c r="K1312" t="e">
        <v>#N/A</v>
      </c>
      <c r="L1312" t="e">
        <v>#N/A</v>
      </c>
      <c r="M1312" t="e">
        <v>#N/A</v>
      </c>
      <c r="N1312" t="e">
        <v>#N/A</v>
      </c>
      <c r="O1312" t="s">
        <v>97</v>
      </c>
    </row>
    <row r="1313" spans="1:15" x14ac:dyDescent="0.2">
      <c r="A1313">
        <v>217</v>
      </c>
      <c r="B1313">
        <v>218</v>
      </c>
      <c r="C1313">
        <v>217</v>
      </c>
      <c r="D1313">
        <v>216</v>
      </c>
      <c r="E1313" t="s">
        <v>44</v>
      </c>
      <c r="F1313" t="s">
        <v>45</v>
      </c>
      <c r="G1313">
        <v>17</v>
      </c>
      <c r="H1313" t="s">
        <v>134</v>
      </c>
      <c r="I1313">
        <v>0</v>
      </c>
      <c r="J1313">
        <v>1</v>
      </c>
      <c r="K1313" t="s">
        <v>112</v>
      </c>
      <c r="L1313" t="s">
        <v>135</v>
      </c>
      <c r="M1313" t="s">
        <v>136</v>
      </c>
      <c r="N1313" t="s">
        <v>107</v>
      </c>
      <c r="O1313" t="s">
        <v>97</v>
      </c>
    </row>
    <row r="1314" spans="1:15" x14ac:dyDescent="0.2">
      <c r="A1314">
        <v>217</v>
      </c>
      <c r="B1314">
        <v>218</v>
      </c>
      <c r="C1314">
        <v>217</v>
      </c>
      <c r="D1314">
        <v>216</v>
      </c>
      <c r="E1314" t="s">
        <v>44</v>
      </c>
      <c r="F1314" t="s">
        <v>45</v>
      </c>
      <c r="G1314">
        <v>18</v>
      </c>
      <c r="H1314" t="s">
        <v>137</v>
      </c>
      <c r="I1314">
        <v>0</v>
      </c>
      <c r="J1314">
        <v>1</v>
      </c>
      <c r="K1314" t="s">
        <v>112</v>
      </c>
      <c r="L1314" t="s">
        <v>138</v>
      </c>
      <c r="M1314" t="s">
        <v>139</v>
      </c>
      <c r="N1314" t="s">
        <v>107</v>
      </c>
      <c r="O1314" t="s">
        <v>97</v>
      </c>
    </row>
    <row r="1315" spans="1:15" x14ac:dyDescent="0.2">
      <c r="A1315">
        <v>217</v>
      </c>
      <c r="B1315">
        <v>218</v>
      </c>
      <c r="C1315">
        <v>217</v>
      </c>
      <c r="D1315">
        <v>216</v>
      </c>
      <c r="E1315" t="s">
        <v>44</v>
      </c>
      <c r="F1315" t="s">
        <v>45</v>
      </c>
      <c r="G1315">
        <v>19</v>
      </c>
      <c r="H1315" t="s">
        <v>140</v>
      </c>
      <c r="I1315">
        <v>0</v>
      </c>
      <c r="J1315" t="s">
        <v>196</v>
      </c>
      <c r="K1315" t="s">
        <v>122</v>
      </c>
      <c r="L1315" t="s">
        <v>141</v>
      </c>
      <c r="M1315" t="s">
        <v>142</v>
      </c>
      <c r="N1315" t="s">
        <v>107</v>
      </c>
      <c r="O1315" t="s">
        <v>97</v>
      </c>
    </row>
    <row r="1316" spans="1:15" x14ac:dyDescent="0.2">
      <c r="A1316">
        <v>217</v>
      </c>
      <c r="B1316">
        <v>218</v>
      </c>
      <c r="C1316">
        <v>217</v>
      </c>
      <c r="D1316">
        <v>216</v>
      </c>
      <c r="E1316" t="s">
        <v>44</v>
      </c>
      <c r="F1316" t="s">
        <v>45</v>
      </c>
      <c r="G1316">
        <v>20</v>
      </c>
      <c r="H1316" t="s">
        <v>143</v>
      </c>
      <c r="I1316">
        <v>0</v>
      </c>
      <c r="J1316" t="s">
        <v>196</v>
      </c>
      <c r="K1316" t="s">
        <v>122</v>
      </c>
      <c r="L1316" t="s">
        <v>144</v>
      </c>
      <c r="M1316" t="s">
        <v>145</v>
      </c>
      <c r="N1316" t="s">
        <v>107</v>
      </c>
      <c r="O1316" t="s">
        <v>97</v>
      </c>
    </row>
    <row r="1317" spans="1:15" x14ac:dyDescent="0.2">
      <c r="A1317">
        <v>217</v>
      </c>
      <c r="B1317">
        <v>218</v>
      </c>
      <c r="C1317">
        <v>217</v>
      </c>
      <c r="D1317">
        <v>216</v>
      </c>
      <c r="E1317" t="s">
        <v>44</v>
      </c>
      <c r="F1317" t="s">
        <v>45</v>
      </c>
      <c r="G1317">
        <v>21</v>
      </c>
      <c r="H1317" t="s">
        <v>146</v>
      </c>
      <c r="I1317">
        <v>1</v>
      </c>
      <c r="J1317">
        <v>1</v>
      </c>
      <c r="K1317" t="s">
        <v>147</v>
      </c>
      <c r="L1317" t="s">
        <v>148</v>
      </c>
      <c r="M1317" t="s">
        <v>149</v>
      </c>
      <c r="N1317" t="s">
        <v>96</v>
      </c>
      <c r="O1317" t="s">
        <v>97</v>
      </c>
    </row>
    <row r="1318" spans="1:15" x14ac:dyDescent="0.2">
      <c r="A1318">
        <v>217</v>
      </c>
      <c r="B1318">
        <v>218</v>
      </c>
      <c r="C1318">
        <v>217</v>
      </c>
      <c r="D1318">
        <v>216</v>
      </c>
      <c r="E1318" t="s">
        <v>44</v>
      </c>
      <c r="F1318" t="s">
        <v>45</v>
      </c>
      <c r="G1318">
        <v>22</v>
      </c>
      <c r="H1318" t="s">
        <v>150</v>
      </c>
      <c r="I1318">
        <v>1</v>
      </c>
      <c r="J1318">
        <v>1</v>
      </c>
      <c r="K1318" t="s">
        <v>147</v>
      </c>
      <c r="L1318" t="s">
        <v>151</v>
      </c>
      <c r="M1318" t="s">
        <v>149</v>
      </c>
      <c r="N1318" t="s">
        <v>107</v>
      </c>
      <c r="O1318" t="s">
        <v>97</v>
      </c>
    </row>
    <row r="1319" spans="1:15" x14ac:dyDescent="0.2">
      <c r="A1319">
        <v>217</v>
      </c>
      <c r="B1319">
        <v>218</v>
      </c>
      <c r="C1319">
        <v>217</v>
      </c>
      <c r="D1319">
        <v>216</v>
      </c>
      <c r="E1319" t="s">
        <v>44</v>
      </c>
      <c r="F1319" t="s">
        <v>45</v>
      </c>
      <c r="G1319">
        <v>23</v>
      </c>
      <c r="H1319" t="s">
        <v>152</v>
      </c>
      <c r="I1319">
        <v>0</v>
      </c>
      <c r="J1319">
        <v>0</v>
      </c>
      <c r="K1319" t="s">
        <v>153</v>
      </c>
      <c r="L1319" t="s">
        <v>154</v>
      </c>
      <c r="M1319" t="s">
        <v>155</v>
      </c>
      <c r="N1319" t="s">
        <v>107</v>
      </c>
      <c r="O1319" t="s">
        <v>97</v>
      </c>
    </row>
    <row r="1320" spans="1:15" x14ac:dyDescent="0.2">
      <c r="A1320">
        <v>217</v>
      </c>
      <c r="B1320">
        <v>218</v>
      </c>
      <c r="C1320">
        <v>217</v>
      </c>
      <c r="D1320">
        <v>216</v>
      </c>
      <c r="E1320" t="s">
        <v>44</v>
      </c>
      <c r="F1320" t="s">
        <v>45</v>
      </c>
      <c r="G1320">
        <v>24</v>
      </c>
      <c r="H1320" t="s">
        <v>156</v>
      </c>
      <c r="I1320">
        <v>0</v>
      </c>
      <c r="J1320" t="s">
        <v>196</v>
      </c>
      <c r="K1320" t="s">
        <v>122</v>
      </c>
      <c r="L1320" t="s">
        <v>157</v>
      </c>
      <c r="M1320" t="s">
        <v>158</v>
      </c>
      <c r="N1320" t="s">
        <v>107</v>
      </c>
      <c r="O1320" t="s">
        <v>97</v>
      </c>
    </row>
    <row r="1321" spans="1:15" x14ac:dyDescent="0.2">
      <c r="A1321">
        <v>217</v>
      </c>
      <c r="B1321">
        <v>218</v>
      </c>
      <c r="C1321">
        <v>217</v>
      </c>
      <c r="D1321">
        <v>216</v>
      </c>
      <c r="E1321" t="s">
        <v>44</v>
      </c>
      <c r="F1321" t="s">
        <v>45</v>
      </c>
      <c r="G1321">
        <v>25</v>
      </c>
      <c r="H1321" t="s">
        <v>156</v>
      </c>
      <c r="I1321">
        <v>0</v>
      </c>
      <c r="J1321" t="s">
        <v>196</v>
      </c>
      <c r="K1321" t="s">
        <v>122</v>
      </c>
      <c r="L1321" t="s">
        <v>157</v>
      </c>
      <c r="M1321" t="s">
        <v>158</v>
      </c>
      <c r="N1321" t="s">
        <v>107</v>
      </c>
      <c r="O1321" t="s">
        <v>97</v>
      </c>
    </row>
    <row r="1322" spans="1:15" x14ac:dyDescent="0.2">
      <c r="A1322">
        <v>217</v>
      </c>
      <c r="B1322">
        <v>218</v>
      </c>
      <c r="C1322">
        <v>217</v>
      </c>
      <c r="D1322">
        <v>216</v>
      </c>
      <c r="E1322" t="s">
        <v>44</v>
      </c>
      <c r="F1322" t="s">
        <v>45</v>
      </c>
      <c r="G1322">
        <v>26</v>
      </c>
      <c r="H1322" t="s">
        <v>152</v>
      </c>
      <c r="I1322">
        <v>0</v>
      </c>
      <c r="J1322">
        <v>0</v>
      </c>
      <c r="K1322" t="s">
        <v>153</v>
      </c>
      <c r="L1322" t="s">
        <v>154</v>
      </c>
      <c r="M1322" t="s">
        <v>155</v>
      </c>
      <c r="N1322" t="s">
        <v>107</v>
      </c>
      <c r="O1322" t="s">
        <v>97</v>
      </c>
    </row>
    <row r="1323" spans="1:15" x14ac:dyDescent="0.2">
      <c r="A1323">
        <v>217</v>
      </c>
      <c r="B1323">
        <v>218</v>
      </c>
      <c r="C1323">
        <v>217</v>
      </c>
      <c r="D1323">
        <v>216</v>
      </c>
      <c r="E1323" t="s">
        <v>44</v>
      </c>
      <c r="F1323" t="s">
        <v>45</v>
      </c>
      <c r="G1323">
        <v>27</v>
      </c>
      <c r="H1323" t="s">
        <v>159</v>
      </c>
      <c r="I1323">
        <v>0</v>
      </c>
      <c r="J1323" t="s">
        <v>196</v>
      </c>
      <c r="K1323" t="s">
        <v>122</v>
      </c>
      <c r="L1323" t="s">
        <v>160</v>
      </c>
      <c r="M1323" t="s">
        <v>161</v>
      </c>
      <c r="N1323" t="s">
        <v>107</v>
      </c>
      <c r="O1323" t="s">
        <v>97</v>
      </c>
    </row>
    <row r="1324" spans="1:15" x14ac:dyDescent="0.2">
      <c r="A1324">
        <v>217</v>
      </c>
      <c r="B1324">
        <v>218</v>
      </c>
      <c r="C1324">
        <v>217</v>
      </c>
      <c r="D1324">
        <v>216</v>
      </c>
      <c r="E1324" t="s">
        <v>44</v>
      </c>
      <c r="F1324" t="s">
        <v>45</v>
      </c>
      <c r="G1324">
        <v>28</v>
      </c>
      <c r="H1324" t="s">
        <v>159</v>
      </c>
      <c r="I1324">
        <v>0</v>
      </c>
      <c r="J1324" t="s">
        <v>196</v>
      </c>
      <c r="K1324" t="s">
        <v>122</v>
      </c>
      <c r="L1324" t="s">
        <v>160</v>
      </c>
      <c r="M1324" t="s">
        <v>161</v>
      </c>
      <c r="N1324" t="s">
        <v>107</v>
      </c>
      <c r="O1324" t="s">
        <v>97</v>
      </c>
    </row>
    <row r="1325" spans="1:15" x14ac:dyDescent="0.2">
      <c r="A1325">
        <v>217</v>
      </c>
      <c r="B1325">
        <v>218</v>
      </c>
      <c r="C1325">
        <v>217</v>
      </c>
      <c r="D1325">
        <v>216</v>
      </c>
      <c r="E1325" t="s">
        <v>44</v>
      </c>
      <c r="F1325" t="s">
        <v>45</v>
      </c>
      <c r="G1325">
        <v>29</v>
      </c>
      <c r="H1325" t="s">
        <v>152</v>
      </c>
      <c r="I1325">
        <v>0</v>
      </c>
      <c r="J1325">
        <v>0</v>
      </c>
      <c r="K1325" t="s">
        <v>153</v>
      </c>
      <c r="L1325" t="s">
        <v>154</v>
      </c>
      <c r="M1325" t="s">
        <v>155</v>
      </c>
      <c r="N1325" t="s">
        <v>107</v>
      </c>
      <c r="O1325" t="s">
        <v>97</v>
      </c>
    </row>
    <row r="1326" spans="1:15" x14ac:dyDescent="0.2">
      <c r="A1326">
        <v>217</v>
      </c>
      <c r="B1326">
        <v>218</v>
      </c>
      <c r="C1326">
        <v>217</v>
      </c>
      <c r="D1326">
        <v>216</v>
      </c>
      <c r="E1326" t="s">
        <v>44</v>
      </c>
      <c r="F1326" t="s">
        <v>45</v>
      </c>
      <c r="G1326">
        <v>30</v>
      </c>
      <c r="H1326" t="s">
        <v>162</v>
      </c>
      <c r="I1326">
        <v>0.5</v>
      </c>
      <c r="J1326">
        <v>1</v>
      </c>
      <c r="K1326" t="s">
        <v>112</v>
      </c>
      <c r="L1326" t="s">
        <v>163</v>
      </c>
      <c r="M1326" t="s">
        <v>164</v>
      </c>
      <c r="N1326" t="s">
        <v>107</v>
      </c>
      <c r="O1326" t="s">
        <v>97</v>
      </c>
    </row>
    <row r="1327" spans="1:15" x14ac:dyDescent="0.2">
      <c r="A1327">
        <v>217</v>
      </c>
      <c r="B1327">
        <v>218</v>
      </c>
      <c r="C1327">
        <v>217</v>
      </c>
      <c r="D1327">
        <v>216</v>
      </c>
      <c r="E1327" t="s">
        <v>44</v>
      </c>
      <c r="F1327" t="s">
        <v>45</v>
      </c>
      <c r="G1327">
        <v>31</v>
      </c>
      <c r="H1327" t="s">
        <v>162</v>
      </c>
      <c r="I1327">
        <v>0</v>
      </c>
      <c r="J1327">
        <v>0</v>
      </c>
      <c r="K1327" t="s">
        <v>112</v>
      </c>
      <c r="L1327" t="s">
        <v>163</v>
      </c>
      <c r="M1327" t="s">
        <v>164</v>
      </c>
      <c r="N1327" t="s">
        <v>107</v>
      </c>
      <c r="O1327" t="s">
        <v>97</v>
      </c>
    </row>
    <row r="1328" spans="1:15" x14ac:dyDescent="0.2">
      <c r="A1328">
        <v>217</v>
      </c>
      <c r="B1328">
        <v>218</v>
      </c>
      <c r="C1328">
        <v>217</v>
      </c>
      <c r="D1328">
        <v>216</v>
      </c>
      <c r="E1328" t="s">
        <v>44</v>
      </c>
      <c r="F1328" t="s">
        <v>45</v>
      </c>
      <c r="G1328">
        <v>32</v>
      </c>
      <c r="H1328" t="s">
        <v>162</v>
      </c>
      <c r="I1328">
        <v>0</v>
      </c>
      <c r="J1328">
        <v>0</v>
      </c>
      <c r="K1328" t="s">
        <v>112</v>
      </c>
      <c r="L1328" t="s">
        <v>163</v>
      </c>
      <c r="M1328" t="s">
        <v>164</v>
      </c>
      <c r="N1328" t="s">
        <v>107</v>
      </c>
      <c r="O1328" t="s">
        <v>97</v>
      </c>
    </row>
    <row r="1329" spans="1:15" x14ac:dyDescent="0.2">
      <c r="A1329">
        <v>217</v>
      </c>
      <c r="B1329">
        <v>218</v>
      </c>
      <c r="C1329">
        <v>217</v>
      </c>
      <c r="D1329">
        <v>216</v>
      </c>
      <c r="E1329" t="s">
        <v>44</v>
      </c>
      <c r="F1329" t="s">
        <v>45</v>
      </c>
      <c r="G1329">
        <v>33</v>
      </c>
      <c r="H1329" t="s">
        <v>152</v>
      </c>
      <c r="I1329">
        <v>0</v>
      </c>
      <c r="J1329" t="s">
        <v>196</v>
      </c>
      <c r="K1329" t="s">
        <v>153</v>
      </c>
      <c r="L1329" t="s">
        <v>154</v>
      </c>
      <c r="M1329" t="s">
        <v>155</v>
      </c>
      <c r="N1329" t="s">
        <v>107</v>
      </c>
      <c r="O1329" t="s">
        <v>97</v>
      </c>
    </row>
    <row r="1330" spans="1:15" x14ac:dyDescent="0.2">
      <c r="A1330">
        <v>217</v>
      </c>
      <c r="B1330">
        <v>218</v>
      </c>
      <c r="C1330">
        <v>217</v>
      </c>
      <c r="D1330">
        <v>216</v>
      </c>
      <c r="E1330" t="s">
        <v>44</v>
      </c>
      <c r="F1330" t="s">
        <v>45</v>
      </c>
      <c r="G1330">
        <v>34</v>
      </c>
      <c r="H1330" t="s">
        <v>152</v>
      </c>
      <c r="I1330">
        <v>0</v>
      </c>
      <c r="J1330">
        <v>0</v>
      </c>
      <c r="K1330" t="s">
        <v>153</v>
      </c>
      <c r="L1330" t="s">
        <v>154</v>
      </c>
      <c r="M1330" t="s">
        <v>155</v>
      </c>
      <c r="N1330" t="s">
        <v>107</v>
      </c>
      <c r="O1330" t="s">
        <v>97</v>
      </c>
    </row>
    <row r="1331" spans="1:15" x14ac:dyDescent="0.2">
      <c r="A1331">
        <v>217</v>
      </c>
      <c r="B1331">
        <v>218</v>
      </c>
      <c r="C1331">
        <v>217</v>
      </c>
      <c r="D1331">
        <v>216</v>
      </c>
      <c r="E1331" t="s">
        <v>44</v>
      </c>
      <c r="F1331" t="s">
        <v>45</v>
      </c>
      <c r="G1331">
        <v>35</v>
      </c>
      <c r="H1331" t="s">
        <v>165</v>
      </c>
      <c r="I1331">
        <v>0</v>
      </c>
      <c r="J1331">
        <v>1</v>
      </c>
      <c r="K1331" t="s">
        <v>166</v>
      </c>
      <c r="L1331" t="s">
        <v>167</v>
      </c>
      <c r="M1331" t="s">
        <v>168</v>
      </c>
      <c r="N1331" t="s">
        <v>107</v>
      </c>
      <c r="O1331" t="s">
        <v>97</v>
      </c>
    </row>
    <row r="1332" spans="1:15" x14ac:dyDescent="0.2">
      <c r="A1332">
        <v>217</v>
      </c>
      <c r="B1332">
        <v>218</v>
      </c>
      <c r="C1332">
        <v>217</v>
      </c>
      <c r="D1332">
        <v>216</v>
      </c>
      <c r="E1332" t="s">
        <v>44</v>
      </c>
      <c r="F1332" t="s">
        <v>45</v>
      </c>
      <c r="G1332">
        <v>36</v>
      </c>
      <c r="H1332" t="s">
        <v>169</v>
      </c>
      <c r="I1332">
        <v>0</v>
      </c>
      <c r="J1332">
        <v>0</v>
      </c>
      <c r="K1332" t="e">
        <v>#N/A</v>
      </c>
      <c r="L1332" t="e">
        <v>#N/A</v>
      </c>
      <c r="M1332" t="e">
        <v>#N/A</v>
      </c>
      <c r="N1332" t="e">
        <v>#N/A</v>
      </c>
      <c r="O1332" t="s">
        <v>97</v>
      </c>
    </row>
    <row r="1333" spans="1:15" x14ac:dyDescent="0.2">
      <c r="A1333">
        <v>217</v>
      </c>
      <c r="B1333">
        <v>218</v>
      </c>
      <c r="C1333">
        <v>217</v>
      </c>
      <c r="D1333">
        <v>216</v>
      </c>
      <c r="E1333" t="s">
        <v>44</v>
      </c>
      <c r="F1333" t="s">
        <v>45</v>
      </c>
      <c r="G1333">
        <v>38</v>
      </c>
      <c r="H1333" t="s">
        <v>170</v>
      </c>
      <c r="I1333">
        <v>0</v>
      </c>
      <c r="J1333" t="s">
        <v>195</v>
      </c>
      <c r="K1333" t="s">
        <v>112</v>
      </c>
      <c r="L1333" t="s">
        <v>171</v>
      </c>
      <c r="M1333" t="s">
        <v>172</v>
      </c>
      <c r="N1333" t="s">
        <v>96</v>
      </c>
      <c r="O1333" t="s">
        <v>97</v>
      </c>
    </row>
    <row r="1334" spans="1:15" x14ac:dyDescent="0.2">
      <c r="A1334">
        <v>217</v>
      </c>
      <c r="B1334">
        <v>218</v>
      </c>
      <c r="C1334">
        <v>217</v>
      </c>
      <c r="D1334">
        <v>216</v>
      </c>
      <c r="E1334" t="s">
        <v>44</v>
      </c>
      <c r="F1334" t="s">
        <v>45</v>
      </c>
      <c r="G1334">
        <v>39</v>
      </c>
      <c r="H1334" t="s">
        <v>170</v>
      </c>
      <c r="I1334">
        <v>0</v>
      </c>
      <c r="J1334" t="s">
        <v>195</v>
      </c>
      <c r="K1334" t="s">
        <v>112</v>
      </c>
      <c r="L1334" t="s">
        <v>171</v>
      </c>
      <c r="M1334" t="s">
        <v>172</v>
      </c>
      <c r="N1334" t="s">
        <v>96</v>
      </c>
      <c r="O1334" t="s">
        <v>97</v>
      </c>
    </row>
    <row r="1335" spans="1:15" x14ac:dyDescent="0.2">
      <c r="A1335">
        <v>217</v>
      </c>
      <c r="B1335">
        <v>218</v>
      </c>
      <c r="C1335">
        <v>217</v>
      </c>
      <c r="D1335">
        <v>216</v>
      </c>
      <c r="E1335" t="s">
        <v>44</v>
      </c>
      <c r="F1335" t="s">
        <v>45</v>
      </c>
      <c r="G1335">
        <v>40</v>
      </c>
      <c r="H1335" t="s">
        <v>170</v>
      </c>
      <c r="I1335">
        <v>0</v>
      </c>
      <c r="J1335" t="s">
        <v>195</v>
      </c>
      <c r="K1335" t="s">
        <v>112</v>
      </c>
      <c r="L1335" t="s">
        <v>171</v>
      </c>
      <c r="M1335" t="s">
        <v>172</v>
      </c>
      <c r="N1335" t="s">
        <v>96</v>
      </c>
      <c r="O1335" t="s">
        <v>97</v>
      </c>
    </row>
    <row r="1336" spans="1:15" x14ac:dyDescent="0.2">
      <c r="A1336">
        <v>217</v>
      </c>
      <c r="B1336">
        <v>218</v>
      </c>
      <c r="C1336">
        <v>217</v>
      </c>
      <c r="D1336">
        <v>216</v>
      </c>
      <c r="E1336" t="s">
        <v>44</v>
      </c>
      <c r="F1336" t="s">
        <v>45</v>
      </c>
      <c r="G1336">
        <v>41</v>
      </c>
      <c r="H1336" t="s">
        <v>173</v>
      </c>
      <c r="I1336">
        <v>0</v>
      </c>
      <c r="J1336" t="s">
        <v>195</v>
      </c>
      <c r="K1336" t="s">
        <v>166</v>
      </c>
      <c r="L1336" t="s">
        <v>174</v>
      </c>
      <c r="M1336" t="s">
        <v>175</v>
      </c>
      <c r="N1336" t="s">
        <v>107</v>
      </c>
      <c r="O1336" t="s">
        <v>97</v>
      </c>
    </row>
    <row r="1337" spans="1:15" x14ac:dyDescent="0.2">
      <c r="A1337">
        <v>217</v>
      </c>
      <c r="B1337">
        <v>218</v>
      </c>
      <c r="C1337">
        <v>217</v>
      </c>
      <c r="D1337">
        <v>216</v>
      </c>
      <c r="E1337" t="s">
        <v>44</v>
      </c>
      <c r="F1337" t="s">
        <v>45</v>
      </c>
      <c r="G1337">
        <v>42</v>
      </c>
      <c r="H1337" t="s">
        <v>176</v>
      </c>
      <c r="I1337">
        <v>0</v>
      </c>
      <c r="J1337" t="s">
        <v>195</v>
      </c>
      <c r="K1337" t="s">
        <v>153</v>
      </c>
      <c r="L1337" t="s">
        <v>177</v>
      </c>
      <c r="M1337" t="s">
        <v>178</v>
      </c>
      <c r="N1337" t="s">
        <v>107</v>
      </c>
      <c r="O1337" t="s">
        <v>97</v>
      </c>
    </row>
    <row r="1338" spans="1:15" x14ac:dyDescent="0.2">
      <c r="A1338">
        <v>217</v>
      </c>
      <c r="B1338">
        <v>218</v>
      </c>
      <c r="C1338">
        <v>217</v>
      </c>
      <c r="D1338">
        <v>216</v>
      </c>
      <c r="E1338" t="s">
        <v>44</v>
      </c>
      <c r="F1338" t="s">
        <v>45</v>
      </c>
      <c r="G1338">
        <v>43</v>
      </c>
      <c r="H1338" t="s">
        <v>179</v>
      </c>
      <c r="I1338">
        <v>0</v>
      </c>
      <c r="J1338">
        <v>0</v>
      </c>
      <c r="K1338" t="s">
        <v>166</v>
      </c>
      <c r="L1338" t="s">
        <v>180</v>
      </c>
      <c r="M1338" t="s">
        <v>181</v>
      </c>
      <c r="N1338" t="s">
        <v>107</v>
      </c>
      <c r="O1338" t="s">
        <v>97</v>
      </c>
    </row>
    <row r="1339" spans="1:15" x14ac:dyDescent="0.2">
      <c r="A1339">
        <v>217</v>
      </c>
      <c r="B1339">
        <v>218</v>
      </c>
      <c r="C1339">
        <v>217</v>
      </c>
      <c r="D1339">
        <v>216</v>
      </c>
      <c r="E1339" t="s">
        <v>44</v>
      </c>
      <c r="F1339" t="s">
        <v>45</v>
      </c>
      <c r="G1339">
        <v>44</v>
      </c>
      <c r="H1339" t="s">
        <v>182</v>
      </c>
      <c r="I1339">
        <v>0</v>
      </c>
      <c r="J1339">
        <v>1</v>
      </c>
      <c r="K1339" t="s">
        <v>166</v>
      </c>
      <c r="L1339" t="s">
        <v>183</v>
      </c>
      <c r="M1339" t="s">
        <v>184</v>
      </c>
      <c r="N1339" t="s">
        <v>107</v>
      </c>
      <c r="O1339" t="s">
        <v>97</v>
      </c>
    </row>
    <row r="1340" spans="1:15" x14ac:dyDescent="0.2">
      <c r="A1340">
        <v>217</v>
      </c>
      <c r="B1340">
        <v>218</v>
      </c>
      <c r="C1340">
        <v>217</v>
      </c>
      <c r="D1340">
        <v>216</v>
      </c>
      <c r="E1340" t="s">
        <v>44</v>
      </c>
      <c r="F1340" t="s">
        <v>45</v>
      </c>
      <c r="G1340">
        <v>45</v>
      </c>
      <c r="H1340" t="s">
        <v>185</v>
      </c>
      <c r="I1340">
        <v>0</v>
      </c>
      <c r="J1340">
        <v>1</v>
      </c>
      <c r="K1340" t="s">
        <v>166</v>
      </c>
      <c r="L1340" t="s">
        <v>186</v>
      </c>
      <c r="M1340" t="s">
        <v>139</v>
      </c>
      <c r="N1340" t="s">
        <v>107</v>
      </c>
      <c r="O1340" t="s">
        <v>97</v>
      </c>
    </row>
    <row r="1341" spans="1:15" x14ac:dyDescent="0.2">
      <c r="A1341">
        <v>217</v>
      </c>
      <c r="B1341">
        <v>218</v>
      </c>
      <c r="C1341">
        <v>217</v>
      </c>
      <c r="D1341">
        <v>216</v>
      </c>
      <c r="E1341" t="s">
        <v>44</v>
      </c>
      <c r="F1341" t="s">
        <v>45</v>
      </c>
      <c r="G1341">
        <v>47</v>
      </c>
      <c r="H1341" t="s">
        <v>187</v>
      </c>
      <c r="I1341">
        <v>0</v>
      </c>
      <c r="J1341">
        <v>0</v>
      </c>
      <c r="K1341" t="s">
        <v>93</v>
      </c>
      <c r="L1341" t="s">
        <v>188</v>
      </c>
      <c r="M1341" t="s">
        <v>95</v>
      </c>
      <c r="N1341" t="s">
        <v>96</v>
      </c>
      <c r="O1341" t="s">
        <v>97</v>
      </c>
    </row>
    <row r="1342" spans="1:15" x14ac:dyDescent="0.2">
      <c r="A1342">
        <v>217</v>
      </c>
      <c r="B1342">
        <v>218</v>
      </c>
      <c r="C1342">
        <v>217</v>
      </c>
      <c r="D1342">
        <v>216</v>
      </c>
      <c r="E1342" t="s">
        <v>44</v>
      </c>
      <c r="F1342" t="s">
        <v>45</v>
      </c>
      <c r="G1342">
        <v>48</v>
      </c>
      <c r="H1342" t="s">
        <v>189</v>
      </c>
      <c r="I1342">
        <v>0.2</v>
      </c>
      <c r="J1342">
        <v>0.2</v>
      </c>
      <c r="K1342" t="s">
        <v>93</v>
      </c>
      <c r="L1342" t="s">
        <v>190</v>
      </c>
      <c r="M1342" t="s">
        <v>95</v>
      </c>
      <c r="N1342" t="s">
        <v>96</v>
      </c>
      <c r="O1342" t="s">
        <v>97</v>
      </c>
    </row>
    <row r="1343" spans="1:15" x14ac:dyDescent="0.2">
      <c r="A1343">
        <v>217</v>
      </c>
      <c r="B1343">
        <v>218</v>
      </c>
      <c r="C1343">
        <v>217</v>
      </c>
      <c r="D1343">
        <v>216</v>
      </c>
      <c r="E1343" t="s">
        <v>44</v>
      </c>
      <c r="F1343" t="s">
        <v>45</v>
      </c>
      <c r="G1343">
        <v>49</v>
      </c>
      <c r="H1343" t="s">
        <v>191</v>
      </c>
      <c r="I1343">
        <v>0.2</v>
      </c>
      <c r="J1343">
        <v>0.2</v>
      </c>
      <c r="K1343" t="s">
        <v>93</v>
      </c>
      <c r="L1343" t="s">
        <v>192</v>
      </c>
      <c r="M1343" t="s">
        <v>95</v>
      </c>
      <c r="N1343" t="s">
        <v>96</v>
      </c>
      <c r="O1343" t="s">
        <v>97</v>
      </c>
    </row>
    <row r="1344" spans="1:15" x14ac:dyDescent="0.2">
      <c r="A1344">
        <v>217</v>
      </c>
      <c r="B1344">
        <v>218</v>
      </c>
      <c r="C1344">
        <v>217</v>
      </c>
      <c r="D1344">
        <v>216</v>
      </c>
      <c r="E1344" t="s">
        <v>44</v>
      </c>
      <c r="F1344" t="s">
        <v>45</v>
      </c>
      <c r="G1344">
        <v>50</v>
      </c>
      <c r="H1344" t="s">
        <v>193</v>
      </c>
      <c r="I1344">
        <v>0.1</v>
      </c>
      <c r="J1344">
        <v>0.1</v>
      </c>
      <c r="K1344" t="s">
        <v>93</v>
      </c>
      <c r="L1344" t="s">
        <v>194</v>
      </c>
      <c r="M1344" t="s">
        <v>95</v>
      </c>
      <c r="N1344" t="s">
        <v>96</v>
      </c>
      <c r="O1344" t="s">
        <v>97</v>
      </c>
    </row>
    <row r="1345" spans="1:15" x14ac:dyDescent="0.2">
      <c r="A1345">
        <v>217</v>
      </c>
      <c r="B1345">
        <v>218</v>
      </c>
      <c r="C1345">
        <v>217</v>
      </c>
      <c r="D1345">
        <v>216</v>
      </c>
      <c r="E1345" t="s">
        <v>44</v>
      </c>
      <c r="F1345" t="s">
        <v>45</v>
      </c>
      <c r="G1345">
        <v>51</v>
      </c>
      <c r="H1345" t="s">
        <v>193</v>
      </c>
      <c r="I1345">
        <v>0.1</v>
      </c>
      <c r="J1345">
        <v>0.1</v>
      </c>
      <c r="K1345" t="s">
        <v>93</v>
      </c>
      <c r="L1345" t="s">
        <v>194</v>
      </c>
      <c r="M1345" t="s">
        <v>95</v>
      </c>
      <c r="N1345" t="s">
        <v>96</v>
      </c>
      <c r="O1345" t="s">
        <v>97</v>
      </c>
    </row>
    <row r="1346" spans="1:15" x14ac:dyDescent="0.2">
      <c r="A1346">
        <v>75</v>
      </c>
      <c r="B1346">
        <v>76</v>
      </c>
      <c r="C1346">
        <v>75</v>
      </c>
      <c r="D1346">
        <v>74</v>
      </c>
      <c r="E1346" t="s">
        <v>5</v>
      </c>
      <c r="F1346" t="s">
        <v>6</v>
      </c>
      <c r="G1346">
        <v>52</v>
      </c>
      <c r="H1346" t="s">
        <v>200</v>
      </c>
      <c r="I1346">
        <v>0</v>
      </c>
      <c r="J1346" t="s">
        <v>212</v>
      </c>
      <c r="K1346" t="e">
        <v>#N/A</v>
      </c>
      <c r="L1346" t="e">
        <v>#N/A</v>
      </c>
      <c r="M1346" t="e">
        <v>#N/A</v>
      </c>
      <c r="N1346" t="e">
        <v>#N/A</v>
      </c>
      <c r="O1346" t="s">
        <v>97</v>
      </c>
    </row>
    <row r="1347" spans="1:15" x14ac:dyDescent="0.2">
      <c r="A1347">
        <v>80</v>
      </c>
      <c r="B1347">
        <v>81</v>
      </c>
      <c r="C1347">
        <v>80</v>
      </c>
      <c r="D1347">
        <v>79</v>
      </c>
      <c r="E1347" t="s">
        <v>5</v>
      </c>
      <c r="F1347" t="s">
        <v>9</v>
      </c>
      <c r="G1347">
        <v>52</v>
      </c>
      <c r="H1347" t="s">
        <v>200</v>
      </c>
      <c r="I1347">
        <v>0</v>
      </c>
      <c r="J1347" t="s">
        <v>212</v>
      </c>
      <c r="K1347" t="e">
        <v>#N/A</v>
      </c>
      <c r="L1347" t="e">
        <v>#N/A</v>
      </c>
      <c r="M1347" t="e">
        <v>#N/A</v>
      </c>
      <c r="N1347" t="e">
        <v>#N/A</v>
      </c>
      <c r="O1347" t="s">
        <v>97</v>
      </c>
    </row>
    <row r="1348" spans="1:15" x14ac:dyDescent="0.2">
      <c r="A1348">
        <v>90</v>
      </c>
      <c r="B1348">
        <v>91</v>
      </c>
      <c r="C1348">
        <v>90</v>
      </c>
      <c r="D1348">
        <v>89</v>
      </c>
      <c r="E1348" t="s">
        <v>5</v>
      </c>
      <c r="F1348" t="s">
        <v>11</v>
      </c>
      <c r="G1348">
        <v>52</v>
      </c>
      <c r="H1348" t="s">
        <v>200</v>
      </c>
      <c r="I1348">
        <v>0</v>
      </c>
      <c r="J1348" t="s">
        <v>213</v>
      </c>
      <c r="K1348" t="e">
        <v>#N/A</v>
      </c>
      <c r="L1348" t="e">
        <v>#N/A</v>
      </c>
      <c r="M1348" t="e">
        <v>#N/A</v>
      </c>
      <c r="N1348" t="e">
        <v>#N/A</v>
      </c>
      <c r="O1348" t="s">
        <v>97</v>
      </c>
    </row>
    <row r="1349" spans="1:15" x14ac:dyDescent="0.2">
      <c r="A1349">
        <v>95</v>
      </c>
      <c r="B1349">
        <v>96</v>
      </c>
      <c r="C1349">
        <v>95</v>
      </c>
      <c r="D1349">
        <v>94</v>
      </c>
      <c r="E1349" t="s">
        <v>5</v>
      </c>
      <c r="F1349" t="s">
        <v>12</v>
      </c>
      <c r="G1349">
        <v>52</v>
      </c>
      <c r="H1349" t="s">
        <v>200</v>
      </c>
      <c r="I1349">
        <v>0</v>
      </c>
      <c r="J1349">
        <v>0</v>
      </c>
      <c r="K1349" t="e">
        <v>#N/A</v>
      </c>
      <c r="L1349" t="e">
        <v>#N/A</v>
      </c>
      <c r="M1349" t="e">
        <v>#N/A</v>
      </c>
      <c r="N1349" t="e">
        <v>#N/A</v>
      </c>
      <c r="O1349" t="s">
        <v>97</v>
      </c>
    </row>
    <row r="1350" spans="1:15" x14ac:dyDescent="0.2">
      <c r="A1350">
        <v>100</v>
      </c>
      <c r="B1350">
        <v>101</v>
      </c>
      <c r="C1350">
        <v>100</v>
      </c>
      <c r="D1350">
        <v>99</v>
      </c>
      <c r="E1350" t="s">
        <v>5</v>
      </c>
      <c r="F1350" t="s">
        <v>14</v>
      </c>
      <c r="G1350">
        <v>52</v>
      </c>
      <c r="H1350" t="s">
        <v>200</v>
      </c>
      <c r="I1350">
        <v>0</v>
      </c>
      <c r="J1350">
        <v>0</v>
      </c>
      <c r="K1350" t="e">
        <v>#N/A</v>
      </c>
      <c r="L1350" t="e">
        <v>#N/A</v>
      </c>
      <c r="M1350" t="e">
        <v>#N/A</v>
      </c>
      <c r="N1350" t="e">
        <v>#N/A</v>
      </c>
      <c r="O1350" t="s">
        <v>97</v>
      </c>
    </row>
    <row r="1351" spans="1:15" x14ac:dyDescent="0.2">
      <c r="A1351">
        <v>105</v>
      </c>
      <c r="B1351">
        <v>106</v>
      </c>
      <c r="C1351">
        <v>105</v>
      </c>
      <c r="D1351">
        <v>104</v>
      </c>
      <c r="E1351" t="s">
        <v>5</v>
      </c>
      <c r="F1351" t="s">
        <v>15</v>
      </c>
      <c r="G1351">
        <v>52</v>
      </c>
      <c r="H1351" t="s">
        <v>200</v>
      </c>
      <c r="I1351">
        <v>0</v>
      </c>
      <c r="J1351" t="s">
        <v>214</v>
      </c>
      <c r="K1351" t="e">
        <v>#N/A</v>
      </c>
      <c r="L1351" t="e">
        <v>#N/A</v>
      </c>
      <c r="M1351" t="e">
        <v>#N/A</v>
      </c>
      <c r="N1351" t="e">
        <v>#N/A</v>
      </c>
      <c r="O1351" t="s">
        <v>97</v>
      </c>
    </row>
    <row r="1352" spans="1:15" x14ac:dyDescent="0.2">
      <c r="A1352">
        <v>110</v>
      </c>
      <c r="B1352">
        <v>111</v>
      </c>
      <c r="C1352">
        <v>110</v>
      </c>
      <c r="D1352">
        <v>109</v>
      </c>
      <c r="E1352" t="s">
        <v>5</v>
      </c>
      <c r="F1352" t="s">
        <v>16</v>
      </c>
      <c r="G1352">
        <v>52</v>
      </c>
      <c r="H1352" t="s">
        <v>200</v>
      </c>
      <c r="I1352">
        <v>0</v>
      </c>
      <c r="J1352">
        <v>0</v>
      </c>
      <c r="K1352" t="e">
        <v>#N/A</v>
      </c>
      <c r="L1352" t="e">
        <v>#N/A</v>
      </c>
      <c r="M1352" t="e">
        <v>#N/A</v>
      </c>
      <c r="N1352" t="e">
        <v>#N/A</v>
      </c>
      <c r="O1352" t="s">
        <v>97</v>
      </c>
    </row>
    <row r="1353" spans="1:15" x14ac:dyDescent="0.2">
      <c r="A1353">
        <v>115</v>
      </c>
      <c r="B1353">
        <v>116</v>
      </c>
      <c r="C1353">
        <v>115</v>
      </c>
      <c r="D1353">
        <v>114</v>
      </c>
      <c r="E1353" t="s">
        <v>5</v>
      </c>
      <c r="F1353" t="s">
        <v>17</v>
      </c>
      <c r="G1353">
        <v>52</v>
      </c>
      <c r="H1353" t="s">
        <v>200</v>
      </c>
      <c r="I1353">
        <v>0</v>
      </c>
      <c r="J1353" t="s">
        <v>215</v>
      </c>
      <c r="K1353" t="e">
        <v>#N/A</v>
      </c>
      <c r="L1353" t="e">
        <v>#N/A</v>
      </c>
      <c r="M1353" t="e">
        <v>#N/A</v>
      </c>
      <c r="N1353" t="e">
        <v>#N/A</v>
      </c>
      <c r="O1353" t="s">
        <v>97</v>
      </c>
    </row>
    <row r="1354" spans="1:15" x14ac:dyDescent="0.2">
      <c r="A1354">
        <v>120</v>
      </c>
      <c r="B1354">
        <v>121</v>
      </c>
      <c r="C1354">
        <v>120</v>
      </c>
      <c r="D1354">
        <v>119</v>
      </c>
      <c r="E1354" t="s">
        <v>5</v>
      </c>
      <c r="F1354" t="s">
        <v>18</v>
      </c>
      <c r="G1354">
        <v>52</v>
      </c>
      <c r="H1354" t="s">
        <v>200</v>
      </c>
      <c r="I1354">
        <v>0</v>
      </c>
      <c r="J1354" t="s">
        <v>216</v>
      </c>
      <c r="K1354" t="e">
        <v>#N/A</v>
      </c>
      <c r="L1354" t="e">
        <v>#N/A</v>
      </c>
      <c r="M1354" t="e">
        <v>#N/A</v>
      </c>
      <c r="N1354" t="e">
        <v>#N/A</v>
      </c>
      <c r="O1354" t="s">
        <v>97</v>
      </c>
    </row>
    <row r="1355" spans="1:15" x14ac:dyDescent="0.2">
      <c r="A1355">
        <v>125</v>
      </c>
      <c r="B1355">
        <v>126</v>
      </c>
      <c r="C1355">
        <v>125</v>
      </c>
      <c r="D1355">
        <v>124</v>
      </c>
      <c r="E1355" t="s">
        <v>5</v>
      </c>
      <c r="F1355" t="s">
        <v>19</v>
      </c>
      <c r="G1355">
        <v>52</v>
      </c>
      <c r="H1355" t="s">
        <v>200</v>
      </c>
      <c r="I1355">
        <v>0</v>
      </c>
      <c r="J1355" t="s">
        <v>217</v>
      </c>
      <c r="K1355" t="e">
        <v>#N/A</v>
      </c>
      <c r="L1355" t="e">
        <v>#N/A</v>
      </c>
      <c r="M1355" t="e">
        <v>#N/A</v>
      </c>
      <c r="N1355" t="e">
        <v>#N/A</v>
      </c>
      <c r="O1355" t="s">
        <v>97</v>
      </c>
    </row>
    <row r="1356" spans="1:15" x14ac:dyDescent="0.2">
      <c r="A1356">
        <v>130</v>
      </c>
      <c r="B1356">
        <v>131</v>
      </c>
      <c r="C1356">
        <v>130</v>
      </c>
      <c r="D1356">
        <v>129</v>
      </c>
      <c r="E1356" t="s">
        <v>5</v>
      </c>
      <c r="F1356" t="s">
        <v>20</v>
      </c>
      <c r="G1356">
        <v>52</v>
      </c>
      <c r="H1356" t="s">
        <v>200</v>
      </c>
      <c r="I1356">
        <v>0</v>
      </c>
      <c r="J1356" t="s">
        <v>218</v>
      </c>
      <c r="K1356" t="e">
        <v>#N/A</v>
      </c>
      <c r="L1356" t="e">
        <v>#N/A</v>
      </c>
      <c r="M1356" t="e">
        <v>#N/A</v>
      </c>
      <c r="N1356" t="e">
        <v>#N/A</v>
      </c>
      <c r="O1356" t="s">
        <v>97</v>
      </c>
    </row>
    <row r="1357" spans="1:15" x14ac:dyDescent="0.2">
      <c r="A1357">
        <v>135</v>
      </c>
      <c r="B1357">
        <v>136</v>
      </c>
      <c r="C1357">
        <v>135</v>
      </c>
      <c r="D1357">
        <v>134</v>
      </c>
      <c r="E1357" t="s">
        <v>5</v>
      </c>
      <c r="F1357" t="s">
        <v>21</v>
      </c>
      <c r="G1357">
        <v>52</v>
      </c>
      <c r="H1357" t="s">
        <v>200</v>
      </c>
      <c r="I1357">
        <v>0</v>
      </c>
      <c r="J1357" t="s">
        <v>219</v>
      </c>
      <c r="K1357" t="e">
        <v>#N/A</v>
      </c>
      <c r="L1357" t="e">
        <v>#N/A</v>
      </c>
      <c r="M1357" t="e">
        <v>#N/A</v>
      </c>
      <c r="N1357" t="e">
        <v>#N/A</v>
      </c>
      <c r="O1357" t="s">
        <v>97</v>
      </c>
    </row>
    <row r="1358" spans="1:15" x14ac:dyDescent="0.2">
      <c r="A1358">
        <v>140</v>
      </c>
      <c r="B1358">
        <v>141</v>
      </c>
      <c r="C1358">
        <v>140</v>
      </c>
      <c r="D1358">
        <v>139</v>
      </c>
      <c r="E1358" t="s">
        <v>5</v>
      </c>
      <c r="F1358" t="s">
        <v>22</v>
      </c>
      <c r="G1358">
        <v>52</v>
      </c>
      <c r="H1358" t="s">
        <v>200</v>
      </c>
      <c r="I1358">
        <v>0</v>
      </c>
      <c r="J1358" t="s">
        <v>220</v>
      </c>
      <c r="K1358" t="e">
        <v>#N/A</v>
      </c>
      <c r="L1358" t="e">
        <v>#N/A</v>
      </c>
      <c r="M1358" t="e">
        <v>#N/A</v>
      </c>
      <c r="N1358" t="e">
        <v>#N/A</v>
      </c>
      <c r="O1358" t="s">
        <v>97</v>
      </c>
    </row>
    <row r="1359" spans="1:15" x14ac:dyDescent="0.2">
      <c r="A1359">
        <v>145</v>
      </c>
      <c r="B1359">
        <v>146</v>
      </c>
      <c r="C1359">
        <v>145</v>
      </c>
      <c r="D1359">
        <v>144</v>
      </c>
      <c r="E1359" t="s">
        <v>5</v>
      </c>
      <c r="F1359" t="s">
        <v>23</v>
      </c>
      <c r="G1359">
        <v>52</v>
      </c>
      <c r="H1359" t="s">
        <v>200</v>
      </c>
      <c r="I1359">
        <v>0</v>
      </c>
      <c r="J1359" t="s">
        <v>221</v>
      </c>
      <c r="K1359" t="e">
        <v>#N/A</v>
      </c>
      <c r="L1359" t="e">
        <v>#N/A</v>
      </c>
      <c r="M1359" t="e">
        <v>#N/A</v>
      </c>
      <c r="N1359" t="e">
        <v>#N/A</v>
      </c>
      <c r="O1359" t="s">
        <v>97</v>
      </c>
    </row>
    <row r="1360" spans="1:15" x14ac:dyDescent="0.2">
      <c r="A1360">
        <v>155</v>
      </c>
      <c r="B1360">
        <v>156</v>
      </c>
      <c r="C1360">
        <v>155</v>
      </c>
      <c r="D1360">
        <v>154</v>
      </c>
      <c r="E1360" t="s">
        <v>5</v>
      </c>
      <c r="F1360" t="s">
        <v>25</v>
      </c>
      <c r="G1360">
        <v>52</v>
      </c>
      <c r="H1360" t="s">
        <v>200</v>
      </c>
      <c r="I1360">
        <v>0</v>
      </c>
      <c r="J1360" t="s">
        <v>222</v>
      </c>
      <c r="K1360" t="e">
        <v>#N/A</v>
      </c>
      <c r="L1360" t="e">
        <v>#N/A</v>
      </c>
      <c r="M1360" t="e">
        <v>#N/A</v>
      </c>
      <c r="N1360" t="e">
        <v>#N/A</v>
      </c>
      <c r="O1360" t="s">
        <v>97</v>
      </c>
    </row>
    <row r="1361" spans="1:15" x14ac:dyDescent="0.2">
      <c r="A1361">
        <v>165</v>
      </c>
      <c r="B1361">
        <v>166</v>
      </c>
      <c r="C1361">
        <v>165</v>
      </c>
      <c r="D1361">
        <v>164</v>
      </c>
      <c r="E1361" t="s">
        <v>5</v>
      </c>
      <c r="F1361" t="s">
        <v>27</v>
      </c>
      <c r="G1361">
        <v>52</v>
      </c>
      <c r="H1361" t="s">
        <v>200</v>
      </c>
      <c r="I1361">
        <v>0</v>
      </c>
      <c r="J1361" t="s">
        <v>223</v>
      </c>
      <c r="K1361" t="e">
        <v>#N/A</v>
      </c>
      <c r="L1361" t="e">
        <v>#N/A</v>
      </c>
      <c r="M1361" t="e">
        <v>#N/A</v>
      </c>
      <c r="N1361" t="e">
        <v>#N/A</v>
      </c>
      <c r="O1361" t="s">
        <v>97</v>
      </c>
    </row>
    <row r="1362" spans="1:15" x14ac:dyDescent="0.2">
      <c r="A1362">
        <v>170</v>
      </c>
      <c r="B1362">
        <v>171</v>
      </c>
      <c r="C1362">
        <v>170</v>
      </c>
      <c r="D1362">
        <v>169</v>
      </c>
      <c r="E1362" t="s">
        <v>5</v>
      </c>
      <c r="F1362" t="s">
        <v>28</v>
      </c>
      <c r="G1362">
        <v>52</v>
      </c>
      <c r="H1362" t="s">
        <v>200</v>
      </c>
      <c r="I1362">
        <v>0</v>
      </c>
      <c r="J1362" t="s">
        <v>224</v>
      </c>
      <c r="K1362" t="e">
        <v>#N/A</v>
      </c>
      <c r="L1362" t="e">
        <v>#N/A</v>
      </c>
      <c r="M1362" t="e">
        <v>#N/A</v>
      </c>
      <c r="N1362" t="e">
        <v>#N/A</v>
      </c>
      <c r="O1362" t="s">
        <v>97</v>
      </c>
    </row>
    <row r="1363" spans="1:15" x14ac:dyDescent="0.2">
      <c r="A1363">
        <v>175</v>
      </c>
      <c r="B1363">
        <v>176</v>
      </c>
      <c r="C1363">
        <v>175</v>
      </c>
      <c r="D1363">
        <v>174</v>
      </c>
      <c r="E1363" t="s">
        <v>5</v>
      </c>
      <c r="F1363" t="s">
        <v>29</v>
      </c>
      <c r="G1363">
        <v>52</v>
      </c>
      <c r="H1363" t="s">
        <v>200</v>
      </c>
      <c r="I1363">
        <v>0</v>
      </c>
      <c r="J1363">
        <v>0</v>
      </c>
      <c r="K1363" t="e">
        <v>#N/A</v>
      </c>
      <c r="L1363" t="e">
        <v>#N/A</v>
      </c>
      <c r="M1363" t="e">
        <v>#N/A</v>
      </c>
      <c r="N1363" t="e">
        <v>#N/A</v>
      </c>
      <c r="O1363" t="s">
        <v>97</v>
      </c>
    </row>
    <row r="1364" spans="1:15" x14ac:dyDescent="0.2">
      <c r="A1364">
        <v>24</v>
      </c>
      <c r="B1364">
        <v>25</v>
      </c>
      <c r="C1364">
        <v>24</v>
      </c>
      <c r="D1364">
        <v>23</v>
      </c>
      <c r="E1364" t="s">
        <v>30</v>
      </c>
      <c r="F1364" t="s">
        <v>33</v>
      </c>
      <c r="G1364">
        <v>52</v>
      </c>
      <c r="H1364" t="s">
        <v>200</v>
      </c>
      <c r="I1364">
        <v>0</v>
      </c>
      <c r="J1364">
        <v>0</v>
      </c>
      <c r="K1364" t="e">
        <v>#N/A</v>
      </c>
      <c r="L1364" t="e">
        <v>#N/A</v>
      </c>
      <c r="M1364" t="e">
        <v>#N/A</v>
      </c>
      <c r="N1364" t="e">
        <v>#N/A</v>
      </c>
      <c r="O1364" t="s">
        <v>97</v>
      </c>
    </row>
    <row r="1365" spans="1:15" x14ac:dyDescent="0.2">
      <c r="A1365">
        <v>29</v>
      </c>
      <c r="B1365">
        <v>30</v>
      </c>
      <c r="C1365">
        <v>29</v>
      </c>
      <c r="D1365">
        <v>28</v>
      </c>
      <c r="E1365" t="s">
        <v>30</v>
      </c>
      <c r="F1365" t="s">
        <v>211</v>
      </c>
      <c r="G1365">
        <v>52</v>
      </c>
      <c r="H1365" t="s">
        <v>200</v>
      </c>
      <c r="I1365">
        <v>0</v>
      </c>
      <c r="J1365" t="s">
        <v>225</v>
      </c>
      <c r="K1365" t="e">
        <v>#N/A</v>
      </c>
      <c r="L1365" t="e">
        <v>#N/A</v>
      </c>
      <c r="M1365" t="e">
        <v>#N/A</v>
      </c>
      <c r="N1365" t="e">
        <v>#N/A</v>
      </c>
      <c r="O1365" t="s">
        <v>97</v>
      </c>
    </row>
    <row r="1366" spans="1:15" x14ac:dyDescent="0.2">
      <c r="A1366">
        <v>34</v>
      </c>
      <c r="B1366">
        <v>35</v>
      </c>
      <c r="C1366">
        <v>34</v>
      </c>
      <c r="D1366">
        <v>33</v>
      </c>
      <c r="E1366" t="s">
        <v>30</v>
      </c>
      <c r="F1366" t="s">
        <v>35</v>
      </c>
      <c r="G1366">
        <v>52</v>
      </c>
      <c r="H1366" t="s">
        <v>200</v>
      </c>
      <c r="I1366">
        <v>0</v>
      </c>
      <c r="J1366">
        <v>0</v>
      </c>
      <c r="K1366" t="e">
        <v>#N/A</v>
      </c>
      <c r="L1366" t="e">
        <v>#N/A</v>
      </c>
      <c r="M1366" t="e">
        <v>#N/A</v>
      </c>
      <c r="N1366" t="e">
        <v>#N/A</v>
      </c>
      <c r="O1366" t="s">
        <v>97</v>
      </c>
    </row>
    <row r="1367" spans="1:15" x14ac:dyDescent="0.2">
      <c r="A1367">
        <v>39</v>
      </c>
      <c r="B1367">
        <v>40</v>
      </c>
      <c r="C1367">
        <v>39</v>
      </c>
      <c r="D1367">
        <v>38</v>
      </c>
      <c r="E1367" t="s">
        <v>30</v>
      </c>
      <c r="F1367" t="s">
        <v>36</v>
      </c>
      <c r="G1367">
        <v>52</v>
      </c>
      <c r="H1367" t="s">
        <v>200</v>
      </c>
      <c r="I1367">
        <v>0</v>
      </c>
      <c r="J1367" t="s">
        <v>226</v>
      </c>
      <c r="K1367" t="e">
        <v>#N/A</v>
      </c>
      <c r="L1367" t="e">
        <v>#N/A</v>
      </c>
      <c r="M1367" t="e">
        <v>#N/A</v>
      </c>
      <c r="N1367" t="e">
        <v>#N/A</v>
      </c>
      <c r="O1367" t="s">
        <v>97</v>
      </c>
    </row>
    <row r="1368" spans="1:15" x14ac:dyDescent="0.2">
      <c r="A1368">
        <v>223</v>
      </c>
      <c r="B1368">
        <v>224</v>
      </c>
      <c r="C1368">
        <v>223</v>
      </c>
      <c r="D1368">
        <v>222</v>
      </c>
      <c r="E1368" t="s">
        <v>30</v>
      </c>
      <c r="F1368" t="s">
        <v>37</v>
      </c>
      <c r="G1368">
        <v>52</v>
      </c>
      <c r="H1368" t="s">
        <v>200</v>
      </c>
      <c r="I1368">
        <v>0</v>
      </c>
      <c r="J1368" t="s">
        <v>227</v>
      </c>
      <c r="K1368" t="e">
        <v>#N/A</v>
      </c>
      <c r="L1368" t="e">
        <v>#N/A</v>
      </c>
      <c r="M1368" t="e">
        <v>#N/A</v>
      </c>
      <c r="N1368" t="e">
        <v>#N/A</v>
      </c>
      <c r="O1368" t="s">
        <v>97</v>
      </c>
    </row>
    <row r="1369" spans="1:15" x14ac:dyDescent="0.2">
      <c r="A1369">
        <v>54</v>
      </c>
      <c r="B1369">
        <v>55</v>
      </c>
      <c r="C1369">
        <v>54</v>
      </c>
      <c r="D1369">
        <v>53</v>
      </c>
      <c r="E1369" t="s">
        <v>30</v>
      </c>
      <c r="F1369" t="s">
        <v>39</v>
      </c>
      <c r="G1369">
        <v>52</v>
      </c>
      <c r="H1369" t="s">
        <v>200</v>
      </c>
      <c r="I1369">
        <v>0</v>
      </c>
      <c r="J1369">
        <v>0</v>
      </c>
      <c r="K1369" t="e">
        <v>#N/A</v>
      </c>
      <c r="L1369" t="e">
        <v>#N/A</v>
      </c>
      <c r="M1369" t="e">
        <v>#N/A</v>
      </c>
      <c r="N1369" t="e">
        <v>#N/A</v>
      </c>
      <c r="O1369" t="s">
        <v>97</v>
      </c>
    </row>
    <row r="1370" spans="1:15" x14ac:dyDescent="0.2">
      <c r="A1370">
        <v>181</v>
      </c>
      <c r="B1370">
        <v>182</v>
      </c>
      <c r="C1370">
        <v>181</v>
      </c>
      <c r="D1370">
        <v>180</v>
      </c>
      <c r="E1370" t="s">
        <v>40</v>
      </c>
      <c r="F1370" t="s">
        <v>41</v>
      </c>
      <c r="G1370">
        <v>52</v>
      </c>
      <c r="H1370" t="s">
        <v>200</v>
      </c>
      <c r="I1370">
        <v>0</v>
      </c>
      <c r="J1370" t="s">
        <v>228</v>
      </c>
      <c r="K1370" t="e">
        <v>#N/A</v>
      </c>
      <c r="L1370" t="e">
        <v>#N/A</v>
      </c>
      <c r="M1370" t="e">
        <v>#N/A</v>
      </c>
      <c r="N1370" t="e">
        <v>#N/A</v>
      </c>
      <c r="O1370" t="s">
        <v>97</v>
      </c>
    </row>
    <row r="1371" spans="1:15" x14ac:dyDescent="0.2">
      <c r="A1371">
        <v>186</v>
      </c>
      <c r="B1371">
        <v>187</v>
      </c>
      <c r="C1371">
        <v>186</v>
      </c>
      <c r="D1371">
        <v>185</v>
      </c>
      <c r="E1371" t="s">
        <v>40</v>
      </c>
      <c r="F1371" t="s">
        <v>42</v>
      </c>
      <c r="G1371">
        <v>52</v>
      </c>
      <c r="H1371" t="s">
        <v>200</v>
      </c>
      <c r="I1371">
        <v>0</v>
      </c>
      <c r="J1371" t="s">
        <v>229</v>
      </c>
      <c r="K1371" t="e">
        <v>#N/A</v>
      </c>
      <c r="L1371" t="e">
        <v>#N/A</v>
      </c>
      <c r="M1371" t="e">
        <v>#N/A</v>
      </c>
      <c r="N1371" t="e">
        <v>#N/A</v>
      </c>
      <c r="O1371" t="s">
        <v>97</v>
      </c>
    </row>
    <row r="1372" spans="1:15" x14ac:dyDescent="0.2">
      <c r="A1372">
        <v>206</v>
      </c>
      <c r="B1372">
        <v>207</v>
      </c>
      <c r="C1372">
        <v>206</v>
      </c>
      <c r="D1372">
        <v>205</v>
      </c>
      <c r="E1372" t="s">
        <v>40</v>
      </c>
      <c r="F1372" t="s">
        <v>43</v>
      </c>
      <c r="G1372">
        <v>52</v>
      </c>
      <c r="H1372" t="s">
        <v>200</v>
      </c>
      <c r="I1372">
        <v>0</v>
      </c>
      <c r="J1372" t="s">
        <v>230</v>
      </c>
      <c r="K1372" t="e">
        <v>#N/A</v>
      </c>
      <c r="L1372" t="e">
        <v>#N/A</v>
      </c>
      <c r="M1372" t="e">
        <v>#N/A</v>
      </c>
      <c r="N1372" t="e">
        <v>#N/A</v>
      </c>
      <c r="O1372" t="s">
        <v>97</v>
      </c>
    </row>
    <row r="1373" spans="1:15" x14ac:dyDescent="0.2">
      <c r="A1373">
        <v>217</v>
      </c>
      <c r="B1373">
        <v>218</v>
      </c>
      <c r="C1373">
        <v>217</v>
      </c>
      <c r="D1373">
        <v>216</v>
      </c>
      <c r="E1373" t="s">
        <v>44</v>
      </c>
      <c r="F1373" t="s">
        <v>45</v>
      </c>
      <c r="G1373">
        <v>52</v>
      </c>
      <c r="H1373" t="s">
        <v>200</v>
      </c>
      <c r="I1373">
        <v>0</v>
      </c>
      <c r="J1373">
        <v>0</v>
      </c>
      <c r="K1373" t="e">
        <v>#N/A</v>
      </c>
      <c r="L1373" t="e">
        <v>#N/A</v>
      </c>
      <c r="M1373" t="e">
        <v>#N/A</v>
      </c>
      <c r="N1373" t="e">
        <v>#N/A</v>
      </c>
      <c r="O1373" t="s">
        <v>97</v>
      </c>
    </row>
    <row r="1374" spans="1:15" x14ac:dyDescent="0.2">
      <c r="A1374">
        <v>75</v>
      </c>
      <c r="B1374">
        <v>76</v>
      </c>
      <c r="C1374">
        <v>75</v>
      </c>
      <c r="D1374">
        <v>74</v>
      </c>
      <c r="E1374" t="s">
        <v>5</v>
      </c>
      <c r="F1374" t="s">
        <v>6</v>
      </c>
      <c r="G1374">
        <v>53</v>
      </c>
      <c r="H1374" t="s">
        <v>201</v>
      </c>
      <c r="I1374">
        <v>0</v>
      </c>
      <c r="J1374" t="s">
        <v>231</v>
      </c>
      <c r="K1374" t="e">
        <v>#N/A</v>
      </c>
      <c r="L1374" t="e">
        <v>#N/A</v>
      </c>
      <c r="M1374" t="e">
        <v>#N/A</v>
      </c>
      <c r="N1374" t="e">
        <v>#N/A</v>
      </c>
      <c r="O1374" t="s">
        <v>97</v>
      </c>
    </row>
    <row r="1375" spans="1:15" x14ac:dyDescent="0.2">
      <c r="A1375">
        <v>80</v>
      </c>
      <c r="B1375">
        <v>81</v>
      </c>
      <c r="C1375">
        <v>80</v>
      </c>
      <c r="D1375">
        <v>79</v>
      </c>
      <c r="E1375" t="s">
        <v>5</v>
      </c>
      <c r="F1375" t="s">
        <v>9</v>
      </c>
      <c r="G1375">
        <v>53</v>
      </c>
      <c r="H1375" t="s">
        <v>201</v>
      </c>
      <c r="I1375">
        <v>0</v>
      </c>
      <c r="J1375" t="s">
        <v>231</v>
      </c>
      <c r="K1375" t="e">
        <v>#N/A</v>
      </c>
      <c r="L1375" t="e">
        <v>#N/A</v>
      </c>
      <c r="M1375" t="e">
        <v>#N/A</v>
      </c>
      <c r="N1375" t="e">
        <v>#N/A</v>
      </c>
      <c r="O1375" t="s">
        <v>97</v>
      </c>
    </row>
    <row r="1376" spans="1:15" x14ac:dyDescent="0.2">
      <c r="A1376">
        <v>90</v>
      </c>
      <c r="B1376">
        <v>91</v>
      </c>
      <c r="C1376">
        <v>90</v>
      </c>
      <c r="D1376">
        <v>89</v>
      </c>
      <c r="E1376" t="s">
        <v>5</v>
      </c>
      <c r="F1376" t="s">
        <v>11</v>
      </c>
      <c r="G1376">
        <v>53</v>
      </c>
      <c r="H1376" t="s">
        <v>201</v>
      </c>
      <c r="I1376">
        <v>0</v>
      </c>
      <c r="J1376">
        <v>0</v>
      </c>
      <c r="K1376" t="e">
        <v>#N/A</v>
      </c>
      <c r="L1376" t="e">
        <v>#N/A</v>
      </c>
      <c r="M1376" t="e">
        <v>#N/A</v>
      </c>
      <c r="N1376" t="e">
        <v>#N/A</v>
      </c>
      <c r="O1376" t="s">
        <v>97</v>
      </c>
    </row>
    <row r="1377" spans="1:15" x14ac:dyDescent="0.2">
      <c r="A1377">
        <v>95</v>
      </c>
      <c r="B1377">
        <v>96</v>
      </c>
      <c r="C1377">
        <v>95</v>
      </c>
      <c r="D1377">
        <v>94</v>
      </c>
      <c r="E1377" t="s">
        <v>5</v>
      </c>
      <c r="F1377" t="s">
        <v>12</v>
      </c>
      <c r="G1377">
        <v>53</v>
      </c>
      <c r="H1377" t="s">
        <v>201</v>
      </c>
      <c r="I1377">
        <v>0</v>
      </c>
      <c r="J1377" t="s">
        <v>232</v>
      </c>
      <c r="K1377" t="e">
        <v>#N/A</v>
      </c>
      <c r="L1377" t="e">
        <v>#N/A</v>
      </c>
      <c r="M1377" t="e">
        <v>#N/A</v>
      </c>
      <c r="N1377" t="e">
        <v>#N/A</v>
      </c>
      <c r="O1377" t="s">
        <v>97</v>
      </c>
    </row>
    <row r="1378" spans="1:15" x14ac:dyDescent="0.2">
      <c r="A1378">
        <v>100</v>
      </c>
      <c r="B1378">
        <v>101</v>
      </c>
      <c r="C1378">
        <v>100</v>
      </c>
      <c r="D1378">
        <v>99</v>
      </c>
      <c r="E1378" t="s">
        <v>5</v>
      </c>
      <c r="F1378" t="s">
        <v>14</v>
      </c>
      <c r="G1378">
        <v>53</v>
      </c>
      <c r="H1378" t="s">
        <v>201</v>
      </c>
      <c r="I1378">
        <v>0</v>
      </c>
      <c r="J1378" t="s">
        <v>233</v>
      </c>
      <c r="K1378" t="e">
        <v>#N/A</v>
      </c>
      <c r="L1378" t="e">
        <v>#N/A</v>
      </c>
      <c r="M1378" t="e">
        <v>#N/A</v>
      </c>
      <c r="N1378" t="e">
        <v>#N/A</v>
      </c>
      <c r="O1378" t="s">
        <v>97</v>
      </c>
    </row>
    <row r="1379" spans="1:15" x14ac:dyDescent="0.2">
      <c r="A1379">
        <v>105</v>
      </c>
      <c r="B1379">
        <v>106</v>
      </c>
      <c r="C1379">
        <v>105</v>
      </c>
      <c r="D1379">
        <v>104</v>
      </c>
      <c r="E1379" t="s">
        <v>5</v>
      </c>
      <c r="F1379" t="s">
        <v>15</v>
      </c>
      <c r="G1379">
        <v>53</v>
      </c>
      <c r="H1379" t="s">
        <v>201</v>
      </c>
      <c r="I1379">
        <v>0</v>
      </c>
      <c r="J1379">
        <v>0</v>
      </c>
      <c r="K1379" t="e">
        <v>#N/A</v>
      </c>
      <c r="L1379" t="e">
        <v>#N/A</v>
      </c>
      <c r="M1379" t="e">
        <v>#N/A</v>
      </c>
      <c r="N1379" t="e">
        <v>#N/A</v>
      </c>
      <c r="O1379" t="s">
        <v>97</v>
      </c>
    </row>
    <row r="1380" spans="1:15" x14ac:dyDescent="0.2">
      <c r="A1380">
        <v>110</v>
      </c>
      <c r="B1380">
        <v>111</v>
      </c>
      <c r="C1380">
        <v>110</v>
      </c>
      <c r="D1380">
        <v>109</v>
      </c>
      <c r="E1380" t="s">
        <v>5</v>
      </c>
      <c r="F1380" t="s">
        <v>16</v>
      </c>
      <c r="G1380">
        <v>53</v>
      </c>
      <c r="H1380" t="s">
        <v>201</v>
      </c>
      <c r="I1380">
        <v>0</v>
      </c>
      <c r="J1380">
        <v>0</v>
      </c>
      <c r="K1380" t="e">
        <v>#N/A</v>
      </c>
      <c r="L1380" t="e">
        <v>#N/A</v>
      </c>
      <c r="M1380" t="e">
        <v>#N/A</v>
      </c>
      <c r="N1380" t="e">
        <v>#N/A</v>
      </c>
      <c r="O1380" t="s">
        <v>97</v>
      </c>
    </row>
    <row r="1381" spans="1:15" x14ac:dyDescent="0.2">
      <c r="A1381">
        <v>115</v>
      </c>
      <c r="B1381">
        <v>116</v>
      </c>
      <c r="C1381">
        <v>115</v>
      </c>
      <c r="D1381">
        <v>114</v>
      </c>
      <c r="E1381" t="s">
        <v>5</v>
      </c>
      <c r="F1381" t="s">
        <v>17</v>
      </c>
      <c r="G1381">
        <v>53</v>
      </c>
      <c r="H1381" t="s">
        <v>201</v>
      </c>
      <c r="I1381">
        <v>0</v>
      </c>
      <c r="J1381">
        <v>0</v>
      </c>
      <c r="K1381" t="e">
        <v>#N/A</v>
      </c>
      <c r="L1381" t="e">
        <v>#N/A</v>
      </c>
      <c r="M1381" t="e">
        <v>#N/A</v>
      </c>
      <c r="N1381" t="e">
        <v>#N/A</v>
      </c>
      <c r="O1381" t="s">
        <v>97</v>
      </c>
    </row>
    <row r="1382" spans="1:15" x14ac:dyDescent="0.2">
      <c r="A1382">
        <v>120</v>
      </c>
      <c r="B1382">
        <v>121</v>
      </c>
      <c r="C1382">
        <v>120</v>
      </c>
      <c r="D1382">
        <v>119</v>
      </c>
      <c r="E1382" t="s">
        <v>5</v>
      </c>
      <c r="F1382" t="s">
        <v>18</v>
      </c>
      <c r="G1382">
        <v>53</v>
      </c>
      <c r="H1382" t="s">
        <v>201</v>
      </c>
      <c r="I1382">
        <v>0</v>
      </c>
      <c r="J1382">
        <v>0</v>
      </c>
      <c r="K1382" t="e">
        <v>#N/A</v>
      </c>
      <c r="L1382" t="e">
        <v>#N/A</v>
      </c>
      <c r="M1382" t="e">
        <v>#N/A</v>
      </c>
      <c r="N1382" t="e">
        <v>#N/A</v>
      </c>
      <c r="O1382" t="s">
        <v>97</v>
      </c>
    </row>
    <row r="1383" spans="1:15" x14ac:dyDescent="0.2">
      <c r="A1383">
        <v>125</v>
      </c>
      <c r="B1383">
        <v>126</v>
      </c>
      <c r="C1383">
        <v>125</v>
      </c>
      <c r="D1383">
        <v>124</v>
      </c>
      <c r="E1383" t="s">
        <v>5</v>
      </c>
      <c r="F1383" t="s">
        <v>19</v>
      </c>
      <c r="G1383">
        <v>53</v>
      </c>
      <c r="H1383" t="s">
        <v>201</v>
      </c>
      <c r="I1383">
        <v>0</v>
      </c>
      <c r="J1383" t="s">
        <v>234</v>
      </c>
      <c r="K1383" t="e">
        <v>#N/A</v>
      </c>
      <c r="L1383" t="e">
        <v>#N/A</v>
      </c>
      <c r="M1383" t="e">
        <v>#N/A</v>
      </c>
      <c r="N1383" t="e">
        <v>#N/A</v>
      </c>
      <c r="O1383" t="s">
        <v>97</v>
      </c>
    </row>
    <row r="1384" spans="1:15" x14ac:dyDescent="0.2">
      <c r="A1384">
        <v>130</v>
      </c>
      <c r="B1384">
        <v>131</v>
      </c>
      <c r="C1384">
        <v>130</v>
      </c>
      <c r="D1384">
        <v>129</v>
      </c>
      <c r="E1384" t="s">
        <v>5</v>
      </c>
      <c r="F1384" t="s">
        <v>20</v>
      </c>
      <c r="G1384">
        <v>53</v>
      </c>
      <c r="H1384" t="s">
        <v>201</v>
      </c>
      <c r="I1384">
        <v>0</v>
      </c>
      <c r="J1384">
        <v>0</v>
      </c>
      <c r="K1384" t="e">
        <v>#N/A</v>
      </c>
      <c r="L1384" t="e">
        <v>#N/A</v>
      </c>
      <c r="M1384" t="e">
        <v>#N/A</v>
      </c>
      <c r="N1384" t="e">
        <v>#N/A</v>
      </c>
      <c r="O1384" t="s">
        <v>97</v>
      </c>
    </row>
    <row r="1385" spans="1:15" x14ac:dyDescent="0.2">
      <c r="A1385">
        <v>135</v>
      </c>
      <c r="B1385">
        <v>136</v>
      </c>
      <c r="C1385">
        <v>135</v>
      </c>
      <c r="D1385">
        <v>134</v>
      </c>
      <c r="E1385" t="s">
        <v>5</v>
      </c>
      <c r="F1385" t="s">
        <v>21</v>
      </c>
      <c r="G1385">
        <v>53</v>
      </c>
      <c r="H1385" t="s">
        <v>201</v>
      </c>
      <c r="I1385">
        <v>0</v>
      </c>
      <c r="J1385" t="s">
        <v>235</v>
      </c>
      <c r="K1385" t="e">
        <v>#N/A</v>
      </c>
      <c r="L1385" t="e">
        <v>#N/A</v>
      </c>
      <c r="M1385" t="e">
        <v>#N/A</v>
      </c>
      <c r="N1385" t="e">
        <v>#N/A</v>
      </c>
      <c r="O1385" t="s">
        <v>97</v>
      </c>
    </row>
    <row r="1386" spans="1:15" x14ac:dyDescent="0.2">
      <c r="A1386">
        <v>140</v>
      </c>
      <c r="B1386">
        <v>141</v>
      </c>
      <c r="C1386">
        <v>140</v>
      </c>
      <c r="D1386">
        <v>139</v>
      </c>
      <c r="E1386" t="s">
        <v>5</v>
      </c>
      <c r="F1386" t="s">
        <v>22</v>
      </c>
      <c r="G1386">
        <v>53</v>
      </c>
      <c r="H1386" t="s">
        <v>201</v>
      </c>
      <c r="I1386">
        <v>0</v>
      </c>
      <c r="J1386" t="s">
        <v>220</v>
      </c>
      <c r="K1386" t="e">
        <v>#N/A</v>
      </c>
      <c r="L1386" t="e">
        <v>#N/A</v>
      </c>
      <c r="M1386" t="e">
        <v>#N/A</v>
      </c>
      <c r="N1386" t="e">
        <v>#N/A</v>
      </c>
      <c r="O1386" t="s">
        <v>97</v>
      </c>
    </row>
    <row r="1387" spans="1:15" x14ac:dyDescent="0.2">
      <c r="A1387">
        <v>145</v>
      </c>
      <c r="B1387">
        <v>146</v>
      </c>
      <c r="C1387">
        <v>145</v>
      </c>
      <c r="D1387">
        <v>144</v>
      </c>
      <c r="E1387" t="s">
        <v>5</v>
      </c>
      <c r="F1387" t="s">
        <v>23</v>
      </c>
      <c r="G1387">
        <v>53</v>
      </c>
      <c r="H1387" t="s">
        <v>201</v>
      </c>
      <c r="I1387">
        <v>0</v>
      </c>
      <c r="J1387" t="s">
        <v>236</v>
      </c>
      <c r="K1387" t="e">
        <v>#N/A</v>
      </c>
      <c r="L1387" t="e">
        <v>#N/A</v>
      </c>
      <c r="M1387" t="e">
        <v>#N/A</v>
      </c>
      <c r="N1387" t="e">
        <v>#N/A</v>
      </c>
      <c r="O1387" t="s">
        <v>97</v>
      </c>
    </row>
    <row r="1388" spans="1:15" x14ac:dyDescent="0.2">
      <c r="A1388">
        <v>155</v>
      </c>
      <c r="B1388">
        <v>156</v>
      </c>
      <c r="C1388">
        <v>155</v>
      </c>
      <c r="D1388">
        <v>154</v>
      </c>
      <c r="E1388" t="s">
        <v>5</v>
      </c>
      <c r="F1388" t="s">
        <v>25</v>
      </c>
      <c r="G1388">
        <v>53</v>
      </c>
      <c r="H1388" t="s">
        <v>201</v>
      </c>
      <c r="I1388">
        <v>0</v>
      </c>
      <c r="J1388" t="s">
        <v>222</v>
      </c>
      <c r="K1388" t="e">
        <v>#N/A</v>
      </c>
      <c r="L1388" t="e">
        <v>#N/A</v>
      </c>
      <c r="M1388" t="e">
        <v>#N/A</v>
      </c>
      <c r="N1388" t="e">
        <v>#N/A</v>
      </c>
      <c r="O1388" t="s">
        <v>97</v>
      </c>
    </row>
    <row r="1389" spans="1:15" x14ac:dyDescent="0.2">
      <c r="A1389">
        <v>165</v>
      </c>
      <c r="B1389">
        <v>166</v>
      </c>
      <c r="C1389">
        <v>165</v>
      </c>
      <c r="D1389">
        <v>164</v>
      </c>
      <c r="E1389" t="s">
        <v>5</v>
      </c>
      <c r="F1389" t="s">
        <v>27</v>
      </c>
      <c r="G1389">
        <v>53</v>
      </c>
      <c r="H1389" t="s">
        <v>201</v>
      </c>
      <c r="I1389">
        <v>0</v>
      </c>
      <c r="J1389" t="s">
        <v>237</v>
      </c>
      <c r="K1389" t="e">
        <v>#N/A</v>
      </c>
      <c r="L1389" t="e">
        <v>#N/A</v>
      </c>
      <c r="M1389" t="e">
        <v>#N/A</v>
      </c>
      <c r="N1389" t="e">
        <v>#N/A</v>
      </c>
      <c r="O1389" t="s">
        <v>97</v>
      </c>
    </row>
    <row r="1390" spans="1:15" x14ac:dyDescent="0.2">
      <c r="A1390">
        <v>170</v>
      </c>
      <c r="B1390">
        <v>171</v>
      </c>
      <c r="C1390">
        <v>170</v>
      </c>
      <c r="D1390">
        <v>169</v>
      </c>
      <c r="E1390" t="s">
        <v>5</v>
      </c>
      <c r="F1390" t="s">
        <v>28</v>
      </c>
      <c r="G1390">
        <v>53</v>
      </c>
      <c r="H1390" t="s">
        <v>201</v>
      </c>
      <c r="I1390">
        <v>0</v>
      </c>
      <c r="J1390" t="s">
        <v>238</v>
      </c>
      <c r="K1390" t="e">
        <v>#N/A</v>
      </c>
      <c r="L1390" t="e">
        <v>#N/A</v>
      </c>
      <c r="M1390" t="e">
        <v>#N/A</v>
      </c>
      <c r="N1390" t="e">
        <v>#N/A</v>
      </c>
      <c r="O1390" t="s">
        <v>97</v>
      </c>
    </row>
    <row r="1391" spans="1:15" x14ac:dyDescent="0.2">
      <c r="A1391">
        <v>175</v>
      </c>
      <c r="B1391">
        <v>176</v>
      </c>
      <c r="C1391">
        <v>175</v>
      </c>
      <c r="D1391">
        <v>174</v>
      </c>
      <c r="E1391" t="s">
        <v>5</v>
      </c>
      <c r="F1391" t="s">
        <v>29</v>
      </c>
      <c r="G1391">
        <v>53</v>
      </c>
      <c r="H1391" t="s">
        <v>201</v>
      </c>
      <c r="I1391">
        <v>0</v>
      </c>
      <c r="J1391">
        <v>0</v>
      </c>
      <c r="K1391" t="e">
        <v>#N/A</v>
      </c>
      <c r="L1391" t="e">
        <v>#N/A</v>
      </c>
      <c r="M1391" t="e">
        <v>#N/A</v>
      </c>
      <c r="N1391" t="e">
        <v>#N/A</v>
      </c>
      <c r="O1391" t="s">
        <v>97</v>
      </c>
    </row>
    <row r="1392" spans="1:15" x14ac:dyDescent="0.2">
      <c r="A1392">
        <v>24</v>
      </c>
      <c r="B1392">
        <v>25</v>
      </c>
      <c r="C1392">
        <v>24</v>
      </c>
      <c r="D1392">
        <v>23</v>
      </c>
      <c r="E1392" t="s">
        <v>30</v>
      </c>
      <c r="F1392" t="s">
        <v>33</v>
      </c>
      <c r="G1392">
        <v>53</v>
      </c>
      <c r="H1392" t="s">
        <v>201</v>
      </c>
      <c r="I1392">
        <v>0</v>
      </c>
      <c r="J1392">
        <v>0</v>
      </c>
      <c r="K1392" t="e">
        <v>#N/A</v>
      </c>
      <c r="L1392" t="e">
        <v>#N/A</v>
      </c>
      <c r="M1392" t="e">
        <v>#N/A</v>
      </c>
      <c r="N1392" t="e">
        <v>#N/A</v>
      </c>
      <c r="O1392" t="s">
        <v>97</v>
      </c>
    </row>
    <row r="1393" spans="1:15" x14ac:dyDescent="0.2">
      <c r="A1393">
        <v>29</v>
      </c>
      <c r="B1393">
        <v>30</v>
      </c>
      <c r="C1393">
        <v>29</v>
      </c>
      <c r="D1393">
        <v>28</v>
      </c>
      <c r="E1393" t="s">
        <v>30</v>
      </c>
      <c r="F1393" t="s">
        <v>211</v>
      </c>
      <c r="G1393">
        <v>53</v>
      </c>
      <c r="H1393" t="s">
        <v>201</v>
      </c>
      <c r="I1393">
        <v>0</v>
      </c>
      <c r="J1393">
        <v>0</v>
      </c>
      <c r="K1393" t="e">
        <v>#N/A</v>
      </c>
      <c r="L1393" t="e">
        <v>#N/A</v>
      </c>
      <c r="M1393" t="e">
        <v>#N/A</v>
      </c>
      <c r="N1393" t="e">
        <v>#N/A</v>
      </c>
      <c r="O1393" t="s">
        <v>97</v>
      </c>
    </row>
    <row r="1394" spans="1:15" x14ac:dyDescent="0.2">
      <c r="A1394">
        <v>34</v>
      </c>
      <c r="B1394">
        <v>35</v>
      </c>
      <c r="C1394">
        <v>34</v>
      </c>
      <c r="D1394">
        <v>33</v>
      </c>
      <c r="E1394" t="s">
        <v>30</v>
      </c>
      <c r="F1394" t="s">
        <v>35</v>
      </c>
      <c r="G1394">
        <v>53</v>
      </c>
      <c r="H1394" t="s">
        <v>201</v>
      </c>
      <c r="I1394">
        <v>0</v>
      </c>
      <c r="J1394">
        <v>0</v>
      </c>
      <c r="K1394" t="e">
        <v>#N/A</v>
      </c>
      <c r="L1394" t="e">
        <v>#N/A</v>
      </c>
      <c r="M1394" t="e">
        <v>#N/A</v>
      </c>
      <c r="N1394" t="e">
        <v>#N/A</v>
      </c>
      <c r="O1394" t="s">
        <v>97</v>
      </c>
    </row>
    <row r="1395" spans="1:15" x14ac:dyDescent="0.2">
      <c r="A1395">
        <v>39</v>
      </c>
      <c r="B1395">
        <v>40</v>
      </c>
      <c r="C1395">
        <v>39</v>
      </c>
      <c r="D1395">
        <v>38</v>
      </c>
      <c r="E1395" t="s">
        <v>30</v>
      </c>
      <c r="F1395" t="s">
        <v>36</v>
      </c>
      <c r="G1395">
        <v>53</v>
      </c>
      <c r="H1395" t="s">
        <v>201</v>
      </c>
      <c r="I1395">
        <v>0</v>
      </c>
      <c r="J1395" t="s">
        <v>239</v>
      </c>
      <c r="K1395" t="e">
        <v>#N/A</v>
      </c>
      <c r="L1395" t="e">
        <v>#N/A</v>
      </c>
      <c r="M1395" t="e">
        <v>#N/A</v>
      </c>
      <c r="N1395" t="e">
        <v>#N/A</v>
      </c>
      <c r="O1395" t="s">
        <v>97</v>
      </c>
    </row>
    <row r="1396" spans="1:15" x14ac:dyDescent="0.2">
      <c r="A1396">
        <v>223</v>
      </c>
      <c r="B1396">
        <v>224</v>
      </c>
      <c r="C1396">
        <v>223</v>
      </c>
      <c r="D1396">
        <v>222</v>
      </c>
      <c r="E1396" t="s">
        <v>30</v>
      </c>
      <c r="F1396" t="s">
        <v>37</v>
      </c>
      <c r="G1396">
        <v>53</v>
      </c>
      <c r="H1396" t="s">
        <v>201</v>
      </c>
      <c r="I1396">
        <v>0</v>
      </c>
      <c r="J1396" t="s">
        <v>240</v>
      </c>
      <c r="K1396" t="e">
        <v>#N/A</v>
      </c>
      <c r="L1396" t="e">
        <v>#N/A</v>
      </c>
      <c r="M1396" t="e">
        <v>#N/A</v>
      </c>
      <c r="N1396" t="e">
        <v>#N/A</v>
      </c>
      <c r="O1396" t="s">
        <v>97</v>
      </c>
    </row>
    <row r="1397" spans="1:15" x14ac:dyDescent="0.2">
      <c r="A1397">
        <v>54</v>
      </c>
      <c r="B1397">
        <v>55</v>
      </c>
      <c r="C1397">
        <v>54</v>
      </c>
      <c r="D1397">
        <v>53</v>
      </c>
      <c r="E1397" t="s">
        <v>30</v>
      </c>
      <c r="F1397" t="s">
        <v>39</v>
      </c>
      <c r="G1397">
        <v>53</v>
      </c>
      <c r="H1397" t="s">
        <v>201</v>
      </c>
      <c r="I1397">
        <v>0</v>
      </c>
      <c r="J1397">
        <v>0</v>
      </c>
      <c r="K1397" t="e">
        <v>#N/A</v>
      </c>
      <c r="L1397" t="e">
        <v>#N/A</v>
      </c>
      <c r="M1397" t="e">
        <v>#N/A</v>
      </c>
      <c r="N1397" t="e">
        <v>#N/A</v>
      </c>
      <c r="O1397" t="s">
        <v>97</v>
      </c>
    </row>
    <row r="1398" spans="1:15" x14ac:dyDescent="0.2">
      <c r="A1398">
        <v>181</v>
      </c>
      <c r="B1398">
        <v>182</v>
      </c>
      <c r="C1398">
        <v>181</v>
      </c>
      <c r="D1398">
        <v>180</v>
      </c>
      <c r="E1398" t="s">
        <v>40</v>
      </c>
      <c r="F1398" t="s">
        <v>41</v>
      </c>
      <c r="G1398">
        <v>53</v>
      </c>
      <c r="H1398" t="s">
        <v>201</v>
      </c>
      <c r="I1398">
        <v>0</v>
      </c>
      <c r="J1398">
        <v>0</v>
      </c>
      <c r="K1398" t="e">
        <v>#N/A</v>
      </c>
      <c r="L1398" t="e">
        <v>#N/A</v>
      </c>
      <c r="M1398" t="e">
        <v>#N/A</v>
      </c>
      <c r="N1398" t="e">
        <v>#N/A</v>
      </c>
      <c r="O1398" t="s">
        <v>97</v>
      </c>
    </row>
    <row r="1399" spans="1:15" x14ac:dyDescent="0.2">
      <c r="A1399">
        <v>186</v>
      </c>
      <c r="B1399">
        <v>187</v>
      </c>
      <c r="C1399">
        <v>186</v>
      </c>
      <c r="D1399">
        <v>185</v>
      </c>
      <c r="E1399" t="s">
        <v>40</v>
      </c>
      <c r="F1399" t="s">
        <v>42</v>
      </c>
      <c r="G1399">
        <v>53</v>
      </c>
      <c r="H1399" t="s">
        <v>201</v>
      </c>
      <c r="I1399">
        <v>0</v>
      </c>
      <c r="J1399">
        <v>0</v>
      </c>
      <c r="K1399" t="e">
        <v>#N/A</v>
      </c>
      <c r="L1399" t="e">
        <v>#N/A</v>
      </c>
      <c r="M1399" t="e">
        <v>#N/A</v>
      </c>
      <c r="N1399" t="e">
        <v>#N/A</v>
      </c>
      <c r="O1399" t="s">
        <v>97</v>
      </c>
    </row>
    <row r="1400" spans="1:15" x14ac:dyDescent="0.2">
      <c r="A1400">
        <v>206</v>
      </c>
      <c r="B1400">
        <v>207</v>
      </c>
      <c r="C1400">
        <v>206</v>
      </c>
      <c r="D1400">
        <v>205</v>
      </c>
      <c r="E1400" t="s">
        <v>40</v>
      </c>
      <c r="F1400" t="s">
        <v>43</v>
      </c>
      <c r="G1400">
        <v>53</v>
      </c>
      <c r="H1400" t="s">
        <v>201</v>
      </c>
      <c r="I1400">
        <v>0</v>
      </c>
      <c r="J1400">
        <v>0</v>
      </c>
      <c r="K1400" t="e">
        <v>#N/A</v>
      </c>
      <c r="L1400" t="e">
        <v>#N/A</v>
      </c>
      <c r="M1400" t="e">
        <v>#N/A</v>
      </c>
      <c r="N1400" t="e">
        <v>#N/A</v>
      </c>
      <c r="O1400" t="s">
        <v>97</v>
      </c>
    </row>
    <row r="1401" spans="1:15" x14ac:dyDescent="0.2">
      <c r="A1401">
        <v>217</v>
      </c>
      <c r="B1401">
        <v>218</v>
      </c>
      <c r="C1401">
        <v>217</v>
      </c>
      <c r="D1401">
        <v>216</v>
      </c>
      <c r="E1401" t="s">
        <v>44</v>
      </c>
      <c r="F1401" t="s">
        <v>45</v>
      </c>
      <c r="G1401">
        <v>53</v>
      </c>
      <c r="H1401" t="s">
        <v>201</v>
      </c>
      <c r="I1401">
        <v>0</v>
      </c>
      <c r="J1401">
        <v>0</v>
      </c>
      <c r="K1401" t="e">
        <v>#N/A</v>
      </c>
      <c r="L1401" t="e">
        <v>#N/A</v>
      </c>
      <c r="M1401" t="e">
        <v>#N/A</v>
      </c>
      <c r="N1401" t="e">
        <v>#N/A</v>
      </c>
      <c r="O1401" t="s">
        <v>97</v>
      </c>
    </row>
    <row r="1402" spans="1:15" x14ac:dyDescent="0.2">
      <c r="A1402">
        <v>75</v>
      </c>
      <c r="B1402">
        <v>76</v>
      </c>
      <c r="C1402">
        <v>75</v>
      </c>
      <c r="D1402">
        <v>74</v>
      </c>
      <c r="E1402" t="s">
        <v>5</v>
      </c>
      <c r="F1402" t="s">
        <v>6</v>
      </c>
      <c r="G1402">
        <v>54</v>
      </c>
      <c r="H1402" t="s">
        <v>203</v>
      </c>
      <c r="I1402">
        <v>0</v>
      </c>
      <c r="J1402" t="s">
        <v>241</v>
      </c>
      <c r="K1402" t="e">
        <v>#N/A</v>
      </c>
      <c r="L1402" t="e">
        <v>#N/A</v>
      </c>
      <c r="M1402" t="e">
        <v>#N/A</v>
      </c>
      <c r="N1402" t="e">
        <v>#N/A</v>
      </c>
      <c r="O1402" t="s">
        <v>97</v>
      </c>
    </row>
    <row r="1403" spans="1:15" x14ac:dyDescent="0.2">
      <c r="A1403">
        <v>80</v>
      </c>
      <c r="B1403">
        <v>81</v>
      </c>
      <c r="C1403">
        <v>80</v>
      </c>
      <c r="D1403">
        <v>79</v>
      </c>
      <c r="E1403" t="s">
        <v>5</v>
      </c>
      <c r="F1403" t="s">
        <v>9</v>
      </c>
      <c r="G1403">
        <v>54</v>
      </c>
      <c r="H1403" t="s">
        <v>203</v>
      </c>
      <c r="I1403">
        <v>0</v>
      </c>
      <c r="J1403" t="s">
        <v>241</v>
      </c>
      <c r="K1403" t="e">
        <v>#N/A</v>
      </c>
      <c r="L1403" t="e">
        <v>#N/A</v>
      </c>
      <c r="M1403" t="e">
        <v>#N/A</v>
      </c>
      <c r="N1403" t="e">
        <v>#N/A</v>
      </c>
      <c r="O1403" t="s">
        <v>97</v>
      </c>
    </row>
    <row r="1404" spans="1:15" x14ac:dyDescent="0.2">
      <c r="A1404">
        <v>90</v>
      </c>
      <c r="B1404">
        <v>91</v>
      </c>
      <c r="C1404">
        <v>90</v>
      </c>
      <c r="D1404">
        <v>89</v>
      </c>
      <c r="E1404" t="s">
        <v>5</v>
      </c>
      <c r="F1404" t="s">
        <v>11</v>
      </c>
      <c r="G1404">
        <v>54</v>
      </c>
      <c r="H1404" t="s">
        <v>203</v>
      </c>
      <c r="I1404">
        <v>0</v>
      </c>
      <c r="J1404">
        <v>0</v>
      </c>
      <c r="K1404" t="e">
        <v>#N/A</v>
      </c>
      <c r="L1404" t="e">
        <v>#N/A</v>
      </c>
      <c r="M1404" t="e">
        <v>#N/A</v>
      </c>
      <c r="N1404" t="e">
        <v>#N/A</v>
      </c>
      <c r="O1404" t="s">
        <v>97</v>
      </c>
    </row>
    <row r="1405" spans="1:15" x14ac:dyDescent="0.2">
      <c r="A1405">
        <v>95</v>
      </c>
      <c r="B1405">
        <v>96</v>
      </c>
      <c r="C1405">
        <v>95</v>
      </c>
      <c r="D1405">
        <v>94</v>
      </c>
      <c r="E1405" t="s">
        <v>5</v>
      </c>
      <c r="F1405" t="s">
        <v>12</v>
      </c>
      <c r="G1405">
        <v>54</v>
      </c>
      <c r="H1405" t="s">
        <v>203</v>
      </c>
      <c r="I1405">
        <v>0</v>
      </c>
      <c r="J1405">
        <v>0</v>
      </c>
      <c r="K1405" t="e">
        <v>#N/A</v>
      </c>
      <c r="L1405" t="e">
        <v>#N/A</v>
      </c>
      <c r="M1405" t="e">
        <v>#N/A</v>
      </c>
      <c r="N1405" t="e">
        <v>#N/A</v>
      </c>
      <c r="O1405" t="s">
        <v>97</v>
      </c>
    </row>
    <row r="1406" spans="1:15" x14ac:dyDescent="0.2">
      <c r="A1406">
        <v>100</v>
      </c>
      <c r="B1406">
        <v>101</v>
      </c>
      <c r="C1406">
        <v>100</v>
      </c>
      <c r="D1406">
        <v>99</v>
      </c>
      <c r="E1406" t="s">
        <v>5</v>
      </c>
      <c r="F1406" t="s">
        <v>14</v>
      </c>
      <c r="G1406">
        <v>54</v>
      </c>
      <c r="H1406" t="s">
        <v>203</v>
      </c>
      <c r="I1406">
        <v>0</v>
      </c>
      <c r="J1406">
        <v>0</v>
      </c>
      <c r="K1406" t="e">
        <v>#N/A</v>
      </c>
      <c r="L1406" t="e">
        <v>#N/A</v>
      </c>
      <c r="M1406" t="e">
        <v>#N/A</v>
      </c>
      <c r="N1406" t="e">
        <v>#N/A</v>
      </c>
      <c r="O1406" t="s">
        <v>97</v>
      </c>
    </row>
    <row r="1407" spans="1:15" x14ac:dyDescent="0.2">
      <c r="A1407">
        <v>105</v>
      </c>
      <c r="B1407">
        <v>106</v>
      </c>
      <c r="C1407">
        <v>105</v>
      </c>
      <c r="D1407">
        <v>104</v>
      </c>
      <c r="E1407" t="s">
        <v>5</v>
      </c>
      <c r="F1407" t="s">
        <v>15</v>
      </c>
      <c r="G1407">
        <v>54</v>
      </c>
      <c r="H1407" t="s">
        <v>203</v>
      </c>
      <c r="I1407">
        <v>0</v>
      </c>
      <c r="J1407">
        <v>0</v>
      </c>
      <c r="K1407" t="e">
        <v>#N/A</v>
      </c>
      <c r="L1407" t="e">
        <v>#N/A</v>
      </c>
      <c r="M1407" t="e">
        <v>#N/A</v>
      </c>
      <c r="N1407" t="e">
        <v>#N/A</v>
      </c>
      <c r="O1407" t="s">
        <v>97</v>
      </c>
    </row>
    <row r="1408" spans="1:15" x14ac:dyDescent="0.2">
      <c r="A1408">
        <v>110</v>
      </c>
      <c r="B1408">
        <v>111</v>
      </c>
      <c r="C1408">
        <v>110</v>
      </c>
      <c r="D1408">
        <v>109</v>
      </c>
      <c r="E1408" t="s">
        <v>5</v>
      </c>
      <c r="F1408" t="s">
        <v>16</v>
      </c>
      <c r="G1408">
        <v>54</v>
      </c>
      <c r="H1408" t="s">
        <v>203</v>
      </c>
      <c r="I1408">
        <v>0</v>
      </c>
      <c r="J1408">
        <v>0</v>
      </c>
      <c r="K1408" t="e">
        <v>#N/A</v>
      </c>
      <c r="L1408" t="e">
        <v>#N/A</v>
      </c>
      <c r="M1408" t="e">
        <v>#N/A</v>
      </c>
      <c r="N1408" t="e">
        <v>#N/A</v>
      </c>
      <c r="O1408" t="s">
        <v>97</v>
      </c>
    </row>
    <row r="1409" spans="1:15" x14ac:dyDescent="0.2">
      <c r="A1409">
        <v>115</v>
      </c>
      <c r="B1409">
        <v>116</v>
      </c>
      <c r="C1409">
        <v>115</v>
      </c>
      <c r="D1409">
        <v>114</v>
      </c>
      <c r="E1409" t="s">
        <v>5</v>
      </c>
      <c r="F1409" t="s">
        <v>17</v>
      </c>
      <c r="G1409">
        <v>54</v>
      </c>
      <c r="H1409" t="s">
        <v>203</v>
      </c>
      <c r="I1409">
        <v>0</v>
      </c>
      <c r="J1409">
        <v>0</v>
      </c>
      <c r="K1409" t="e">
        <v>#N/A</v>
      </c>
      <c r="L1409" t="e">
        <v>#N/A</v>
      </c>
      <c r="M1409" t="e">
        <v>#N/A</v>
      </c>
      <c r="N1409" t="e">
        <v>#N/A</v>
      </c>
      <c r="O1409" t="s">
        <v>97</v>
      </c>
    </row>
    <row r="1410" spans="1:15" x14ac:dyDescent="0.2">
      <c r="A1410">
        <v>120</v>
      </c>
      <c r="B1410">
        <v>121</v>
      </c>
      <c r="C1410">
        <v>120</v>
      </c>
      <c r="D1410">
        <v>119</v>
      </c>
      <c r="E1410" t="s">
        <v>5</v>
      </c>
      <c r="F1410" t="s">
        <v>18</v>
      </c>
      <c r="G1410">
        <v>54</v>
      </c>
      <c r="H1410" t="s">
        <v>203</v>
      </c>
      <c r="I1410">
        <v>0</v>
      </c>
      <c r="J1410">
        <v>0</v>
      </c>
      <c r="K1410" t="e">
        <v>#N/A</v>
      </c>
      <c r="L1410" t="e">
        <v>#N/A</v>
      </c>
      <c r="M1410" t="e">
        <v>#N/A</v>
      </c>
      <c r="N1410" t="e">
        <v>#N/A</v>
      </c>
      <c r="O1410" t="s">
        <v>97</v>
      </c>
    </row>
    <row r="1411" spans="1:15" x14ac:dyDescent="0.2">
      <c r="A1411">
        <v>125</v>
      </c>
      <c r="B1411">
        <v>126</v>
      </c>
      <c r="C1411">
        <v>125</v>
      </c>
      <c r="D1411">
        <v>124</v>
      </c>
      <c r="E1411" t="s">
        <v>5</v>
      </c>
      <c r="F1411" t="s">
        <v>19</v>
      </c>
      <c r="G1411">
        <v>54</v>
      </c>
      <c r="H1411" t="s">
        <v>203</v>
      </c>
      <c r="I1411">
        <v>0</v>
      </c>
      <c r="J1411">
        <v>0</v>
      </c>
      <c r="K1411" t="e">
        <v>#N/A</v>
      </c>
      <c r="L1411" t="e">
        <v>#N/A</v>
      </c>
      <c r="M1411" t="e">
        <v>#N/A</v>
      </c>
      <c r="N1411" t="e">
        <v>#N/A</v>
      </c>
      <c r="O1411" t="s">
        <v>97</v>
      </c>
    </row>
    <row r="1412" spans="1:15" x14ac:dyDescent="0.2">
      <c r="A1412">
        <v>130</v>
      </c>
      <c r="B1412">
        <v>131</v>
      </c>
      <c r="C1412">
        <v>130</v>
      </c>
      <c r="D1412">
        <v>129</v>
      </c>
      <c r="E1412" t="s">
        <v>5</v>
      </c>
      <c r="F1412" t="s">
        <v>20</v>
      </c>
      <c r="G1412">
        <v>54</v>
      </c>
      <c r="H1412" t="s">
        <v>203</v>
      </c>
      <c r="I1412">
        <v>0</v>
      </c>
      <c r="J1412">
        <v>0</v>
      </c>
      <c r="K1412" t="e">
        <v>#N/A</v>
      </c>
      <c r="L1412" t="e">
        <v>#N/A</v>
      </c>
      <c r="M1412" t="e">
        <v>#N/A</v>
      </c>
      <c r="N1412" t="e">
        <v>#N/A</v>
      </c>
      <c r="O1412" t="s">
        <v>97</v>
      </c>
    </row>
    <row r="1413" spans="1:15" x14ac:dyDescent="0.2">
      <c r="A1413">
        <v>135</v>
      </c>
      <c r="B1413">
        <v>136</v>
      </c>
      <c r="C1413">
        <v>135</v>
      </c>
      <c r="D1413">
        <v>134</v>
      </c>
      <c r="E1413" t="s">
        <v>5</v>
      </c>
      <c r="F1413" t="s">
        <v>21</v>
      </c>
      <c r="G1413">
        <v>54</v>
      </c>
      <c r="H1413" t="s">
        <v>203</v>
      </c>
      <c r="I1413">
        <v>0</v>
      </c>
      <c r="J1413">
        <v>0</v>
      </c>
      <c r="K1413" t="e">
        <v>#N/A</v>
      </c>
      <c r="L1413" t="e">
        <v>#N/A</v>
      </c>
      <c r="M1413" t="e">
        <v>#N/A</v>
      </c>
      <c r="N1413" t="e">
        <v>#N/A</v>
      </c>
      <c r="O1413" t="s">
        <v>97</v>
      </c>
    </row>
    <row r="1414" spans="1:15" x14ac:dyDescent="0.2">
      <c r="A1414">
        <v>140</v>
      </c>
      <c r="B1414">
        <v>141</v>
      </c>
      <c r="C1414">
        <v>140</v>
      </c>
      <c r="D1414">
        <v>139</v>
      </c>
      <c r="E1414" t="s">
        <v>5</v>
      </c>
      <c r="F1414" t="s">
        <v>22</v>
      </c>
      <c r="G1414">
        <v>54</v>
      </c>
      <c r="H1414" t="s">
        <v>203</v>
      </c>
      <c r="I1414">
        <v>0</v>
      </c>
      <c r="J1414">
        <v>0</v>
      </c>
      <c r="K1414" t="e">
        <v>#N/A</v>
      </c>
      <c r="L1414" t="e">
        <v>#N/A</v>
      </c>
      <c r="M1414" t="e">
        <v>#N/A</v>
      </c>
      <c r="N1414" t="e">
        <v>#N/A</v>
      </c>
      <c r="O1414" t="s">
        <v>97</v>
      </c>
    </row>
    <row r="1415" spans="1:15" x14ac:dyDescent="0.2">
      <c r="A1415">
        <v>145</v>
      </c>
      <c r="B1415">
        <v>146</v>
      </c>
      <c r="C1415">
        <v>145</v>
      </c>
      <c r="D1415">
        <v>144</v>
      </c>
      <c r="E1415" t="s">
        <v>5</v>
      </c>
      <c r="F1415" t="s">
        <v>23</v>
      </c>
      <c r="G1415">
        <v>54</v>
      </c>
      <c r="H1415" t="s">
        <v>203</v>
      </c>
      <c r="I1415">
        <v>0</v>
      </c>
      <c r="J1415">
        <v>0</v>
      </c>
      <c r="K1415" t="e">
        <v>#N/A</v>
      </c>
      <c r="L1415" t="e">
        <v>#N/A</v>
      </c>
      <c r="M1415" t="e">
        <v>#N/A</v>
      </c>
      <c r="N1415" t="e">
        <v>#N/A</v>
      </c>
      <c r="O1415" t="s">
        <v>97</v>
      </c>
    </row>
    <row r="1416" spans="1:15" x14ac:dyDescent="0.2">
      <c r="A1416">
        <v>155</v>
      </c>
      <c r="B1416">
        <v>156</v>
      </c>
      <c r="C1416">
        <v>155</v>
      </c>
      <c r="D1416">
        <v>154</v>
      </c>
      <c r="E1416" t="s">
        <v>5</v>
      </c>
      <c r="F1416" t="s">
        <v>25</v>
      </c>
      <c r="G1416">
        <v>54</v>
      </c>
      <c r="H1416" t="s">
        <v>203</v>
      </c>
      <c r="I1416">
        <v>0</v>
      </c>
      <c r="J1416" t="s">
        <v>242</v>
      </c>
      <c r="K1416" t="e">
        <v>#N/A</v>
      </c>
      <c r="L1416" t="e">
        <v>#N/A</v>
      </c>
      <c r="M1416" t="e">
        <v>#N/A</v>
      </c>
      <c r="N1416" t="e">
        <v>#N/A</v>
      </c>
      <c r="O1416" t="s">
        <v>97</v>
      </c>
    </row>
    <row r="1417" spans="1:15" x14ac:dyDescent="0.2">
      <c r="A1417">
        <v>165</v>
      </c>
      <c r="B1417">
        <v>166</v>
      </c>
      <c r="C1417">
        <v>165</v>
      </c>
      <c r="D1417">
        <v>164</v>
      </c>
      <c r="E1417" t="s">
        <v>5</v>
      </c>
      <c r="F1417" t="s">
        <v>27</v>
      </c>
      <c r="G1417">
        <v>54</v>
      </c>
      <c r="H1417" t="s">
        <v>203</v>
      </c>
      <c r="I1417">
        <v>0</v>
      </c>
      <c r="J1417">
        <v>0</v>
      </c>
      <c r="K1417" t="e">
        <v>#N/A</v>
      </c>
      <c r="L1417" t="e">
        <v>#N/A</v>
      </c>
      <c r="M1417" t="e">
        <v>#N/A</v>
      </c>
      <c r="N1417" t="e">
        <v>#N/A</v>
      </c>
      <c r="O1417" t="s">
        <v>97</v>
      </c>
    </row>
    <row r="1418" spans="1:15" x14ac:dyDescent="0.2">
      <c r="A1418">
        <v>170</v>
      </c>
      <c r="B1418">
        <v>171</v>
      </c>
      <c r="C1418">
        <v>170</v>
      </c>
      <c r="D1418">
        <v>169</v>
      </c>
      <c r="E1418" t="s">
        <v>5</v>
      </c>
      <c r="F1418" t="s">
        <v>28</v>
      </c>
      <c r="G1418">
        <v>54</v>
      </c>
      <c r="H1418" t="s">
        <v>203</v>
      </c>
      <c r="I1418">
        <v>0</v>
      </c>
      <c r="J1418">
        <v>0</v>
      </c>
      <c r="K1418" t="e">
        <v>#N/A</v>
      </c>
      <c r="L1418" t="e">
        <v>#N/A</v>
      </c>
      <c r="M1418" t="e">
        <v>#N/A</v>
      </c>
      <c r="N1418" t="e">
        <v>#N/A</v>
      </c>
      <c r="O1418" t="s">
        <v>97</v>
      </c>
    </row>
    <row r="1419" spans="1:15" x14ac:dyDescent="0.2">
      <c r="A1419">
        <v>175</v>
      </c>
      <c r="B1419">
        <v>176</v>
      </c>
      <c r="C1419">
        <v>175</v>
      </c>
      <c r="D1419">
        <v>174</v>
      </c>
      <c r="E1419" t="s">
        <v>5</v>
      </c>
      <c r="F1419" t="s">
        <v>29</v>
      </c>
      <c r="G1419">
        <v>54</v>
      </c>
      <c r="H1419" t="s">
        <v>203</v>
      </c>
      <c r="I1419">
        <v>0</v>
      </c>
      <c r="J1419">
        <v>0</v>
      </c>
      <c r="K1419" t="e">
        <v>#N/A</v>
      </c>
      <c r="L1419" t="e">
        <v>#N/A</v>
      </c>
      <c r="M1419" t="e">
        <v>#N/A</v>
      </c>
      <c r="N1419" t="e">
        <v>#N/A</v>
      </c>
      <c r="O1419" t="s">
        <v>97</v>
      </c>
    </row>
    <row r="1420" spans="1:15" x14ac:dyDescent="0.2">
      <c r="A1420">
        <v>24</v>
      </c>
      <c r="B1420">
        <v>25</v>
      </c>
      <c r="C1420">
        <v>24</v>
      </c>
      <c r="D1420">
        <v>23</v>
      </c>
      <c r="E1420" t="s">
        <v>30</v>
      </c>
      <c r="F1420" t="s">
        <v>33</v>
      </c>
      <c r="G1420">
        <v>54</v>
      </c>
      <c r="H1420" t="s">
        <v>203</v>
      </c>
      <c r="I1420">
        <v>0</v>
      </c>
      <c r="J1420" t="s">
        <v>243</v>
      </c>
      <c r="K1420" t="e">
        <v>#N/A</v>
      </c>
      <c r="L1420" t="e">
        <v>#N/A</v>
      </c>
      <c r="M1420" t="e">
        <v>#N/A</v>
      </c>
      <c r="N1420" t="e">
        <v>#N/A</v>
      </c>
      <c r="O1420" t="s">
        <v>97</v>
      </c>
    </row>
    <row r="1421" spans="1:15" x14ac:dyDescent="0.2">
      <c r="A1421">
        <v>29</v>
      </c>
      <c r="B1421">
        <v>30</v>
      </c>
      <c r="C1421">
        <v>29</v>
      </c>
      <c r="D1421">
        <v>28</v>
      </c>
      <c r="E1421" t="s">
        <v>30</v>
      </c>
      <c r="F1421" t="s">
        <v>211</v>
      </c>
      <c r="G1421">
        <v>54</v>
      </c>
      <c r="H1421" t="s">
        <v>203</v>
      </c>
      <c r="I1421">
        <v>0</v>
      </c>
      <c r="J1421" t="s">
        <v>244</v>
      </c>
      <c r="K1421" t="e">
        <v>#N/A</v>
      </c>
      <c r="L1421" t="e">
        <v>#N/A</v>
      </c>
      <c r="M1421" t="e">
        <v>#N/A</v>
      </c>
      <c r="N1421" t="e">
        <v>#N/A</v>
      </c>
      <c r="O1421" t="s">
        <v>97</v>
      </c>
    </row>
    <row r="1422" spans="1:15" x14ac:dyDescent="0.2">
      <c r="A1422">
        <v>34</v>
      </c>
      <c r="B1422">
        <v>35</v>
      </c>
      <c r="C1422">
        <v>34</v>
      </c>
      <c r="D1422">
        <v>33</v>
      </c>
      <c r="E1422" t="s">
        <v>30</v>
      </c>
      <c r="F1422" t="s">
        <v>35</v>
      </c>
      <c r="G1422">
        <v>54</v>
      </c>
      <c r="H1422" t="s">
        <v>203</v>
      </c>
      <c r="I1422">
        <v>0</v>
      </c>
      <c r="J1422" t="s">
        <v>245</v>
      </c>
      <c r="K1422" t="e">
        <v>#N/A</v>
      </c>
      <c r="L1422" t="e">
        <v>#N/A</v>
      </c>
      <c r="M1422" t="e">
        <v>#N/A</v>
      </c>
      <c r="N1422" t="e">
        <v>#N/A</v>
      </c>
      <c r="O1422" t="s">
        <v>97</v>
      </c>
    </row>
    <row r="1423" spans="1:15" x14ac:dyDescent="0.2">
      <c r="A1423">
        <v>39</v>
      </c>
      <c r="B1423">
        <v>40</v>
      </c>
      <c r="C1423">
        <v>39</v>
      </c>
      <c r="D1423">
        <v>38</v>
      </c>
      <c r="E1423" t="s">
        <v>30</v>
      </c>
      <c r="F1423" t="s">
        <v>36</v>
      </c>
      <c r="G1423">
        <v>54</v>
      </c>
      <c r="H1423" t="s">
        <v>203</v>
      </c>
      <c r="I1423">
        <v>0</v>
      </c>
      <c r="J1423" t="s">
        <v>246</v>
      </c>
      <c r="K1423" t="e">
        <v>#N/A</v>
      </c>
      <c r="L1423" t="e">
        <v>#N/A</v>
      </c>
      <c r="M1423" t="e">
        <v>#N/A</v>
      </c>
      <c r="N1423" t="e">
        <v>#N/A</v>
      </c>
      <c r="O1423" t="s">
        <v>97</v>
      </c>
    </row>
    <row r="1424" spans="1:15" x14ac:dyDescent="0.2">
      <c r="A1424">
        <v>223</v>
      </c>
      <c r="B1424">
        <v>224</v>
      </c>
      <c r="C1424">
        <v>223</v>
      </c>
      <c r="D1424">
        <v>222</v>
      </c>
      <c r="E1424" t="s">
        <v>30</v>
      </c>
      <c r="F1424" t="s">
        <v>37</v>
      </c>
      <c r="G1424">
        <v>54</v>
      </c>
      <c r="H1424" t="s">
        <v>203</v>
      </c>
      <c r="I1424">
        <v>0</v>
      </c>
      <c r="J1424">
        <v>0</v>
      </c>
      <c r="K1424" t="e">
        <v>#N/A</v>
      </c>
      <c r="L1424" t="e">
        <v>#N/A</v>
      </c>
      <c r="M1424" t="e">
        <v>#N/A</v>
      </c>
      <c r="N1424" t="e">
        <v>#N/A</v>
      </c>
      <c r="O1424" t="s">
        <v>97</v>
      </c>
    </row>
    <row r="1425" spans="1:15" x14ac:dyDescent="0.2">
      <c r="A1425">
        <v>54</v>
      </c>
      <c r="B1425">
        <v>55</v>
      </c>
      <c r="C1425">
        <v>54</v>
      </c>
      <c r="D1425">
        <v>53</v>
      </c>
      <c r="E1425" t="s">
        <v>30</v>
      </c>
      <c r="F1425" t="s">
        <v>39</v>
      </c>
      <c r="G1425">
        <v>54</v>
      </c>
      <c r="H1425" t="s">
        <v>203</v>
      </c>
      <c r="I1425">
        <v>0</v>
      </c>
      <c r="J1425" t="s">
        <v>247</v>
      </c>
      <c r="K1425" t="e">
        <v>#N/A</v>
      </c>
      <c r="L1425" t="e">
        <v>#N/A</v>
      </c>
      <c r="M1425" t="e">
        <v>#N/A</v>
      </c>
      <c r="N1425" t="e">
        <v>#N/A</v>
      </c>
      <c r="O1425" t="s">
        <v>97</v>
      </c>
    </row>
    <row r="1426" spans="1:15" x14ac:dyDescent="0.2">
      <c r="A1426">
        <v>181</v>
      </c>
      <c r="B1426">
        <v>181</v>
      </c>
      <c r="C1426">
        <v>180</v>
      </c>
      <c r="D1426">
        <v>179</v>
      </c>
      <c r="E1426" t="s">
        <v>40</v>
      </c>
      <c r="F1426" t="s">
        <v>41</v>
      </c>
      <c r="G1426">
        <v>54</v>
      </c>
      <c r="H1426" t="s">
        <v>203</v>
      </c>
      <c r="I1426" t="s">
        <v>248</v>
      </c>
      <c r="J1426">
        <v>0</v>
      </c>
      <c r="K1426" t="e">
        <v>#N/A</v>
      </c>
      <c r="L1426" t="e">
        <v>#N/A</v>
      </c>
      <c r="M1426" t="e">
        <v>#N/A</v>
      </c>
      <c r="N1426" t="e">
        <v>#N/A</v>
      </c>
      <c r="O1426" t="s">
        <v>97</v>
      </c>
    </row>
    <row r="1427" spans="1:15" x14ac:dyDescent="0.2">
      <c r="A1427">
        <v>186</v>
      </c>
      <c r="B1427">
        <v>187</v>
      </c>
      <c r="C1427">
        <v>186</v>
      </c>
      <c r="D1427">
        <v>185</v>
      </c>
      <c r="E1427" t="s">
        <v>40</v>
      </c>
      <c r="F1427" t="s">
        <v>42</v>
      </c>
      <c r="G1427">
        <v>54</v>
      </c>
      <c r="H1427" t="s">
        <v>203</v>
      </c>
      <c r="I1427">
        <v>0</v>
      </c>
      <c r="J1427" t="s">
        <v>249</v>
      </c>
      <c r="K1427" t="e">
        <v>#N/A</v>
      </c>
      <c r="L1427" t="e">
        <v>#N/A</v>
      </c>
      <c r="M1427" t="e">
        <v>#N/A</v>
      </c>
      <c r="N1427" t="e">
        <v>#N/A</v>
      </c>
      <c r="O1427" t="s">
        <v>97</v>
      </c>
    </row>
    <row r="1428" spans="1:15" x14ac:dyDescent="0.2">
      <c r="A1428">
        <v>206</v>
      </c>
      <c r="B1428">
        <v>207</v>
      </c>
      <c r="C1428">
        <v>206</v>
      </c>
      <c r="D1428">
        <v>205</v>
      </c>
      <c r="E1428" t="s">
        <v>40</v>
      </c>
      <c r="F1428" t="s">
        <v>43</v>
      </c>
      <c r="G1428">
        <v>54</v>
      </c>
      <c r="H1428" t="s">
        <v>203</v>
      </c>
      <c r="I1428">
        <v>0</v>
      </c>
      <c r="J1428" t="s">
        <v>250</v>
      </c>
      <c r="K1428" t="e">
        <v>#N/A</v>
      </c>
      <c r="L1428" t="e">
        <v>#N/A</v>
      </c>
      <c r="M1428" t="e">
        <v>#N/A</v>
      </c>
      <c r="N1428" t="e">
        <v>#N/A</v>
      </c>
      <c r="O1428" t="s">
        <v>97</v>
      </c>
    </row>
    <row r="1429" spans="1:15" x14ac:dyDescent="0.2">
      <c r="A1429">
        <v>217</v>
      </c>
      <c r="B1429">
        <v>218</v>
      </c>
      <c r="C1429">
        <v>217</v>
      </c>
      <c r="D1429">
        <v>216</v>
      </c>
      <c r="E1429" t="s">
        <v>44</v>
      </c>
      <c r="F1429" t="s">
        <v>45</v>
      </c>
      <c r="G1429">
        <v>54</v>
      </c>
      <c r="H1429" t="s">
        <v>203</v>
      </c>
      <c r="I1429">
        <v>0</v>
      </c>
      <c r="J1429">
        <v>0</v>
      </c>
      <c r="K1429" t="e">
        <v>#N/A</v>
      </c>
      <c r="L1429" t="e">
        <v>#N/A</v>
      </c>
      <c r="M1429" t="e">
        <v>#N/A</v>
      </c>
      <c r="N1429" t="e">
        <v>#N/A</v>
      </c>
      <c r="O1429" t="s">
        <v>97</v>
      </c>
    </row>
    <row r="1430" spans="1:15" x14ac:dyDescent="0.2">
      <c r="A1430">
        <v>75</v>
      </c>
      <c r="B1430">
        <v>76</v>
      </c>
      <c r="C1430">
        <v>75</v>
      </c>
      <c r="D1430">
        <v>74</v>
      </c>
      <c r="E1430" t="s">
        <v>5</v>
      </c>
      <c r="F1430" t="s">
        <v>6</v>
      </c>
      <c r="G1430">
        <v>99</v>
      </c>
      <c r="H1430" t="s">
        <v>152</v>
      </c>
      <c r="I1430">
        <v>0</v>
      </c>
      <c r="J1430">
        <v>0</v>
      </c>
      <c r="K1430" t="s">
        <v>153</v>
      </c>
      <c r="L1430" t="s">
        <v>154</v>
      </c>
      <c r="M1430" t="s">
        <v>155</v>
      </c>
      <c r="N1430" t="s">
        <v>107</v>
      </c>
      <c r="O1430" t="s">
        <v>97</v>
      </c>
    </row>
    <row r="1431" spans="1:15" x14ac:dyDescent="0.2">
      <c r="A1431">
        <v>80</v>
      </c>
      <c r="B1431">
        <v>81</v>
      </c>
      <c r="C1431">
        <v>80</v>
      </c>
      <c r="D1431">
        <v>79</v>
      </c>
      <c r="E1431" t="s">
        <v>5</v>
      </c>
      <c r="F1431" t="s">
        <v>9</v>
      </c>
      <c r="G1431">
        <v>99</v>
      </c>
      <c r="H1431" t="s">
        <v>152</v>
      </c>
      <c r="I1431">
        <v>0</v>
      </c>
      <c r="J1431">
        <v>0</v>
      </c>
      <c r="K1431" t="s">
        <v>153</v>
      </c>
      <c r="L1431" t="s">
        <v>154</v>
      </c>
      <c r="M1431" t="s">
        <v>155</v>
      </c>
      <c r="N1431" t="s">
        <v>107</v>
      </c>
      <c r="O1431" t="s">
        <v>97</v>
      </c>
    </row>
    <row r="1432" spans="1:15" x14ac:dyDescent="0.2">
      <c r="A1432">
        <v>90</v>
      </c>
      <c r="B1432">
        <v>91</v>
      </c>
      <c r="C1432">
        <v>90</v>
      </c>
      <c r="D1432">
        <v>89</v>
      </c>
      <c r="E1432" t="s">
        <v>5</v>
      </c>
      <c r="F1432" t="s">
        <v>11</v>
      </c>
      <c r="G1432">
        <v>99</v>
      </c>
      <c r="H1432" t="s">
        <v>152</v>
      </c>
      <c r="I1432">
        <v>0</v>
      </c>
      <c r="J1432">
        <v>0</v>
      </c>
      <c r="K1432" t="s">
        <v>153</v>
      </c>
      <c r="L1432" t="s">
        <v>154</v>
      </c>
      <c r="M1432" t="s">
        <v>155</v>
      </c>
      <c r="N1432" t="s">
        <v>107</v>
      </c>
      <c r="O1432" t="s">
        <v>97</v>
      </c>
    </row>
    <row r="1433" spans="1:15" x14ac:dyDescent="0.2">
      <c r="A1433">
        <v>95</v>
      </c>
      <c r="B1433">
        <v>96</v>
      </c>
      <c r="C1433">
        <v>95</v>
      </c>
      <c r="D1433">
        <v>94</v>
      </c>
      <c r="E1433" t="s">
        <v>5</v>
      </c>
      <c r="F1433" t="s">
        <v>12</v>
      </c>
      <c r="G1433">
        <v>99</v>
      </c>
      <c r="H1433" t="s">
        <v>152</v>
      </c>
      <c r="I1433">
        <v>0</v>
      </c>
      <c r="J1433">
        <v>0</v>
      </c>
      <c r="K1433" t="s">
        <v>153</v>
      </c>
      <c r="L1433" t="s">
        <v>154</v>
      </c>
      <c r="M1433" t="s">
        <v>155</v>
      </c>
      <c r="N1433" t="s">
        <v>107</v>
      </c>
      <c r="O1433" t="s">
        <v>97</v>
      </c>
    </row>
    <row r="1434" spans="1:15" x14ac:dyDescent="0.2">
      <c r="A1434">
        <v>100</v>
      </c>
      <c r="B1434">
        <v>101</v>
      </c>
      <c r="C1434">
        <v>100</v>
      </c>
      <c r="D1434">
        <v>99</v>
      </c>
      <c r="E1434" t="s">
        <v>5</v>
      </c>
      <c r="F1434" t="s">
        <v>14</v>
      </c>
      <c r="G1434">
        <v>99</v>
      </c>
      <c r="H1434" t="s">
        <v>152</v>
      </c>
      <c r="I1434">
        <v>0</v>
      </c>
      <c r="J1434">
        <v>0</v>
      </c>
      <c r="K1434" t="s">
        <v>153</v>
      </c>
      <c r="L1434" t="s">
        <v>154</v>
      </c>
      <c r="M1434" t="s">
        <v>155</v>
      </c>
      <c r="N1434" t="s">
        <v>107</v>
      </c>
      <c r="O1434" t="s">
        <v>97</v>
      </c>
    </row>
    <row r="1435" spans="1:15" x14ac:dyDescent="0.2">
      <c r="A1435">
        <v>105</v>
      </c>
      <c r="B1435">
        <v>106</v>
      </c>
      <c r="C1435">
        <v>105</v>
      </c>
      <c r="D1435">
        <v>104</v>
      </c>
      <c r="E1435" t="s">
        <v>5</v>
      </c>
      <c r="F1435" t="s">
        <v>15</v>
      </c>
      <c r="G1435">
        <v>99</v>
      </c>
      <c r="H1435" t="s">
        <v>152</v>
      </c>
      <c r="I1435">
        <v>0</v>
      </c>
      <c r="J1435">
        <v>0</v>
      </c>
      <c r="K1435" t="s">
        <v>153</v>
      </c>
      <c r="L1435" t="s">
        <v>154</v>
      </c>
      <c r="M1435" t="s">
        <v>155</v>
      </c>
      <c r="N1435" t="s">
        <v>107</v>
      </c>
      <c r="O1435" t="s">
        <v>97</v>
      </c>
    </row>
    <row r="1436" spans="1:15" x14ac:dyDescent="0.2">
      <c r="A1436">
        <v>110</v>
      </c>
      <c r="B1436">
        <v>111</v>
      </c>
      <c r="C1436">
        <v>110</v>
      </c>
      <c r="D1436">
        <v>109</v>
      </c>
      <c r="E1436" t="s">
        <v>5</v>
      </c>
      <c r="F1436" t="s">
        <v>16</v>
      </c>
      <c r="G1436">
        <v>99</v>
      </c>
      <c r="H1436" t="s">
        <v>152</v>
      </c>
      <c r="I1436">
        <v>0</v>
      </c>
      <c r="J1436">
        <v>0</v>
      </c>
      <c r="K1436" t="s">
        <v>153</v>
      </c>
      <c r="L1436" t="s">
        <v>154</v>
      </c>
      <c r="M1436" t="s">
        <v>155</v>
      </c>
      <c r="N1436" t="s">
        <v>107</v>
      </c>
      <c r="O1436" t="s">
        <v>97</v>
      </c>
    </row>
    <row r="1437" spans="1:15" x14ac:dyDescent="0.2">
      <c r="A1437">
        <v>115</v>
      </c>
      <c r="B1437">
        <v>116</v>
      </c>
      <c r="C1437">
        <v>115</v>
      </c>
      <c r="D1437">
        <v>114</v>
      </c>
      <c r="E1437" t="s">
        <v>5</v>
      </c>
      <c r="F1437" t="s">
        <v>17</v>
      </c>
      <c r="G1437">
        <v>99</v>
      </c>
      <c r="H1437" t="s">
        <v>152</v>
      </c>
      <c r="I1437">
        <v>0</v>
      </c>
      <c r="J1437">
        <v>0</v>
      </c>
      <c r="K1437" t="s">
        <v>153</v>
      </c>
      <c r="L1437" t="s">
        <v>154</v>
      </c>
      <c r="M1437" t="s">
        <v>155</v>
      </c>
      <c r="N1437" t="s">
        <v>107</v>
      </c>
      <c r="O1437" t="s">
        <v>97</v>
      </c>
    </row>
    <row r="1438" spans="1:15" x14ac:dyDescent="0.2">
      <c r="A1438">
        <v>120</v>
      </c>
      <c r="B1438">
        <v>121</v>
      </c>
      <c r="C1438">
        <v>120</v>
      </c>
      <c r="D1438">
        <v>119</v>
      </c>
      <c r="E1438" t="s">
        <v>5</v>
      </c>
      <c r="F1438" t="s">
        <v>18</v>
      </c>
      <c r="G1438">
        <v>99</v>
      </c>
      <c r="H1438" t="s">
        <v>152</v>
      </c>
      <c r="I1438">
        <v>0</v>
      </c>
      <c r="J1438">
        <v>0</v>
      </c>
      <c r="K1438" t="s">
        <v>153</v>
      </c>
      <c r="L1438" t="s">
        <v>154</v>
      </c>
      <c r="M1438" t="s">
        <v>155</v>
      </c>
      <c r="N1438" t="s">
        <v>107</v>
      </c>
      <c r="O1438" t="s">
        <v>97</v>
      </c>
    </row>
    <row r="1439" spans="1:15" x14ac:dyDescent="0.2">
      <c r="A1439">
        <v>125</v>
      </c>
      <c r="B1439">
        <v>126</v>
      </c>
      <c r="C1439">
        <v>125</v>
      </c>
      <c r="D1439">
        <v>124</v>
      </c>
      <c r="E1439" t="s">
        <v>5</v>
      </c>
      <c r="F1439" t="s">
        <v>19</v>
      </c>
      <c r="G1439">
        <v>99</v>
      </c>
      <c r="H1439" t="s">
        <v>152</v>
      </c>
      <c r="I1439">
        <v>0</v>
      </c>
      <c r="J1439">
        <v>0</v>
      </c>
      <c r="K1439" t="s">
        <v>153</v>
      </c>
      <c r="L1439" t="s">
        <v>154</v>
      </c>
      <c r="M1439" t="s">
        <v>155</v>
      </c>
      <c r="N1439" t="s">
        <v>107</v>
      </c>
      <c r="O1439" t="s">
        <v>97</v>
      </c>
    </row>
    <row r="1440" spans="1:15" x14ac:dyDescent="0.2">
      <c r="A1440">
        <v>130</v>
      </c>
      <c r="B1440">
        <v>131</v>
      </c>
      <c r="C1440">
        <v>130</v>
      </c>
      <c r="D1440">
        <v>129</v>
      </c>
      <c r="E1440" t="s">
        <v>5</v>
      </c>
      <c r="F1440" t="s">
        <v>20</v>
      </c>
      <c r="G1440">
        <v>99</v>
      </c>
      <c r="H1440" t="s">
        <v>152</v>
      </c>
      <c r="I1440">
        <v>0</v>
      </c>
      <c r="J1440">
        <v>0</v>
      </c>
      <c r="K1440" t="s">
        <v>153</v>
      </c>
      <c r="L1440" t="s">
        <v>154</v>
      </c>
      <c r="M1440" t="s">
        <v>155</v>
      </c>
      <c r="N1440" t="s">
        <v>107</v>
      </c>
      <c r="O1440" t="s">
        <v>97</v>
      </c>
    </row>
    <row r="1441" spans="1:15" x14ac:dyDescent="0.2">
      <c r="A1441">
        <v>135</v>
      </c>
      <c r="B1441">
        <v>136</v>
      </c>
      <c r="C1441">
        <v>135</v>
      </c>
      <c r="D1441">
        <v>134</v>
      </c>
      <c r="E1441" t="s">
        <v>5</v>
      </c>
      <c r="F1441" t="s">
        <v>21</v>
      </c>
      <c r="G1441">
        <v>99</v>
      </c>
      <c r="H1441" t="s">
        <v>152</v>
      </c>
      <c r="I1441">
        <v>0</v>
      </c>
      <c r="J1441">
        <v>0</v>
      </c>
      <c r="K1441" t="s">
        <v>153</v>
      </c>
      <c r="L1441" t="s">
        <v>154</v>
      </c>
      <c r="M1441" t="s">
        <v>155</v>
      </c>
      <c r="N1441" t="s">
        <v>107</v>
      </c>
      <c r="O1441" t="s">
        <v>97</v>
      </c>
    </row>
    <row r="1442" spans="1:15" x14ac:dyDescent="0.2">
      <c r="A1442">
        <v>140</v>
      </c>
      <c r="B1442">
        <v>141</v>
      </c>
      <c r="C1442">
        <v>140</v>
      </c>
      <c r="D1442">
        <v>139</v>
      </c>
      <c r="E1442" t="s">
        <v>5</v>
      </c>
      <c r="F1442" t="s">
        <v>22</v>
      </c>
      <c r="G1442">
        <v>99</v>
      </c>
      <c r="H1442" t="s">
        <v>152</v>
      </c>
      <c r="I1442">
        <v>0</v>
      </c>
      <c r="J1442">
        <v>0</v>
      </c>
      <c r="K1442" t="s">
        <v>153</v>
      </c>
      <c r="L1442" t="s">
        <v>154</v>
      </c>
      <c r="M1442" t="s">
        <v>155</v>
      </c>
      <c r="N1442" t="s">
        <v>107</v>
      </c>
      <c r="O1442" t="s">
        <v>97</v>
      </c>
    </row>
    <row r="1443" spans="1:15" x14ac:dyDescent="0.2">
      <c r="A1443">
        <v>145</v>
      </c>
      <c r="B1443">
        <v>146</v>
      </c>
      <c r="C1443">
        <v>145</v>
      </c>
      <c r="D1443">
        <v>144</v>
      </c>
      <c r="E1443" t="s">
        <v>5</v>
      </c>
      <c r="F1443" t="s">
        <v>23</v>
      </c>
      <c r="G1443">
        <v>99</v>
      </c>
      <c r="H1443" t="s">
        <v>152</v>
      </c>
      <c r="I1443">
        <v>0</v>
      </c>
      <c r="J1443">
        <v>0</v>
      </c>
      <c r="K1443" t="s">
        <v>153</v>
      </c>
      <c r="L1443" t="s">
        <v>154</v>
      </c>
      <c r="M1443" t="s">
        <v>155</v>
      </c>
      <c r="N1443" t="s">
        <v>107</v>
      </c>
      <c r="O1443" t="s">
        <v>97</v>
      </c>
    </row>
    <row r="1444" spans="1:15" x14ac:dyDescent="0.2">
      <c r="A1444">
        <v>155</v>
      </c>
      <c r="B1444">
        <v>156</v>
      </c>
      <c r="C1444">
        <v>155</v>
      </c>
      <c r="D1444">
        <v>154</v>
      </c>
      <c r="E1444" t="s">
        <v>5</v>
      </c>
      <c r="F1444" t="s">
        <v>25</v>
      </c>
      <c r="G1444">
        <v>99</v>
      </c>
      <c r="H1444" t="s">
        <v>152</v>
      </c>
      <c r="I1444">
        <v>0</v>
      </c>
      <c r="J1444">
        <v>0</v>
      </c>
      <c r="K1444" t="s">
        <v>153</v>
      </c>
      <c r="L1444" t="s">
        <v>154</v>
      </c>
      <c r="M1444" t="s">
        <v>155</v>
      </c>
      <c r="N1444" t="s">
        <v>107</v>
      </c>
      <c r="O1444" t="s">
        <v>97</v>
      </c>
    </row>
    <row r="1445" spans="1:15" x14ac:dyDescent="0.2">
      <c r="A1445">
        <v>165</v>
      </c>
      <c r="B1445">
        <v>166</v>
      </c>
      <c r="C1445">
        <v>165</v>
      </c>
      <c r="D1445">
        <v>164</v>
      </c>
      <c r="E1445" t="s">
        <v>5</v>
      </c>
      <c r="F1445" t="s">
        <v>27</v>
      </c>
      <c r="G1445">
        <v>99</v>
      </c>
      <c r="H1445" t="s">
        <v>152</v>
      </c>
      <c r="I1445">
        <v>0</v>
      </c>
      <c r="J1445">
        <v>0</v>
      </c>
      <c r="K1445" t="s">
        <v>153</v>
      </c>
      <c r="L1445" t="s">
        <v>154</v>
      </c>
      <c r="M1445" t="s">
        <v>155</v>
      </c>
      <c r="N1445" t="s">
        <v>107</v>
      </c>
      <c r="O1445" t="s">
        <v>97</v>
      </c>
    </row>
    <row r="1446" spans="1:15" x14ac:dyDescent="0.2">
      <c r="A1446">
        <v>170</v>
      </c>
      <c r="B1446">
        <v>171</v>
      </c>
      <c r="C1446">
        <v>170</v>
      </c>
      <c r="D1446">
        <v>169</v>
      </c>
      <c r="E1446" t="s">
        <v>5</v>
      </c>
      <c r="F1446" t="s">
        <v>28</v>
      </c>
      <c r="G1446">
        <v>99</v>
      </c>
      <c r="H1446" t="s">
        <v>152</v>
      </c>
      <c r="I1446">
        <v>0</v>
      </c>
      <c r="J1446">
        <v>0</v>
      </c>
      <c r="K1446" t="s">
        <v>153</v>
      </c>
      <c r="L1446" t="s">
        <v>154</v>
      </c>
      <c r="M1446" t="s">
        <v>155</v>
      </c>
      <c r="N1446" t="s">
        <v>107</v>
      </c>
      <c r="O1446" t="s">
        <v>97</v>
      </c>
    </row>
    <row r="1447" spans="1:15" x14ac:dyDescent="0.2">
      <c r="A1447">
        <v>175</v>
      </c>
      <c r="B1447">
        <v>176</v>
      </c>
      <c r="C1447">
        <v>175</v>
      </c>
      <c r="D1447">
        <v>174</v>
      </c>
      <c r="E1447" t="s">
        <v>5</v>
      </c>
      <c r="F1447" t="s">
        <v>29</v>
      </c>
      <c r="G1447">
        <v>99</v>
      </c>
      <c r="H1447" t="s">
        <v>152</v>
      </c>
      <c r="I1447">
        <v>1</v>
      </c>
      <c r="J1447">
        <v>1</v>
      </c>
      <c r="K1447" t="s">
        <v>153</v>
      </c>
      <c r="L1447" t="s">
        <v>154</v>
      </c>
      <c r="M1447" t="s">
        <v>155</v>
      </c>
      <c r="N1447" t="s">
        <v>107</v>
      </c>
      <c r="O1447" t="s">
        <v>97</v>
      </c>
    </row>
    <row r="1448" spans="1:15" x14ac:dyDescent="0.2">
      <c r="A1448">
        <v>24</v>
      </c>
      <c r="B1448">
        <v>25</v>
      </c>
      <c r="C1448">
        <v>24</v>
      </c>
      <c r="D1448">
        <v>23</v>
      </c>
      <c r="E1448" t="s">
        <v>30</v>
      </c>
      <c r="F1448" t="s">
        <v>33</v>
      </c>
      <c r="G1448">
        <v>99</v>
      </c>
      <c r="H1448" t="s">
        <v>152</v>
      </c>
      <c r="I1448">
        <v>0</v>
      </c>
      <c r="J1448">
        <v>0</v>
      </c>
      <c r="K1448" t="s">
        <v>153</v>
      </c>
      <c r="L1448" t="s">
        <v>154</v>
      </c>
      <c r="M1448" t="s">
        <v>155</v>
      </c>
      <c r="N1448" t="s">
        <v>107</v>
      </c>
      <c r="O1448" t="s">
        <v>97</v>
      </c>
    </row>
    <row r="1449" spans="1:15" x14ac:dyDescent="0.2">
      <c r="A1449">
        <v>29</v>
      </c>
      <c r="B1449">
        <v>30</v>
      </c>
      <c r="C1449">
        <v>29</v>
      </c>
      <c r="D1449">
        <v>28</v>
      </c>
      <c r="E1449" t="s">
        <v>30</v>
      </c>
      <c r="F1449" t="s">
        <v>211</v>
      </c>
      <c r="G1449">
        <v>99</v>
      </c>
      <c r="H1449" t="s">
        <v>152</v>
      </c>
      <c r="I1449">
        <v>0</v>
      </c>
      <c r="J1449">
        <v>0</v>
      </c>
      <c r="K1449" t="s">
        <v>153</v>
      </c>
      <c r="L1449" t="s">
        <v>154</v>
      </c>
      <c r="M1449" t="s">
        <v>155</v>
      </c>
      <c r="N1449" t="s">
        <v>107</v>
      </c>
      <c r="O1449" t="s">
        <v>97</v>
      </c>
    </row>
    <row r="1450" spans="1:15" x14ac:dyDescent="0.2">
      <c r="A1450">
        <v>34</v>
      </c>
      <c r="B1450">
        <v>35</v>
      </c>
      <c r="C1450">
        <v>34</v>
      </c>
      <c r="D1450">
        <v>33</v>
      </c>
      <c r="E1450" t="s">
        <v>30</v>
      </c>
      <c r="F1450" t="s">
        <v>35</v>
      </c>
      <c r="G1450">
        <v>99</v>
      </c>
      <c r="H1450" t="s">
        <v>152</v>
      </c>
      <c r="I1450">
        <v>0</v>
      </c>
      <c r="J1450">
        <v>0</v>
      </c>
      <c r="K1450" t="s">
        <v>153</v>
      </c>
      <c r="L1450" t="s">
        <v>154</v>
      </c>
      <c r="M1450" t="s">
        <v>155</v>
      </c>
      <c r="N1450" t="s">
        <v>107</v>
      </c>
      <c r="O1450" t="s">
        <v>97</v>
      </c>
    </row>
    <row r="1451" spans="1:15" x14ac:dyDescent="0.2">
      <c r="A1451">
        <v>39</v>
      </c>
      <c r="B1451">
        <v>40</v>
      </c>
      <c r="C1451">
        <v>39</v>
      </c>
      <c r="D1451">
        <v>38</v>
      </c>
      <c r="E1451" t="s">
        <v>30</v>
      </c>
      <c r="F1451" t="s">
        <v>36</v>
      </c>
      <c r="G1451">
        <v>99</v>
      </c>
      <c r="H1451" t="s">
        <v>152</v>
      </c>
      <c r="I1451">
        <v>0</v>
      </c>
      <c r="J1451">
        <v>0</v>
      </c>
      <c r="K1451" t="s">
        <v>153</v>
      </c>
      <c r="L1451" t="s">
        <v>154</v>
      </c>
      <c r="M1451" t="s">
        <v>155</v>
      </c>
      <c r="N1451" t="s">
        <v>107</v>
      </c>
      <c r="O1451" t="s">
        <v>97</v>
      </c>
    </row>
    <row r="1452" spans="1:15" x14ac:dyDescent="0.2">
      <c r="A1452">
        <v>223</v>
      </c>
      <c r="B1452">
        <v>224</v>
      </c>
      <c r="C1452">
        <v>223</v>
      </c>
      <c r="D1452">
        <v>222</v>
      </c>
      <c r="E1452" t="s">
        <v>30</v>
      </c>
      <c r="F1452" t="s">
        <v>37</v>
      </c>
      <c r="G1452">
        <v>99</v>
      </c>
      <c r="H1452" t="s">
        <v>152</v>
      </c>
      <c r="I1452">
        <v>0</v>
      </c>
      <c r="J1452">
        <v>0</v>
      </c>
      <c r="K1452" t="s">
        <v>153</v>
      </c>
      <c r="L1452" t="s">
        <v>154</v>
      </c>
      <c r="M1452" t="s">
        <v>155</v>
      </c>
      <c r="N1452" t="s">
        <v>107</v>
      </c>
      <c r="O1452" t="s">
        <v>97</v>
      </c>
    </row>
    <row r="1453" spans="1:15" x14ac:dyDescent="0.2">
      <c r="A1453">
        <v>54</v>
      </c>
      <c r="B1453">
        <v>55</v>
      </c>
      <c r="C1453">
        <v>54</v>
      </c>
      <c r="D1453">
        <v>53</v>
      </c>
      <c r="E1453" t="s">
        <v>30</v>
      </c>
      <c r="F1453" t="s">
        <v>39</v>
      </c>
      <c r="G1453">
        <v>99</v>
      </c>
      <c r="H1453" t="s">
        <v>152</v>
      </c>
      <c r="I1453">
        <v>0</v>
      </c>
      <c r="J1453">
        <v>0</v>
      </c>
      <c r="K1453" t="s">
        <v>153</v>
      </c>
      <c r="L1453" t="s">
        <v>154</v>
      </c>
      <c r="M1453" t="s">
        <v>155</v>
      </c>
      <c r="N1453" t="s">
        <v>107</v>
      </c>
      <c r="O1453" t="s">
        <v>97</v>
      </c>
    </row>
    <row r="1454" spans="1:15" x14ac:dyDescent="0.2">
      <c r="A1454">
        <v>181</v>
      </c>
      <c r="B1454">
        <v>182</v>
      </c>
      <c r="C1454">
        <v>181</v>
      </c>
      <c r="D1454">
        <v>180</v>
      </c>
      <c r="E1454" t="s">
        <v>40</v>
      </c>
      <c r="F1454" t="s">
        <v>41</v>
      </c>
      <c r="G1454">
        <v>99</v>
      </c>
      <c r="H1454" t="s">
        <v>152</v>
      </c>
      <c r="I1454">
        <v>0</v>
      </c>
      <c r="J1454">
        <v>0</v>
      </c>
      <c r="K1454" t="s">
        <v>153</v>
      </c>
      <c r="L1454" t="s">
        <v>154</v>
      </c>
      <c r="M1454" t="s">
        <v>155</v>
      </c>
      <c r="N1454" t="s">
        <v>107</v>
      </c>
      <c r="O1454" t="s">
        <v>97</v>
      </c>
    </row>
    <row r="1455" spans="1:15" x14ac:dyDescent="0.2">
      <c r="A1455">
        <v>186</v>
      </c>
      <c r="B1455">
        <v>187</v>
      </c>
      <c r="C1455">
        <v>186</v>
      </c>
      <c r="D1455">
        <v>185</v>
      </c>
      <c r="E1455" t="s">
        <v>40</v>
      </c>
      <c r="F1455" t="s">
        <v>42</v>
      </c>
      <c r="G1455">
        <v>99</v>
      </c>
      <c r="H1455" t="s">
        <v>152</v>
      </c>
      <c r="I1455">
        <v>0</v>
      </c>
      <c r="J1455">
        <v>0</v>
      </c>
      <c r="K1455" t="s">
        <v>153</v>
      </c>
      <c r="L1455" t="s">
        <v>154</v>
      </c>
      <c r="M1455" t="s">
        <v>155</v>
      </c>
      <c r="N1455" t="s">
        <v>107</v>
      </c>
      <c r="O1455" t="s">
        <v>97</v>
      </c>
    </row>
    <row r="1456" spans="1:15" x14ac:dyDescent="0.2">
      <c r="A1456">
        <v>206</v>
      </c>
      <c r="B1456">
        <v>207</v>
      </c>
      <c r="C1456">
        <v>206</v>
      </c>
      <c r="D1456">
        <v>205</v>
      </c>
      <c r="E1456" t="s">
        <v>40</v>
      </c>
      <c r="F1456" t="s">
        <v>43</v>
      </c>
      <c r="G1456">
        <v>99</v>
      </c>
      <c r="H1456" t="s">
        <v>152</v>
      </c>
      <c r="I1456">
        <v>0</v>
      </c>
      <c r="J1456">
        <v>0</v>
      </c>
      <c r="K1456" t="s">
        <v>153</v>
      </c>
      <c r="L1456" t="s">
        <v>154</v>
      </c>
      <c r="M1456" t="s">
        <v>155</v>
      </c>
      <c r="N1456" t="s">
        <v>107</v>
      </c>
      <c r="O1456" t="s">
        <v>97</v>
      </c>
    </row>
    <row r="1457" spans="1:15" x14ac:dyDescent="0.2">
      <c r="A1457">
        <v>217</v>
      </c>
      <c r="B1457">
        <v>218</v>
      </c>
      <c r="C1457">
        <v>217</v>
      </c>
      <c r="D1457">
        <v>216</v>
      </c>
      <c r="E1457" t="s">
        <v>44</v>
      </c>
      <c r="F1457" t="s">
        <v>45</v>
      </c>
      <c r="G1457">
        <v>99</v>
      </c>
      <c r="H1457" t="s">
        <v>152</v>
      </c>
      <c r="I1457">
        <v>0</v>
      </c>
      <c r="J1457">
        <v>0</v>
      </c>
      <c r="K1457" t="s">
        <v>153</v>
      </c>
      <c r="L1457" t="s">
        <v>154</v>
      </c>
      <c r="M1457" t="s">
        <v>155</v>
      </c>
      <c r="N1457" t="s">
        <v>107</v>
      </c>
      <c r="O1457" t="s">
        <v>97</v>
      </c>
    </row>
    <row r="1458" spans="1:15" x14ac:dyDescent="0.2">
      <c r="A1458">
        <v>75</v>
      </c>
      <c r="B1458">
        <v>76</v>
      </c>
      <c r="C1458">
        <v>75</v>
      </c>
      <c r="D1458">
        <v>74</v>
      </c>
      <c r="E1458" t="s">
        <v>5</v>
      </c>
      <c r="F1458" t="s">
        <v>6</v>
      </c>
      <c r="G1458">
        <v>98</v>
      </c>
      <c r="H1458" t="s">
        <v>204</v>
      </c>
      <c r="I1458">
        <v>0</v>
      </c>
      <c r="J1458">
        <v>1</v>
      </c>
      <c r="K1458" t="s">
        <v>122</v>
      </c>
      <c r="L1458" t="s">
        <v>205</v>
      </c>
      <c r="M1458" t="s">
        <v>206</v>
      </c>
      <c r="N1458" t="s">
        <v>207</v>
      </c>
      <c r="O1458" t="s">
        <v>97</v>
      </c>
    </row>
    <row r="1459" spans="1:15" x14ac:dyDescent="0.2">
      <c r="A1459">
        <v>80</v>
      </c>
      <c r="B1459">
        <v>81</v>
      </c>
      <c r="C1459">
        <v>80</v>
      </c>
      <c r="D1459">
        <v>79</v>
      </c>
      <c r="E1459" t="s">
        <v>5</v>
      </c>
      <c r="F1459" t="s">
        <v>9</v>
      </c>
      <c r="G1459">
        <v>98</v>
      </c>
      <c r="H1459" t="s">
        <v>204</v>
      </c>
      <c r="I1459">
        <v>0</v>
      </c>
      <c r="J1459">
        <v>1</v>
      </c>
      <c r="K1459" t="s">
        <v>122</v>
      </c>
      <c r="L1459" t="s">
        <v>205</v>
      </c>
      <c r="M1459" t="s">
        <v>206</v>
      </c>
      <c r="N1459" t="s">
        <v>207</v>
      </c>
      <c r="O1459" t="s">
        <v>97</v>
      </c>
    </row>
    <row r="1460" spans="1:15" x14ac:dyDescent="0.2">
      <c r="A1460">
        <v>90</v>
      </c>
      <c r="B1460">
        <v>91</v>
      </c>
      <c r="C1460">
        <v>90</v>
      </c>
      <c r="D1460">
        <v>89</v>
      </c>
      <c r="E1460" t="s">
        <v>5</v>
      </c>
      <c r="F1460" t="s">
        <v>11</v>
      </c>
      <c r="G1460">
        <v>98</v>
      </c>
      <c r="H1460" t="s">
        <v>204</v>
      </c>
      <c r="I1460">
        <v>0</v>
      </c>
      <c r="J1460">
        <v>1</v>
      </c>
      <c r="K1460" t="s">
        <v>122</v>
      </c>
      <c r="L1460" t="s">
        <v>205</v>
      </c>
      <c r="M1460" t="s">
        <v>206</v>
      </c>
      <c r="N1460" t="s">
        <v>207</v>
      </c>
      <c r="O1460" t="s">
        <v>97</v>
      </c>
    </row>
    <row r="1461" spans="1:15" x14ac:dyDescent="0.2">
      <c r="A1461">
        <v>95</v>
      </c>
      <c r="B1461">
        <v>96</v>
      </c>
      <c r="C1461">
        <v>95</v>
      </c>
      <c r="D1461">
        <v>94</v>
      </c>
      <c r="E1461" t="s">
        <v>5</v>
      </c>
      <c r="F1461" t="s">
        <v>12</v>
      </c>
      <c r="G1461">
        <v>98</v>
      </c>
      <c r="H1461" t="s">
        <v>204</v>
      </c>
      <c r="I1461">
        <v>0</v>
      </c>
      <c r="J1461">
        <v>1</v>
      </c>
      <c r="K1461" t="s">
        <v>122</v>
      </c>
      <c r="L1461" t="s">
        <v>205</v>
      </c>
      <c r="M1461" t="s">
        <v>206</v>
      </c>
      <c r="N1461" t="s">
        <v>207</v>
      </c>
      <c r="O1461" t="s">
        <v>97</v>
      </c>
    </row>
    <row r="1462" spans="1:15" x14ac:dyDescent="0.2">
      <c r="A1462">
        <v>100</v>
      </c>
      <c r="B1462">
        <v>101</v>
      </c>
      <c r="C1462">
        <v>100</v>
      </c>
      <c r="D1462">
        <v>99</v>
      </c>
      <c r="E1462" t="s">
        <v>5</v>
      </c>
      <c r="F1462" t="s">
        <v>14</v>
      </c>
      <c r="G1462">
        <v>98</v>
      </c>
      <c r="H1462" t="s">
        <v>204</v>
      </c>
      <c r="I1462">
        <v>0</v>
      </c>
      <c r="J1462">
        <v>1</v>
      </c>
      <c r="K1462" t="s">
        <v>122</v>
      </c>
      <c r="L1462" t="s">
        <v>205</v>
      </c>
      <c r="M1462" t="s">
        <v>206</v>
      </c>
      <c r="N1462" t="s">
        <v>207</v>
      </c>
      <c r="O1462" t="s">
        <v>97</v>
      </c>
    </row>
    <row r="1463" spans="1:15" x14ac:dyDescent="0.2">
      <c r="A1463">
        <v>105</v>
      </c>
      <c r="B1463">
        <v>106</v>
      </c>
      <c r="C1463">
        <v>105</v>
      </c>
      <c r="D1463">
        <v>104</v>
      </c>
      <c r="E1463" t="s">
        <v>5</v>
      </c>
      <c r="F1463" t="s">
        <v>15</v>
      </c>
      <c r="G1463">
        <v>98</v>
      </c>
      <c r="H1463" t="s">
        <v>204</v>
      </c>
      <c r="I1463">
        <v>0</v>
      </c>
      <c r="J1463">
        <v>1</v>
      </c>
      <c r="K1463" t="s">
        <v>122</v>
      </c>
      <c r="L1463" t="s">
        <v>205</v>
      </c>
      <c r="M1463" t="s">
        <v>206</v>
      </c>
      <c r="N1463" t="s">
        <v>207</v>
      </c>
      <c r="O1463" t="s">
        <v>97</v>
      </c>
    </row>
    <row r="1464" spans="1:15" x14ac:dyDescent="0.2">
      <c r="A1464">
        <v>110</v>
      </c>
      <c r="B1464">
        <v>111</v>
      </c>
      <c r="C1464">
        <v>110</v>
      </c>
      <c r="D1464">
        <v>109</v>
      </c>
      <c r="E1464" t="s">
        <v>5</v>
      </c>
      <c r="F1464" t="s">
        <v>16</v>
      </c>
      <c r="G1464">
        <v>98</v>
      </c>
      <c r="H1464" t="s">
        <v>204</v>
      </c>
      <c r="I1464">
        <v>0</v>
      </c>
      <c r="J1464">
        <v>1</v>
      </c>
      <c r="K1464" t="s">
        <v>122</v>
      </c>
      <c r="L1464" t="s">
        <v>205</v>
      </c>
      <c r="M1464" t="s">
        <v>206</v>
      </c>
      <c r="N1464" t="s">
        <v>207</v>
      </c>
      <c r="O1464" t="s">
        <v>97</v>
      </c>
    </row>
    <row r="1465" spans="1:15" x14ac:dyDescent="0.2">
      <c r="A1465">
        <v>115</v>
      </c>
      <c r="B1465">
        <v>116</v>
      </c>
      <c r="C1465">
        <v>115</v>
      </c>
      <c r="D1465">
        <v>114</v>
      </c>
      <c r="E1465" t="s">
        <v>5</v>
      </c>
      <c r="F1465" t="s">
        <v>17</v>
      </c>
      <c r="G1465">
        <v>98</v>
      </c>
      <c r="H1465" t="s">
        <v>204</v>
      </c>
      <c r="I1465">
        <v>0</v>
      </c>
      <c r="J1465">
        <v>1</v>
      </c>
      <c r="K1465" t="s">
        <v>122</v>
      </c>
      <c r="L1465" t="s">
        <v>205</v>
      </c>
      <c r="M1465" t="s">
        <v>206</v>
      </c>
      <c r="N1465" t="s">
        <v>207</v>
      </c>
      <c r="O1465" t="s">
        <v>97</v>
      </c>
    </row>
    <row r="1466" spans="1:15" x14ac:dyDescent="0.2">
      <c r="A1466">
        <v>120</v>
      </c>
      <c r="B1466">
        <v>121</v>
      </c>
      <c r="C1466">
        <v>120</v>
      </c>
      <c r="D1466">
        <v>119</v>
      </c>
      <c r="E1466" t="s">
        <v>5</v>
      </c>
      <c r="F1466" t="s">
        <v>18</v>
      </c>
      <c r="G1466">
        <v>98</v>
      </c>
      <c r="H1466" t="s">
        <v>204</v>
      </c>
      <c r="I1466">
        <v>0.5</v>
      </c>
      <c r="J1466">
        <v>1</v>
      </c>
      <c r="K1466" t="s">
        <v>122</v>
      </c>
      <c r="L1466" t="s">
        <v>205</v>
      </c>
      <c r="M1466" t="s">
        <v>206</v>
      </c>
      <c r="N1466" t="s">
        <v>207</v>
      </c>
      <c r="O1466" t="s">
        <v>97</v>
      </c>
    </row>
    <row r="1467" spans="1:15" x14ac:dyDescent="0.2">
      <c r="A1467">
        <v>125</v>
      </c>
      <c r="B1467">
        <v>126</v>
      </c>
      <c r="C1467">
        <v>125</v>
      </c>
      <c r="D1467">
        <v>124</v>
      </c>
      <c r="E1467" t="s">
        <v>5</v>
      </c>
      <c r="F1467" t="s">
        <v>19</v>
      </c>
      <c r="G1467">
        <v>98</v>
      </c>
      <c r="H1467" t="s">
        <v>204</v>
      </c>
      <c r="I1467">
        <v>0.5</v>
      </c>
      <c r="J1467">
        <v>1</v>
      </c>
      <c r="K1467" t="s">
        <v>122</v>
      </c>
      <c r="L1467" t="s">
        <v>205</v>
      </c>
      <c r="M1467" t="s">
        <v>206</v>
      </c>
      <c r="N1467" t="s">
        <v>207</v>
      </c>
      <c r="O1467" t="s">
        <v>97</v>
      </c>
    </row>
    <row r="1468" spans="1:15" x14ac:dyDescent="0.2">
      <c r="A1468">
        <v>130</v>
      </c>
      <c r="B1468">
        <v>131</v>
      </c>
      <c r="C1468">
        <v>130</v>
      </c>
      <c r="D1468">
        <v>129</v>
      </c>
      <c r="E1468" t="s">
        <v>5</v>
      </c>
      <c r="F1468" t="s">
        <v>20</v>
      </c>
      <c r="G1468">
        <v>98</v>
      </c>
      <c r="H1468" t="s">
        <v>204</v>
      </c>
      <c r="I1468">
        <v>0.5</v>
      </c>
      <c r="J1468">
        <v>1</v>
      </c>
      <c r="K1468" t="s">
        <v>122</v>
      </c>
      <c r="L1468" t="s">
        <v>205</v>
      </c>
      <c r="M1468" t="s">
        <v>206</v>
      </c>
      <c r="N1468" t="s">
        <v>207</v>
      </c>
      <c r="O1468" t="s">
        <v>97</v>
      </c>
    </row>
    <row r="1469" spans="1:15" x14ac:dyDescent="0.2">
      <c r="A1469">
        <v>135</v>
      </c>
      <c r="B1469">
        <v>136</v>
      </c>
      <c r="C1469">
        <v>135</v>
      </c>
      <c r="D1469">
        <v>134</v>
      </c>
      <c r="E1469" t="s">
        <v>5</v>
      </c>
      <c r="F1469" t="s">
        <v>21</v>
      </c>
      <c r="G1469">
        <v>98</v>
      </c>
      <c r="H1469" t="s">
        <v>204</v>
      </c>
      <c r="I1469">
        <v>0.5</v>
      </c>
      <c r="J1469">
        <v>1</v>
      </c>
      <c r="K1469" t="s">
        <v>122</v>
      </c>
      <c r="L1469" t="s">
        <v>205</v>
      </c>
      <c r="M1469" t="s">
        <v>206</v>
      </c>
      <c r="N1469" t="s">
        <v>207</v>
      </c>
      <c r="O1469" t="s">
        <v>97</v>
      </c>
    </row>
    <row r="1470" spans="1:15" x14ac:dyDescent="0.2">
      <c r="A1470">
        <v>140</v>
      </c>
      <c r="B1470">
        <v>141</v>
      </c>
      <c r="C1470">
        <v>140</v>
      </c>
      <c r="D1470">
        <v>139</v>
      </c>
      <c r="E1470" t="s">
        <v>5</v>
      </c>
      <c r="F1470" t="s">
        <v>22</v>
      </c>
      <c r="G1470">
        <v>98</v>
      </c>
      <c r="H1470" t="s">
        <v>204</v>
      </c>
      <c r="I1470">
        <v>0</v>
      </c>
      <c r="J1470">
        <v>1</v>
      </c>
      <c r="K1470" t="s">
        <v>122</v>
      </c>
      <c r="L1470" t="s">
        <v>205</v>
      </c>
      <c r="M1470" t="s">
        <v>206</v>
      </c>
      <c r="N1470" t="s">
        <v>207</v>
      </c>
      <c r="O1470" t="s">
        <v>97</v>
      </c>
    </row>
    <row r="1471" spans="1:15" x14ac:dyDescent="0.2">
      <c r="A1471">
        <v>145</v>
      </c>
      <c r="B1471">
        <v>146</v>
      </c>
      <c r="C1471">
        <v>145</v>
      </c>
      <c r="D1471">
        <v>144</v>
      </c>
      <c r="E1471" t="s">
        <v>5</v>
      </c>
      <c r="F1471" t="s">
        <v>23</v>
      </c>
      <c r="G1471">
        <v>98</v>
      </c>
      <c r="H1471" t="s">
        <v>204</v>
      </c>
      <c r="I1471">
        <v>0.5</v>
      </c>
      <c r="J1471">
        <v>1</v>
      </c>
      <c r="K1471" t="s">
        <v>122</v>
      </c>
      <c r="L1471" t="s">
        <v>205</v>
      </c>
      <c r="M1471" t="s">
        <v>206</v>
      </c>
      <c r="N1471" t="s">
        <v>207</v>
      </c>
      <c r="O1471" t="s">
        <v>97</v>
      </c>
    </row>
    <row r="1472" spans="1:15" x14ac:dyDescent="0.2">
      <c r="A1472">
        <v>155</v>
      </c>
      <c r="B1472">
        <v>156</v>
      </c>
      <c r="C1472">
        <v>155</v>
      </c>
      <c r="D1472">
        <v>154</v>
      </c>
      <c r="E1472" t="s">
        <v>5</v>
      </c>
      <c r="F1472" t="s">
        <v>25</v>
      </c>
      <c r="G1472">
        <v>98</v>
      </c>
      <c r="H1472" t="s">
        <v>204</v>
      </c>
      <c r="I1472">
        <v>0</v>
      </c>
      <c r="J1472">
        <v>1</v>
      </c>
      <c r="K1472" t="s">
        <v>122</v>
      </c>
      <c r="L1472" t="s">
        <v>205</v>
      </c>
      <c r="M1472" t="s">
        <v>206</v>
      </c>
      <c r="N1472" t="s">
        <v>207</v>
      </c>
      <c r="O1472" t="s">
        <v>97</v>
      </c>
    </row>
    <row r="1473" spans="1:15" x14ac:dyDescent="0.2">
      <c r="A1473">
        <v>165</v>
      </c>
      <c r="B1473">
        <v>166</v>
      </c>
      <c r="C1473">
        <v>165</v>
      </c>
      <c r="D1473">
        <v>164</v>
      </c>
      <c r="E1473" t="s">
        <v>5</v>
      </c>
      <c r="F1473" t="s">
        <v>27</v>
      </c>
      <c r="G1473">
        <v>98</v>
      </c>
      <c r="H1473" t="s">
        <v>204</v>
      </c>
      <c r="I1473">
        <v>0</v>
      </c>
      <c r="J1473">
        <v>1</v>
      </c>
      <c r="K1473" t="s">
        <v>122</v>
      </c>
      <c r="L1473" t="s">
        <v>205</v>
      </c>
      <c r="M1473" t="s">
        <v>206</v>
      </c>
      <c r="N1473" t="s">
        <v>207</v>
      </c>
      <c r="O1473" t="s">
        <v>97</v>
      </c>
    </row>
    <row r="1474" spans="1:15" x14ac:dyDescent="0.2">
      <c r="A1474">
        <v>170</v>
      </c>
      <c r="B1474">
        <v>171</v>
      </c>
      <c r="C1474">
        <v>170</v>
      </c>
      <c r="D1474">
        <v>169</v>
      </c>
      <c r="E1474" t="s">
        <v>5</v>
      </c>
      <c r="F1474" t="s">
        <v>28</v>
      </c>
      <c r="G1474">
        <v>98</v>
      </c>
      <c r="H1474" t="s">
        <v>204</v>
      </c>
      <c r="I1474">
        <v>0</v>
      </c>
      <c r="J1474">
        <v>1</v>
      </c>
      <c r="K1474" t="s">
        <v>122</v>
      </c>
      <c r="L1474" t="s">
        <v>205</v>
      </c>
      <c r="M1474" t="s">
        <v>206</v>
      </c>
      <c r="N1474" t="s">
        <v>207</v>
      </c>
      <c r="O1474" t="s">
        <v>97</v>
      </c>
    </row>
    <row r="1475" spans="1:15" x14ac:dyDescent="0.2">
      <c r="A1475">
        <v>175</v>
      </c>
      <c r="B1475">
        <v>176</v>
      </c>
      <c r="C1475">
        <v>175</v>
      </c>
      <c r="D1475">
        <v>174</v>
      </c>
      <c r="E1475" t="s">
        <v>5</v>
      </c>
      <c r="F1475" t="s">
        <v>29</v>
      </c>
      <c r="G1475">
        <v>98</v>
      </c>
      <c r="H1475" t="s">
        <v>204</v>
      </c>
      <c r="I1475">
        <v>0</v>
      </c>
      <c r="J1475">
        <v>1</v>
      </c>
      <c r="K1475" t="s">
        <v>122</v>
      </c>
      <c r="L1475" t="s">
        <v>205</v>
      </c>
      <c r="M1475" t="s">
        <v>206</v>
      </c>
      <c r="N1475" t="s">
        <v>207</v>
      </c>
      <c r="O1475" t="s">
        <v>97</v>
      </c>
    </row>
    <row r="1476" spans="1:15" x14ac:dyDescent="0.2">
      <c r="A1476">
        <v>24</v>
      </c>
      <c r="B1476">
        <v>25</v>
      </c>
      <c r="C1476">
        <v>24</v>
      </c>
      <c r="D1476">
        <v>23</v>
      </c>
      <c r="E1476" t="s">
        <v>30</v>
      </c>
      <c r="F1476" t="s">
        <v>33</v>
      </c>
      <c r="G1476">
        <v>98</v>
      </c>
      <c r="H1476" t="s">
        <v>204</v>
      </c>
      <c r="I1476">
        <v>0</v>
      </c>
      <c r="J1476">
        <v>1</v>
      </c>
      <c r="K1476" t="s">
        <v>122</v>
      </c>
      <c r="L1476" t="s">
        <v>205</v>
      </c>
      <c r="M1476" t="s">
        <v>206</v>
      </c>
      <c r="N1476" t="s">
        <v>207</v>
      </c>
      <c r="O1476" t="s">
        <v>97</v>
      </c>
    </row>
    <row r="1477" spans="1:15" x14ac:dyDescent="0.2">
      <c r="A1477">
        <v>29</v>
      </c>
      <c r="B1477">
        <v>30</v>
      </c>
      <c r="C1477">
        <v>29</v>
      </c>
      <c r="D1477">
        <v>28</v>
      </c>
      <c r="E1477" t="s">
        <v>30</v>
      </c>
      <c r="F1477" t="s">
        <v>211</v>
      </c>
      <c r="G1477">
        <v>98</v>
      </c>
      <c r="H1477" t="s">
        <v>204</v>
      </c>
      <c r="I1477">
        <v>0</v>
      </c>
      <c r="J1477">
        <v>1</v>
      </c>
      <c r="K1477" t="s">
        <v>122</v>
      </c>
      <c r="L1477" t="s">
        <v>205</v>
      </c>
      <c r="M1477" t="s">
        <v>206</v>
      </c>
      <c r="N1477" t="s">
        <v>207</v>
      </c>
      <c r="O1477" t="s">
        <v>97</v>
      </c>
    </row>
    <row r="1478" spans="1:15" x14ac:dyDescent="0.2">
      <c r="A1478">
        <v>34</v>
      </c>
      <c r="B1478">
        <v>35</v>
      </c>
      <c r="C1478">
        <v>34</v>
      </c>
      <c r="D1478">
        <v>33</v>
      </c>
      <c r="E1478" t="s">
        <v>30</v>
      </c>
      <c r="F1478" t="s">
        <v>35</v>
      </c>
      <c r="G1478">
        <v>98</v>
      </c>
      <c r="H1478" t="s">
        <v>204</v>
      </c>
      <c r="I1478">
        <v>0</v>
      </c>
      <c r="J1478">
        <v>1</v>
      </c>
      <c r="K1478" t="s">
        <v>122</v>
      </c>
      <c r="L1478" t="s">
        <v>205</v>
      </c>
      <c r="M1478" t="s">
        <v>206</v>
      </c>
      <c r="N1478" t="s">
        <v>207</v>
      </c>
      <c r="O1478" t="s">
        <v>97</v>
      </c>
    </row>
    <row r="1479" spans="1:15" x14ac:dyDescent="0.2">
      <c r="A1479">
        <v>39</v>
      </c>
      <c r="B1479">
        <v>40</v>
      </c>
      <c r="C1479">
        <v>39</v>
      </c>
      <c r="D1479">
        <v>38</v>
      </c>
      <c r="E1479" t="s">
        <v>30</v>
      </c>
      <c r="F1479" t="s">
        <v>36</v>
      </c>
      <c r="G1479">
        <v>98</v>
      </c>
      <c r="H1479" t="s">
        <v>204</v>
      </c>
      <c r="I1479">
        <v>1</v>
      </c>
      <c r="J1479">
        <v>1</v>
      </c>
      <c r="K1479" t="s">
        <v>122</v>
      </c>
      <c r="L1479" t="s">
        <v>205</v>
      </c>
      <c r="M1479" t="s">
        <v>206</v>
      </c>
      <c r="N1479" t="s">
        <v>207</v>
      </c>
      <c r="O1479" t="s">
        <v>97</v>
      </c>
    </row>
    <row r="1480" spans="1:15" x14ac:dyDescent="0.2">
      <c r="A1480">
        <v>223</v>
      </c>
      <c r="B1480">
        <v>224</v>
      </c>
      <c r="C1480">
        <v>223</v>
      </c>
      <c r="D1480">
        <v>222</v>
      </c>
      <c r="E1480" t="s">
        <v>30</v>
      </c>
      <c r="F1480" t="s">
        <v>37</v>
      </c>
      <c r="G1480">
        <v>98</v>
      </c>
      <c r="H1480" t="s">
        <v>204</v>
      </c>
      <c r="I1480">
        <v>0</v>
      </c>
      <c r="J1480">
        <v>1</v>
      </c>
      <c r="K1480" t="s">
        <v>122</v>
      </c>
      <c r="L1480" t="s">
        <v>205</v>
      </c>
      <c r="M1480" t="s">
        <v>206</v>
      </c>
      <c r="N1480" t="s">
        <v>207</v>
      </c>
      <c r="O1480" t="s">
        <v>97</v>
      </c>
    </row>
    <row r="1481" spans="1:15" x14ac:dyDescent="0.2">
      <c r="A1481">
        <v>54</v>
      </c>
      <c r="B1481">
        <v>55</v>
      </c>
      <c r="C1481">
        <v>54</v>
      </c>
      <c r="D1481">
        <v>53</v>
      </c>
      <c r="E1481" t="s">
        <v>30</v>
      </c>
      <c r="F1481" t="s">
        <v>39</v>
      </c>
      <c r="G1481">
        <v>98</v>
      </c>
      <c r="H1481" t="s">
        <v>204</v>
      </c>
      <c r="I1481">
        <v>0.5</v>
      </c>
      <c r="J1481">
        <v>1</v>
      </c>
      <c r="K1481" t="s">
        <v>122</v>
      </c>
      <c r="L1481" t="s">
        <v>205</v>
      </c>
      <c r="M1481" t="s">
        <v>206</v>
      </c>
      <c r="N1481" t="s">
        <v>207</v>
      </c>
      <c r="O1481" t="s">
        <v>97</v>
      </c>
    </row>
    <row r="1482" spans="1:15" x14ac:dyDescent="0.2">
      <c r="A1482">
        <v>181</v>
      </c>
      <c r="B1482">
        <v>182</v>
      </c>
      <c r="C1482">
        <v>181</v>
      </c>
      <c r="D1482">
        <v>180</v>
      </c>
      <c r="E1482" t="s">
        <v>40</v>
      </c>
      <c r="F1482" t="s">
        <v>41</v>
      </c>
      <c r="G1482">
        <v>98</v>
      </c>
      <c r="H1482" t="s">
        <v>204</v>
      </c>
      <c r="I1482">
        <v>0</v>
      </c>
      <c r="J1482">
        <v>1</v>
      </c>
      <c r="K1482" t="s">
        <v>122</v>
      </c>
      <c r="L1482" t="s">
        <v>205</v>
      </c>
      <c r="M1482" t="s">
        <v>206</v>
      </c>
      <c r="N1482" t="s">
        <v>207</v>
      </c>
      <c r="O1482" t="s">
        <v>97</v>
      </c>
    </row>
    <row r="1483" spans="1:15" x14ac:dyDescent="0.2">
      <c r="A1483">
        <v>186</v>
      </c>
      <c r="B1483">
        <v>187</v>
      </c>
      <c r="C1483">
        <v>186</v>
      </c>
      <c r="D1483">
        <v>185</v>
      </c>
      <c r="E1483" t="s">
        <v>40</v>
      </c>
      <c r="F1483" t="s">
        <v>42</v>
      </c>
      <c r="G1483">
        <v>98</v>
      </c>
      <c r="H1483" t="s">
        <v>204</v>
      </c>
      <c r="I1483">
        <v>0.5</v>
      </c>
      <c r="J1483">
        <v>1</v>
      </c>
      <c r="K1483" t="s">
        <v>122</v>
      </c>
      <c r="L1483" t="s">
        <v>205</v>
      </c>
      <c r="M1483" t="s">
        <v>206</v>
      </c>
      <c r="N1483" t="s">
        <v>207</v>
      </c>
      <c r="O1483" t="s">
        <v>97</v>
      </c>
    </row>
    <row r="1484" spans="1:15" x14ac:dyDescent="0.2">
      <c r="A1484">
        <v>206</v>
      </c>
      <c r="B1484">
        <v>207</v>
      </c>
      <c r="C1484">
        <v>206</v>
      </c>
      <c r="D1484">
        <v>205</v>
      </c>
      <c r="E1484" t="s">
        <v>40</v>
      </c>
      <c r="F1484" t="s">
        <v>43</v>
      </c>
      <c r="G1484">
        <v>98</v>
      </c>
      <c r="H1484" t="s">
        <v>204</v>
      </c>
      <c r="I1484">
        <v>0.5</v>
      </c>
      <c r="J1484">
        <v>1</v>
      </c>
      <c r="K1484" t="s">
        <v>122</v>
      </c>
      <c r="L1484" t="s">
        <v>205</v>
      </c>
      <c r="M1484" t="s">
        <v>206</v>
      </c>
      <c r="N1484" t="s">
        <v>207</v>
      </c>
      <c r="O1484" t="s">
        <v>97</v>
      </c>
    </row>
    <row r="1485" spans="1:15" x14ac:dyDescent="0.2">
      <c r="A1485">
        <v>217</v>
      </c>
      <c r="B1485">
        <v>218</v>
      </c>
      <c r="C1485">
        <v>217</v>
      </c>
      <c r="D1485">
        <v>216</v>
      </c>
      <c r="E1485" t="s">
        <v>44</v>
      </c>
      <c r="F1485" t="s">
        <v>45</v>
      </c>
      <c r="G1485">
        <v>98</v>
      </c>
      <c r="H1485" t="s">
        <v>204</v>
      </c>
      <c r="I1485">
        <v>1</v>
      </c>
      <c r="J1485">
        <v>1</v>
      </c>
      <c r="K1485" t="s">
        <v>122</v>
      </c>
      <c r="L1485" t="s">
        <v>205</v>
      </c>
      <c r="M1485" t="s">
        <v>206</v>
      </c>
      <c r="N1485" t="s">
        <v>207</v>
      </c>
      <c r="O1485" t="s">
        <v>97</v>
      </c>
    </row>
    <row r="1486" spans="1:15" x14ac:dyDescent="0.2">
      <c r="A1486">
        <v>75</v>
      </c>
      <c r="B1486">
        <v>76</v>
      </c>
      <c r="C1486">
        <v>75</v>
      </c>
      <c r="D1486">
        <v>74</v>
      </c>
      <c r="E1486" t="s">
        <v>5</v>
      </c>
      <c r="F1486" t="s">
        <v>6</v>
      </c>
      <c r="G1486">
        <v>97</v>
      </c>
      <c r="H1486" t="s">
        <v>152</v>
      </c>
      <c r="I1486">
        <v>0.25</v>
      </c>
      <c r="J1486">
        <v>0.25</v>
      </c>
      <c r="K1486" t="s">
        <v>153</v>
      </c>
      <c r="L1486" t="s">
        <v>154</v>
      </c>
      <c r="M1486" t="s">
        <v>155</v>
      </c>
      <c r="N1486" t="s">
        <v>107</v>
      </c>
      <c r="O1486" t="s">
        <v>97</v>
      </c>
    </row>
    <row r="1487" spans="1:15" x14ac:dyDescent="0.2">
      <c r="A1487">
        <v>80</v>
      </c>
      <c r="B1487">
        <v>81</v>
      </c>
      <c r="C1487">
        <v>80</v>
      </c>
      <c r="D1487">
        <v>79</v>
      </c>
      <c r="E1487" t="s">
        <v>5</v>
      </c>
      <c r="F1487" t="s">
        <v>9</v>
      </c>
      <c r="G1487">
        <v>97</v>
      </c>
      <c r="H1487" t="s">
        <v>152</v>
      </c>
      <c r="I1487">
        <v>0.25</v>
      </c>
      <c r="J1487">
        <v>0.25</v>
      </c>
      <c r="K1487" t="s">
        <v>153</v>
      </c>
      <c r="L1487" t="s">
        <v>154</v>
      </c>
      <c r="M1487" t="s">
        <v>155</v>
      </c>
      <c r="N1487" t="s">
        <v>107</v>
      </c>
      <c r="O1487" t="s">
        <v>97</v>
      </c>
    </row>
    <row r="1488" spans="1:15" x14ac:dyDescent="0.2">
      <c r="A1488">
        <v>90</v>
      </c>
      <c r="B1488">
        <v>91</v>
      </c>
      <c r="C1488">
        <v>90</v>
      </c>
      <c r="D1488">
        <v>89</v>
      </c>
      <c r="E1488" t="s">
        <v>5</v>
      </c>
      <c r="F1488" t="s">
        <v>11</v>
      </c>
      <c r="G1488">
        <v>97</v>
      </c>
      <c r="H1488" t="s">
        <v>152</v>
      </c>
      <c r="I1488">
        <v>0.25</v>
      </c>
      <c r="J1488">
        <v>0.25</v>
      </c>
      <c r="K1488" t="s">
        <v>153</v>
      </c>
      <c r="L1488" t="s">
        <v>154</v>
      </c>
      <c r="M1488" t="s">
        <v>155</v>
      </c>
      <c r="N1488" t="s">
        <v>107</v>
      </c>
      <c r="O1488" t="s">
        <v>97</v>
      </c>
    </row>
    <row r="1489" spans="1:15" x14ac:dyDescent="0.2">
      <c r="A1489">
        <v>95</v>
      </c>
      <c r="B1489">
        <v>96</v>
      </c>
      <c r="C1489">
        <v>95</v>
      </c>
      <c r="D1489">
        <v>94</v>
      </c>
      <c r="E1489" t="s">
        <v>5</v>
      </c>
      <c r="F1489" t="s">
        <v>12</v>
      </c>
      <c r="G1489">
        <v>97</v>
      </c>
      <c r="H1489" t="s">
        <v>152</v>
      </c>
      <c r="I1489">
        <v>0.25</v>
      </c>
      <c r="J1489">
        <v>0.25</v>
      </c>
      <c r="K1489" t="s">
        <v>153</v>
      </c>
      <c r="L1489" t="s">
        <v>154</v>
      </c>
      <c r="M1489" t="s">
        <v>155</v>
      </c>
      <c r="N1489" t="s">
        <v>107</v>
      </c>
      <c r="O1489" t="s">
        <v>97</v>
      </c>
    </row>
    <row r="1490" spans="1:15" x14ac:dyDescent="0.2">
      <c r="A1490">
        <v>100</v>
      </c>
      <c r="B1490">
        <v>101</v>
      </c>
      <c r="C1490">
        <v>100</v>
      </c>
      <c r="D1490">
        <v>99</v>
      </c>
      <c r="E1490" t="s">
        <v>5</v>
      </c>
      <c r="F1490" t="s">
        <v>14</v>
      </c>
      <c r="G1490">
        <v>97</v>
      </c>
      <c r="H1490" t="s">
        <v>152</v>
      </c>
      <c r="I1490">
        <v>0.25</v>
      </c>
      <c r="J1490">
        <v>0.25</v>
      </c>
      <c r="K1490" t="s">
        <v>153</v>
      </c>
      <c r="L1490" t="s">
        <v>154</v>
      </c>
      <c r="M1490" t="s">
        <v>155</v>
      </c>
      <c r="N1490" t="s">
        <v>107</v>
      </c>
      <c r="O1490" t="s">
        <v>97</v>
      </c>
    </row>
    <row r="1491" spans="1:15" x14ac:dyDescent="0.2">
      <c r="A1491">
        <v>105</v>
      </c>
      <c r="B1491">
        <v>106</v>
      </c>
      <c r="C1491">
        <v>105</v>
      </c>
      <c r="D1491">
        <v>104</v>
      </c>
      <c r="E1491" t="s">
        <v>5</v>
      </c>
      <c r="F1491" t="s">
        <v>15</v>
      </c>
      <c r="G1491">
        <v>97</v>
      </c>
      <c r="H1491" t="s">
        <v>152</v>
      </c>
      <c r="I1491">
        <v>0.25</v>
      </c>
      <c r="J1491">
        <v>0.25</v>
      </c>
      <c r="K1491" t="s">
        <v>153</v>
      </c>
      <c r="L1491" t="s">
        <v>154</v>
      </c>
      <c r="M1491" t="s">
        <v>155</v>
      </c>
      <c r="N1491" t="s">
        <v>107</v>
      </c>
      <c r="O1491" t="s">
        <v>97</v>
      </c>
    </row>
    <row r="1492" spans="1:15" x14ac:dyDescent="0.2">
      <c r="A1492">
        <v>110</v>
      </c>
      <c r="B1492">
        <v>111</v>
      </c>
      <c r="C1492">
        <v>110</v>
      </c>
      <c r="D1492">
        <v>109</v>
      </c>
      <c r="E1492" t="s">
        <v>5</v>
      </c>
      <c r="F1492" t="s">
        <v>16</v>
      </c>
      <c r="G1492">
        <v>97</v>
      </c>
      <c r="H1492" t="s">
        <v>152</v>
      </c>
      <c r="I1492">
        <v>0.25</v>
      </c>
      <c r="J1492">
        <v>0.25</v>
      </c>
      <c r="K1492" t="s">
        <v>153</v>
      </c>
      <c r="L1492" t="s">
        <v>154</v>
      </c>
      <c r="M1492" t="s">
        <v>155</v>
      </c>
      <c r="N1492" t="s">
        <v>107</v>
      </c>
      <c r="O1492" t="s">
        <v>97</v>
      </c>
    </row>
    <row r="1493" spans="1:15" x14ac:dyDescent="0.2">
      <c r="A1493">
        <v>115</v>
      </c>
      <c r="B1493">
        <v>116</v>
      </c>
      <c r="C1493">
        <v>115</v>
      </c>
      <c r="D1493">
        <v>114</v>
      </c>
      <c r="E1493" t="s">
        <v>5</v>
      </c>
      <c r="F1493" t="s">
        <v>17</v>
      </c>
      <c r="G1493">
        <v>97</v>
      </c>
      <c r="H1493" t="s">
        <v>152</v>
      </c>
      <c r="I1493">
        <v>0.25</v>
      </c>
      <c r="J1493">
        <v>0.25</v>
      </c>
      <c r="K1493" t="s">
        <v>153</v>
      </c>
      <c r="L1493" t="s">
        <v>154</v>
      </c>
      <c r="M1493" t="s">
        <v>155</v>
      </c>
      <c r="N1493" t="s">
        <v>107</v>
      </c>
      <c r="O1493" t="s">
        <v>97</v>
      </c>
    </row>
    <row r="1494" spans="1:15" x14ac:dyDescent="0.2">
      <c r="A1494">
        <v>120</v>
      </c>
      <c r="B1494">
        <v>121</v>
      </c>
      <c r="C1494">
        <v>120</v>
      </c>
      <c r="D1494">
        <v>119</v>
      </c>
      <c r="E1494" t="s">
        <v>5</v>
      </c>
      <c r="F1494" t="s">
        <v>18</v>
      </c>
      <c r="G1494">
        <v>97</v>
      </c>
      <c r="H1494" t="s">
        <v>152</v>
      </c>
      <c r="I1494">
        <v>0.25</v>
      </c>
      <c r="J1494">
        <v>0.25</v>
      </c>
      <c r="K1494" t="s">
        <v>153</v>
      </c>
      <c r="L1494" t="s">
        <v>154</v>
      </c>
      <c r="M1494" t="s">
        <v>155</v>
      </c>
      <c r="N1494" t="s">
        <v>107</v>
      </c>
      <c r="O1494" t="s">
        <v>97</v>
      </c>
    </row>
    <row r="1495" spans="1:15" x14ac:dyDescent="0.2">
      <c r="A1495">
        <v>125</v>
      </c>
      <c r="B1495">
        <v>126</v>
      </c>
      <c r="C1495">
        <v>125</v>
      </c>
      <c r="D1495">
        <v>124</v>
      </c>
      <c r="E1495" t="s">
        <v>5</v>
      </c>
      <c r="F1495" t="s">
        <v>19</v>
      </c>
      <c r="G1495">
        <v>97</v>
      </c>
      <c r="H1495" t="s">
        <v>152</v>
      </c>
      <c r="I1495">
        <v>0.25</v>
      </c>
      <c r="J1495">
        <v>0.25</v>
      </c>
      <c r="K1495" t="s">
        <v>153</v>
      </c>
      <c r="L1495" t="s">
        <v>154</v>
      </c>
      <c r="M1495" t="s">
        <v>155</v>
      </c>
      <c r="N1495" t="s">
        <v>107</v>
      </c>
      <c r="O1495" t="s">
        <v>97</v>
      </c>
    </row>
    <row r="1496" spans="1:15" x14ac:dyDescent="0.2">
      <c r="A1496">
        <v>130</v>
      </c>
      <c r="B1496">
        <v>131</v>
      </c>
      <c r="C1496">
        <v>130</v>
      </c>
      <c r="D1496">
        <v>129</v>
      </c>
      <c r="E1496" t="s">
        <v>5</v>
      </c>
      <c r="F1496" t="s">
        <v>20</v>
      </c>
      <c r="G1496">
        <v>97</v>
      </c>
      <c r="H1496" t="s">
        <v>152</v>
      </c>
      <c r="I1496">
        <v>0.25</v>
      </c>
      <c r="J1496">
        <v>0.25</v>
      </c>
      <c r="K1496" t="s">
        <v>153</v>
      </c>
      <c r="L1496" t="s">
        <v>154</v>
      </c>
      <c r="M1496" t="s">
        <v>155</v>
      </c>
      <c r="N1496" t="s">
        <v>107</v>
      </c>
      <c r="O1496" t="s">
        <v>97</v>
      </c>
    </row>
    <row r="1497" spans="1:15" x14ac:dyDescent="0.2">
      <c r="A1497">
        <v>135</v>
      </c>
      <c r="B1497">
        <v>136</v>
      </c>
      <c r="C1497">
        <v>135</v>
      </c>
      <c r="D1497">
        <v>134</v>
      </c>
      <c r="E1497" t="s">
        <v>5</v>
      </c>
      <c r="F1497" t="s">
        <v>21</v>
      </c>
      <c r="G1497">
        <v>97</v>
      </c>
      <c r="H1497" t="s">
        <v>152</v>
      </c>
      <c r="I1497">
        <v>0.25</v>
      </c>
      <c r="J1497">
        <v>0.25</v>
      </c>
      <c r="K1497" t="s">
        <v>153</v>
      </c>
      <c r="L1497" t="s">
        <v>154</v>
      </c>
      <c r="M1497" t="s">
        <v>155</v>
      </c>
      <c r="N1497" t="s">
        <v>107</v>
      </c>
      <c r="O1497" t="s">
        <v>97</v>
      </c>
    </row>
    <row r="1498" spans="1:15" x14ac:dyDescent="0.2">
      <c r="A1498">
        <v>140</v>
      </c>
      <c r="B1498">
        <v>141</v>
      </c>
      <c r="C1498">
        <v>140</v>
      </c>
      <c r="D1498">
        <v>139</v>
      </c>
      <c r="E1498" t="s">
        <v>5</v>
      </c>
      <c r="F1498" t="s">
        <v>22</v>
      </c>
      <c r="G1498">
        <v>97</v>
      </c>
      <c r="H1498" t="s">
        <v>152</v>
      </c>
      <c r="I1498">
        <v>0.25</v>
      </c>
      <c r="J1498">
        <v>0.25</v>
      </c>
      <c r="K1498" t="s">
        <v>153</v>
      </c>
      <c r="L1498" t="s">
        <v>154</v>
      </c>
      <c r="M1498" t="s">
        <v>155</v>
      </c>
      <c r="N1498" t="s">
        <v>107</v>
      </c>
      <c r="O1498" t="s">
        <v>97</v>
      </c>
    </row>
    <row r="1499" spans="1:15" x14ac:dyDescent="0.2">
      <c r="A1499">
        <v>145</v>
      </c>
      <c r="B1499">
        <v>146</v>
      </c>
      <c r="C1499">
        <v>145</v>
      </c>
      <c r="D1499">
        <v>144</v>
      </c>
      <c r="E1499" t="s">
        <v>5</v>
      </c>
      <c r="F1499" t="s">
        <v>23</v>
      </c>
      <c r="G1499">
        <v>97</v>
      </c>
      <c r="H1499" t="s">
        <v>152</v>
      </c>
      <c r="I1499">
        <v>0.25</v>
      </c>
      <c r="J1499">
        <v>0.25</v>
      </c>
      <c r="K1499" t="s">
        <v>153</v>
      </c>
      <c r="L1499" t="s">
        <v>154</v>
      </c>
      <c r="M1499" t="s">
        <v>155</v>
      </c>
      <c r="N1499" t="s">
        <v>107</v>
      </c>
      <c r="O1499" t="s">
        <v>97</v>
      </c>
    </row>
    <row r="1500" spans="1:15" x14ac:dyDescent="0.2">
      <c r="A1500">
        <v>155</v>
      </c>
      <c r="B1500">
        <v>156</v>
      </c>
      <c r="C1500">
        <v>155</v>
      </c>
      <c r="D1500">
        <v>154</v>
      </c>
      <c r="E1500" t="s">
        <v>5</v>
      </c>
      <c r="F1500" t="s">
        <v>25</v>
      </c>
      <c r="G1500">
        <v>97</v>
      </c>
      <c r="H1500" t="s">
        <v>152</v>
      </c>
      <c r="I1500">
        <v>0.25</v>
      </c>
      <c r="J1500">
        <v>0.25</v>
      </c>
      <c r="K1500" t="s">
        <v>153</v>
      </c>
      <c r="L1500" t="s">
        <v>154</v>
      </c>
      <c r="M1500" t="s">
        <v>155</v>
      </c>
      <c r="N1500" t="s">
        <v>107</v>
      </c>
      <c r="O1500" t="s">
        <v>97</v>
      </c>
    </row>
    <row r="1501" spans="1:15" x14ac:dyDescent="0.2">
      <c r="A1501">
        <v>165</v>
      </c>
      <c r="B1501">
        <v>166</v>
      </c>
      <c r="C1501">
        <v>165</v>
      </c>
      <c r="D1501">
        <v>164</v>
      </c>
      <c r="E1501" t="s">
        <v>5</v>
      </c>
      <c r="F1501" t="s">
        <v>27</v>
      </c>
      <c r="G1501">
        <v>97</v>
      </c>
      <c r="H1501" t="s">
        <v>152</v>
      </c>
      <c r="I1501">
        <v>0.25</v>
      </c>
      <c r="J1501">
        <v>0.25</v>
      </c>
      <c r="K1501" t="s">
        <v>153</v>
      </c>
      <c r="L1501" t="s">
        <v>154</v>
      </c>
      <c r="M1501" t="s">
        <v>155</v>
      </c>
      <c r="N1501" t="s">
        <v>107</v>
      </c>
      <c r="O1501" t="s">
        <v>97</v>
      </c>
    </row>
    <row r="1502" spans="1:15" x14ac:dyDescent="0.2">
      <c r="A1502">
        <v>170</v>
      </c>
      <c r="B1502">
        <v>171</v>
      </c>
      <c r="C1502">
        <v>170</v>
      </c>
      <c r="D1502">
        <v>169</v>
      </c>
      <c r="E1502" t="s">
        <v>5</v>
      </c>
      <c r="F1502" t="s">
        <v>28</v>
      </c>
      <c r="G1502">
        <v>97</v>
      </c>
      <c r="H1502" t="s">
        <v>152</v>
      </c>
      <c r="I1502">
        <v>0.25</v>
      </c>
      <c r="J1502">
        <v>0.25</v>
      </c>
      <c r="K1502" t="s">
        <v>153</v>
      </c>
      <c r="L1502" t="s">
        <v>154</v>
      </c>
      <c r="M1502" t="s">
        <v>155</v>
      </c>
      <c r="N1502" t="s">
        <v>107</v>
      </c>
      <c r="O1502" t="s">
        <v>97</v>
      </c>
    </row>
    <row r="1503" spans="1:15" x14ac:dyDescent="0.2">
      <c r="A1503">
        <v>175</v>
      </c>
      <c r="B1503">
        <v>176</v>
      </c>
      <c r="C1503">
        <v>175</v>
      </c>
      <c r="D1503">
        <v>174</v>
      </c>
      <c r="E1503" t="s">
        <v>5</v>
      </c>
      <c r="F1503" t="s">
        <v>29</v>
      </c>
      <c r="G1503">
        <v>97</v>
      </c>
      <c r="H1503" t="s">
        <v>152</v>
      </c>
      <c r="I1503">
        <v>0.25</v>
      </c>
      <c r="J1503">
        <v>0.25</v>
      </c>
      <c r="K1503" t="s">
        <v>153</v>
      </c>
      <c r="L1503" t="s">
        <v>154</v>
      </c>
      <c r="M1503" t="s">
        <v>155</v>
      </c>
      <c r="N1503" t="s">
        <v>107</v>
      </c>
      <c r="O1503" t="s">
        <v>97</v>
      </c>
    </row>
    <row r="1504" spans="1:15" x14ac:dyDescent="0.2">
      <c r="A1504">
        <v>24</v>
      </c>
      <c r="B1504">
        <v>25</v>
      </c>
      <c r="C1504">
        <v>24</v>
      </c>
      <c r="D1504">
        <v>23</v>
      </c>
      <c r="E1504" t="s">
        <v>30</v>
      </c>
      <c r="F1504" t="s">
        <v>33</v>
      </c>
      <c r="G1504">
        <v>97</v>
      </c>
      <c r="H1504" t="s">
        <v>152</v>
      </c>
      <c r="I1504">
        <v>0.25</v>
      </c>
      <c r="J1504">
        <v>0.25</v>
      </c>
      <c r="K1504" t="s">
        <v>153</v>
      </c>
      <c r="L1504" t="s">
        <v>154</v>
      </c>
      <c r="M1504" t="s">
        <v>155</v>
      </c>
      <c r="N1504" t="s">
        <v>107</v>
      </c>
      <c r="O1504" t="s">
        <v>97</v>
      </c>
    </row>
    <row r="1505" spans="1:15" x14ac:dyDescent="0.2">
      <c r="A1505">
        <v>29</v>
      </c>
      <c r="B1505">
        <v>30</v>
      </c>
      <c r="C1505">
        <v>29</v>
      </c>
      <c r="D1505">
        <v>28</v>
      </c>
      <c r="E1505" t="s">
        <v>30</v>
      </c>
      <c r="F1505" t="s">
        <v>211</v>
      </c>
      <c r="G1505">
        <v>97</v>
      </c>
      <c r="H1505" t="s">
        <v>152</v>
      </c>
      <c r="I1505">
        <v>0.25</v>
      </c>
      <c r="J1505">
        <v>0.25</v>
      </c>
      <c r="K1505" t="s">
        <v>153</v>
      </c>
      <c r="L1505" t="s">
        <v>154</v>
      </c>
      <c r="M1505" t="s">
        <v>155</v>
      </c>
      <c r="N1505" t="s">
        <v>107</v>
      </c>
      <c r="O1505" t="s">
        <v>97</v>
      </c>
    </row>
    <row r="1506" spans="1:15" x14ac:dyDescent="0.2">
      <c r="A1506">
        <v>34</v>
      </c>
      <c r="B1506">
        <v>35</v>
      </c>
      <c r="C1506">
        <v>34</v>
      </c>
      <c r="D1506">
        <v>33</v>
      </c>
      <c r="E1506" t="s">
        <v>30</v>
      </c>
      <c r="F1506" t="s">
        <v>35</v>
      </c>
      <c r="G1506">
        <v>97</v>
      </c>
      <c r="H1506" t="s">
        <v>152</v>
      </c>
      <c r="I1506">
        <v>0.25</v>
      </c>
      <c r="J1506">
        <v>0.25</v>
      </c>
      <c r="K1506" t="s">
        <v>153</v>
      </c>
      <c r="L1506" t="s">
        <v>154</v>
      </c>
      <c r="M1506" t="s">
        <v>155</v>
      </c>
      <c r="N1506" t="s">
        <v>107</v>
      </c>
      <c r="O1506" t="s">
        <v>97</v>
      </c>
    </row>
    <row r="1507" spans="1:15" x14ac:dyDescent="0.2">
      <c r="A1507">
        <v>39</v>
      </c>
      <c r="B1507">
        <v>40</v>
      </c>
      <c r="C1507">
        <v>39</v>
      </c>
      <c r="D1507">
        <v>38</v>
      </c>
      <c r="E1507" t="s">
        <v>30</v>
      </c>
      <c r="F1507" t="s">
        <v>36</v>
      </c>
      <c r="G1507">
        <v>97</v>
      </c>
      <c r="H1507" t="s">
        <v>152</v>
      </c>
      <c r="I1507">
        <v>0.25</v>
      </c>
      <c r="J1507">
        <v>0.25</v>
      </c>
      <c r="K1507" t="s">
        <v>153</v>
      </c>
      <c r="L1507" t="s">
        <v>154</v>
      </c>
      <c r="M1507" t="s">
        <v>155</v>
      </c>
      <c r="N1507" t="s">
        <v>107</v>
      </c>
      <c r="O1507" t="s">
        <v>97</v>
      </c>
    </row>
    <row r="1508" spans="1:15" x14ac:dyDescent="0.2">
      <c r="A1508">
        <v>223</v>
      </c>
      <c r="B1508">
        <v>224</v>
      </c>
      <c r="C1508">
        <v>223</v>
      </c>
      <c r="D1508">
        <v>222</v>
      </c>
      <c r="E1508" t="s">
        <v>30</v>
      </c>
      <c r="F1508" t="s">
        <v>37</v>
      </c>
      <c r="G1508">
        <v>97</v>
      </c>
      <c r="H1508" t="s">
        <v>152</v>
      </c>
      <c r="I1508">
        <v>0.25</v>
      </c>
      <c r="J1508">
        <v>0.25</v>
      </c>
      <c r="K1508" t="s">
        <v>153</v>
      </c>
      <c r="L1508" t="s">
        <v>154</v>
      </c>
      <c r="M1508" t="s">
        <v>155</v>
      </c>
      <c r="N1508" t="s">
        <v>107</v>
      </c>
      <c r="O1508" t="s">
        <v>97</v>
      </c>
    </row>
    <row r="1509" spans="1:15" x14ac:dyDescent="0.2">
      <c r="A1509">
        <v>54</v>
      </c>
      <c r="B1509">
        <v>55</v>
      </c>
      <c r="C1509">
        <v>54</v>
      </c>
      <c r="D1509">
        <v>53</v>
      </c>
      <c r="E1509" t="s">
        <v>30</v>
      </c>
      <c r="F1509" t="s">
        <v>39</v>
      </c>
      <c r="G1509">
        <v>97</v>
      </c>
      <c r="H1509" t="s">
        <v>152</v>
      </c>
      <c r="I1509">
        <v>0.25</v>
      </c>
      <c r="J1509">
        <v>0.25</v>
      </c>
      <c r="K1509" t="s">
        <v>153</v>
      </c>
      <c r="L1509" t="s">
        <v>154</v>
      </c>
      <c r="M1509" t="s">
        <v>155</v>
      </c>
      <c r="N1509" t="s">
        <v>107</v>
      </c>
      <c r="O1509" t="s">
        <v>97</v>
      </c>
    </row>
    <row r="1510" spans="1:15" x14ac:dyDescent="0.2">
      <c r="A1510">
        <v>181</v>
      </c>
      <c r="B1510">
        <v>182</v>
      </c>
      <c r="C1510">
        <v>181</v>
      </c>
      <c r="D1510">
        <v>180</v>
      </c>
      <c r="E1510" t="s">
        <v>40</v>
      </c>
      <c r="F1510" t="s">
        <v>41</v>
      </c>
      <c r="G1510">
        <v>97</v>
      </c>
      <c r="H1510" t="s">
        <v>152</v>
      </c>
      <c r="I1510">
        <v>0.25</v>
      </c>
      <c r="J1510">
        <v>0.25</v>
      </c>
      <c r="K1510" t="s">
        <v>153</v>
      </c>
      <c r="L1510" t="s">
        <v>154</v>
      </c>
      <c r="M1510" t="s">
        <v>155</v>
      </c>
      <c r="N1510" t="s">
        <v>107</v>
      </c>
      <c r="O1510" t="s">
        <v>97</v>
      </c>
    </row>
    <row r="1511" spans="1:15" x14ac:dyDescent="0.2">
      <c r="A1511">
        <v>186</v>
      </c>
      <c r="B1511">
        <v>187</v>
      </c>
      <c r="C1511">
        <v>186</v>
      </c>
      <c r="D1511">
        <v>185</v>
      </c>
      <c r="E1511" t="s">
        <v>40</v>
      </c>
      <c r="F1511" t="s">
        <v>42</v>
      </c>
      <c r="G1511">
        <v>97</v>
      </c>
      <c r="H1511" t="s">
        <v>152</v>
      </c>
      <c r="I1511">
        <v>0.25</v>
      </c>
      <c r="J1511">
        <v>0.25</v>
      </c>
      <c r="K1511" t="s">
        <v>153</v>
      </c>
      <c r="L1511" t="s">
        <v>154</v>
      </c>
      <c r="M1511" t="s">
        <v>155</v>
      </c>
      <c r="N1511" t="s">
        <v>107</v>
      </c>
      <c r="O1511" t="s">
        <v>97</v>
      </c>
    </row>
    <row r="1512" spans="1:15" x14ac:dyDescent="0.2">
      <c r="A1512">
        <v>206</v>
      </c>
      <c r="B1512">
        <v>207</v>
      </c>
      <c r="C1512">
        <v>206</v>
      </c>
      <c r="D1512">
        <v>205</v>
      </c>
      <c r="E1512" t="s">
        <v>40</v>
      </c>
      <c r="F1512" t="s">
        <v>43</v>
      </c>
      <c r="G1512">
        <v>97</v>
      </c>
      <c r="H1512" t="s">
        <v>152</v>
      </c>
      <c r="I1512">
        <v>0.25</v>
      </c>
      <c r="J1512">
        <v>0.25</v>
      </c>
      <c r="K1512" t="s">
        <v>153</v>
      </c>
      <c r="L1512" t="s">
        <v>154</v>
      </c>
      <c r="M1512" t="s">
        <v>155</v>
      </c>
      <c r="N1512" t="s">
        <v>107</v>
      </c>
      <c r="O1512" t="s">
        <v>97</v>
      </c>
    </row>
    <row r="1513" spans="1:15" x14ac:dyDescent="0.2">
      <c r="A1513">
        <v>217</v>
      </c>
      <c r="B1513">
        <v>218</v>
      </c>
      <c r="C1513">
        <v>217</v>
      </c>
      <c r="D1513">
        <v>216</v>
      </c>
      <c r="E1513" t="s">
        <v>44</v>
      </c>
      <c r="F1513" t="s">
        <v>45</v>
      </c>
      <c r="G1513">
        <v>97</v>
      </c>
      <c r="H1513" t="s">
        <v>152</v>
      </c>
      <c r="I1513">
        <v>0.25</v>
      </c>
      <c r="J1513">
        <v>0.25</v>
      </c>
      <c r="K1513" t="s">
        <v>153</v>
      </c>
      <c r="L1513" t="s">
        <v>154</v>
      </c>
      <c r="M1513" t="s">
        <v>155</v>
      </c>
      <c r="N1513" t="s">
        <v>107</v>
      </c>
      <c r="O1513" t="s">
        <v>97</v>
      </c>
    </row>
    <row r="1514" spans="1:15" x14ac:dyDescent="0.2">
      <c r="A1514">
        <v>75</v>
      </c>
      <c r="B1514">
        <v>76</v>
      </c>
      <c r="C1514">
        <v>75</v>
      </c>
      <c r="D1514">
        <v>74</v>
      </c>
      <c r="E1514" t="s">
        <v>5</v>
      </c>
      <c r="F1514" t="s">
        <v>6</v>
      </c>
      <c r="G1514">
        <v>96</v>
      </c>
      <c r="H1514" t="s">
        <v>152</v>
      </c>
      <c r="I1514">
        <v>0</v>
      </c>
      <c r="J1514">
        <v>0</v>
      </c>
      <c r="K1514" t="s">
        <v>153</v>
      </c>
      <c r="L1514" t="s">
        <v>154</v>
      </c>
      <c r="M1514" t="s">
        <v>155</v>
      </c>
      <c r="N1514" t="s">
        <v>107</v>
      </c>
      <c r="O1514" t="s">
        <v>97</v>
      </c>
    </row>
    <row r="1515" spans="1:15" x14ac:dyDescent="0.2">
      <c r="A1515">
        <v>80</v>
      </c>
      <c r="B1515">
        <v>81</v>
      </c>
      <c r="C1515">
        <v>80</v>
      </c>
      <c r="D1515">
        <v>79</v>
      </c>
      <c r="E1515" t="s">
        <v>5</v>
      </c>
      <c r="F1515" t="s">
        <v>9</v>
      </c>
      <c r="G1515">
        <v>96</v>
      </c>
      <c r="H1515" t="s">
        <v>152</v>
      </c>
      <c r="I1515">
        <v>0</v>
      </c>
      <c r="J1515">
        <v>0</v>
      </c>
      <c r="K1515" t="s">
        <v>153</v>
      </c>
      <c r="L1515" t="s">
        <v>154</v>
      </c>
      <c r="M1515" t="s">
        <v>155</v>
      </c>
      <c r="N1515" t="s">
        <v>107</v>
      </c>
      <c r="O1515" t="s">
        <v>97</v>
      </c>
    </row>
    <row r="1516" spans="1:15" x14ac:dyDescent="0.2">
      <c r="A1516">
        <v>90</v>
      </c>
      <c r="B1516">
        <v>91</v>
      </c>
      <c r="C1516">
        <v>90</v>
      </c>
      <c r="D1516">
        <v>89</v>
      </c>
      <c r="E1516" t="s">
        <v>5</v>
      </c>
      <c r="F1516" t="s">
        <v>11</v>
      </c>
      <c r="G1516">
        <v>96</v>
      </c>
      <c r="H1516" t="s">
        <v>152</v>
      </c>
      <c r="I1516">
        <v>0</v>
      </c>
      <c r="J1516">
        <v>0</v>
      </c>
      <c r="K1516" t="s">
        <v>153</v>
      </c>
      <c r="L1516" t="s">
        <v>154</v>
      </c>
      <c r="M1516" t="s">
        <v>155</v>
      </c>
      <c r="N1516" t="s">
        <v>107</v>
      </c>
      <c r="O1516" t="s">
        <v>97</v>
      </c>
    </row>
    <row r="1517" spans="1:15" x14ac:dyDescent="0.2">
      <c r="A1517">
        <v>95</v>
      </c>
      <c r="B1517">
        <v>96</v>
      </c>
      <c r="C1517">
        <v>95</v>
      </c>
      <c r="D1517">
        <v>94</v>
      </c>
      <c r="E1517" t="s">
        <v>5</v>
      </c>
      <c r="F1517" t="s">
        <v>12</v>
      </c>
      <c r="G1517">
        <v>96</v>
      </c>
      <c r="H1517" t="s">
        <v>152</v>
      </c>
      <c r="I1517">
        <v>0</v>
      </c>
      <c r="J1517">
        <v>0</v>
      </c>
      <c r="K1517" t="s">
        <v>153</v>
      </c>
      <c r="L1517" t="s">
        <v>154</v>
      </c>
      <c r="M1517" t="s">
        <v>155</v>
      </c>
      <c r="N1517" t="s">
        <v>107</v>
      </c>
      <c r="O1517" t="s">
        <v>97</v>
      </c>
    </row>
    <row r="1518" spans="1:15" x14ac:dyDescent="0.2">
      <c r="A1518">
        <v>100</v>
      </c>
      <c r="B1518">
        <v>101</v>
      </c>
      <c r="C1518">
        <v>100</v>
      </c>
      <c r="D1518">
        <v>99</v>
      </c>
      <c r="E1518" t="s">
        <v>5</v>
      </c>
      <c r="F1518" t="s">
        <v>14</v>
      </c>
      <c r="G1518">
        <v>96</v>
      </c>
      <c r="H1518" t="s">
        <v>152</v>
      </c>
      <c r="I1518">
        <v>0</v>
      </c>
      <c r="J1518">
        <v>0</v>
      </c>
      <c r="K1518" t="s">
        <v>153</v>
      </c>
      <c r="L1518" t="s">
        <v>154</v>
      </c>
      <c r="M1518" t="s">
        <v>155</v>
      </c>
      <c r="N1518" t="s">
        <v>107</v>
      </c>
      <c r="O1518" t="s">
        <v>97</v>
      </c>
    </row>
    <row r="1519" spans="1:15" x14ac:dyDescent="0.2">
      <c r="A1519">
        <v>105</v>
      </c>
      <c r="B1519">
        <v>106</v>
      </c>
      <c r="C1519">
        <v>105</v>
      </c>
      <c r="D1519">
        <v>104</v>
      </c>
      <c r="E1519" t="s">
        <v>5</v>
      </c>
      <c r="F1519" t="s">
        <v>15</v>
      </c>
      <c r="G1519">
        <v>96</v>
      </c>
      <c r="H1519" t="s">
        <v>152</v>
      </c>
      <c r="I1519">
        <v>0</v>
      </c>
      <c r="J1519">
        <v>0</v>
      </c>
      <c r="K1519" t="s">
        <v>153</v>
      </c>
      <c r="L1519" t="s">
        <v>154</v>
      </c>
      <c r="M1519" t="s">
        <v>155</v>
      </c>
      <c r="N1519" t="s">
        <v>107</v>
      </c>
      <c r="O1519" t="s">
        <v>97</v>
      </c>
    </row>
    <row r="1520" spans="1:15" x14ac:dyDescent="0.2">
      <c r="A1520">
        <v>110</v>
      </c>
      <c r="B1520">
        <v>111</v>
      </c>
      <c r="C1520">
        <v>110</v>
      </c>
      <c r="D1520">
        <v>109</v>
      </c>
      <c r="E1520" t="s">
        <v>5</v>
      </c>
      <c r="F1520" t="s">
        <v>16</v>
      </c>
      <c r="G1520">
        <v>96</v>
      </c>
      <c r="H1520" t="s">
        <v>152</v>
      </c>
      <c r="I1520">
        <v>0</v>
      </c>
      <c r="J1520">
        <v>0</v>
      </c>
      <c r="K1520" t="s">
        <v>153</v>
      </c>
      <c r="L1520" t="s">
        <v>154</v>
      </c>
      <c r="M1520" t="s">
        <v>155</v>
      </c>
      <c r="N1520" t="s">
        <v>107</v>
      </c>
      <c r="O1520" t="s">
        <v>97</v>
      </c>
    </row>
    <row r="1521" spans="1:15" x14ac:dyDescent="0.2">
      <c r="A1521">
        <v>115</v>
      </c>
      <c r="B1521">
        <v>116</v>
      </c>
      <c r="C1521">
        <v>115</v>
      </c>
      <c r="D1521">
        <v>114</v>
      </c>
      <c r="E1521" t="s">
        <v>5</v>
      </c>
      <c r="F1521" t="s">
        <v>17</v>
      </c>
      <c r="G1521">
        <v>96</v>
      </c>
      <c r="H1521" t="s">
        <v>152</v>
      </c>
      <c r="I1521">
        <v>0</v>
      </c>
      <c r="J1521">
        <v>0</v>
      </c>
      <c r="K1521" t="s">
        <v>153</v>
      </c>
      <c r="L1521" t="s">
        <v>154</v>
      </c>
      <c r="M1521" t="s">
        <v>155</v>
      </c>
      <c r="N1521" t="s">
        <v>107</v>
      </c>
      <c r="O1521" t="s">
        <v>97</v>
      </c>
    </row>
    <row r="1522" spans="1:15" x14ac:dyDescent="0.2">
      <c r="A1522">
        <v>120</v>
      </c>
      <c r="B1522">
        <v>121</v>
      </c>
      <c r="C1522">
        <v>120</v>
      </c>
      <c r="D1522">
        <v>119</v>
      </c>
      <c r="E1522" t="s">
        <v>5</v>
      </c>
      <c r="F1522" t="s">
        <v>18</v>
      </c>
      <c r="G1522">
        <v>96</v>
      </c>
      <c r="H1522" t="s">
        <v>152</v>
      </c>
      <c r="I1522">
        <v>0</v>
      </c>
      <c r="J1522">
        <v>0</v>
      </c>
      <c r="K1522" t="s">
        <v>153</v>
      </c>
      <c r="L1522" t="s">
        <v>154</v>
      </c>
      <c r="M1522" t="s">
        <v>155</v>
      </c>
      <c r="N1522" t="s">
        <v>107</v>
      </c>
      <c r="O1522" t="s">
        <v>97</v>
      </c>
    </row>
    <row r="1523" spans="1:15" x14ac:dyDescent="0.2">
      <c r="A1523">
        <v>125</v>
      </c>
      <c r="B1523">
        <v>126</v>
      </c>
      <c r="C1523">
        <v>125</v>
      </c>
      <c r="D1523">
        <v>124</v>
      </c>
      <c r="E1523" t="s">
        <v>5</v>
      </c>
      <c r="F1523" t="s">
        <v>19</v>
      </c>
      <c r="G1523">
        <v>96</v>
      </c>
      <c r="H1523" t="s">
        <v>152</v>
      </c>
      <c r="I1523">
        <v>0</v>
      </c>
      <c r="J1523">
        <v>0</v>
      </c>
      <c r="K1523" t="s">
        <v>153</v>
      </c>
      <c r="L1523" t="s">
        <v>154</v>
      </c>
      <c r="M1523" t="s">
        <v>155</v>
      </c>
      <c r="N1523" t="s">
        <v>107</v>
      </c>
      <c r="O1523" t="s">
        <v>97</v>
      </c>
    </row>
    <row r="1524" spans="1:15" x14ac:dyDescent="0.2">
      <c r="A1524">
        <v>130</v>
      </c>
      <c r="B1524">
        <v>131</v>
      </c>
      <c r="C1524">
        <v>130</v>
      </c>
      <c r="D1524">
        <v>129</v>
      </c>
      <c r="E1524" t="s">
        <v>5</v>
      </c>
      <c r="F1524" t="s">
        <v>20</v>
      </c>
      <c r="G1524">
        <v>96</v>
      </c>
      <c r="H1524" t="s">
        <v>152</v>
      </c>
      <c r="I1524">
        <v>0</v>
      </c>
      <c r="J1524">
        <v>0</v>
      </c>
      <c r="K1524" t="s">
        <v>153</v>
      </c>
      <c r="L1524" t="s">
        <v>154</v>
      </c>
      <c r="M1524" t="s">
        <v>155</v>
      </c>
      <c r="N1524" t="s">
        <v>107</v>
      </c>
      <c r="O1524" t="s">
        <v>97</v>
      </c>
    </row>
    <row r="1525" spans="1:15" x14ac:dyDescent="0.2">
      <c r="A1525">
        <v>135</v>
      </c>
      <c r="B1525">
        <v>136</v>
      </c>
      <c r="C1525">
        <v>135</v>
      </c>
      <c r="D1525">
        <v>134</v>
      </c>
      <c r="E1525" t="s">
        <v>5</v>
      </c>
      <c r="F1525" t="s">
        <v>21</v>
      </c>
      <c r="G1525">
        <v>96</v>
      </c>
      <c r="H1525" t="s">
        <v>152</v>
      </c>
      <c r="I1525">
        <v>0</v>
      </c>
      <c r="J1525">
        <v>0</v>
      </c>
      <c r="K1525" t="s">
        <v>153</v>
      </c>
      <c r="L1525" t="s">
        <v>154</v>
      </c>
      <c r="M1525" t="s">
        <v>155</v>
      </c>
      <c r="N1525" t="s">
        <v>107</v>
      </c>
      <c r="O1525" t="s">
        <v>97</v>
      </c>
    </row>
    <row r="1526" spans="1:15" x14ac:dyDescent="0.2">
      <c r="A1526">
        <v>140</v>
      </c>
      <c r="B1526">
        <v>141</v>
      </c>
      <c r="C1526">
        <v>140</v>
      </c>
      <c r="D1526">
        <v>139</v>
      </c>
      <c r="E1526" t="s">
        <v>5</v>
      </c>
      <c r="F1526" t="s">
        <v>22</v>
      </c>
      <c r="G1526">
        <v>96</v>
      </c>
      <c r="H1526" t="s">
        <v>152</v>
      </c>
      <c r="I1526">
        <v>0</v>
      </c>
      <c r="J1526">
        <v>0</v>
      </c>
      <c r="K1526" t="s">
        <v>153</v>
      </c>
      <c r="L1526" t="s">
        <v>154</v>
      </c>
      <c r="M1526" t="s">
        <v>155</v>
      </c>
      <c r="N1526" t="s">
        <v>107</v>
      </c>
      <c r="O1526" t="s">
        <v>97</v>
      </c>
    </row>
    <row r="1527" spans="1:15" x14ac:dyDescent="0.2">
      <c r="A1527">
        <v>145</v>
      </c>
      <c r="B1527">
        <v>146</v>
      </c>
      <c r="C1527">
        <v>145</v>
      </c>
      <c r="D1527">
        <v>144</v>
      </c>
      <c r="E1527" t="s">
        <v>5</v>
      </c>
      <c r="F1527" t="s">
        <v>23</v>
      </c>
      <c r="G1527">
        <v>96</v>
      </c>
      <c r="H1527" t="s">
        <v>152</v>
      </c>
      <c r="I1527">
        <v>0</v>
      </c>
      <c r="J1527">
        <v>0</v>
      </c>
      <c r="K1527" t="s">
        <v>153</v>
      </c>
      <c r="L1527" t="s">
        <v>154</v>
      </c>
      <c r="M1527" t="s">
        <v>155</v>
      </c>
      <c r="N1527" t="s">
        <v>107</v>
      </c>
      <c r="O1527" t="s">
        <v>97</v>
      </c>
    </row>
    <row r="1528" spans="1:15" x14ac:dyDescent="0.2">
      <c r="A1528">
        <v>155</v>
      </c>
      <c r="B1528">
        <v>156</v>
      </c>
      <c r="C1528">
        <v>155</v>
      </c>
      <c r="D1528">
        <v>154</v>
      </c>
      <c r="E1528" t="s">
        <v>5</v>
      </c>
      <c r="F1528" t="s">
        <v>25</v>
      </c>
      <c r="G1528">
        <v>96</v>
      </c>
      <c r="H1528" t="s">
        <v>152</v>
      </c>
      <c r="I1528">
        <v>0</v>
      </c>
      <c r="J1528">
        <v>0</v>
      </c>
      <c r="K1528" t="s">
        <v>153</v>
      </c>
      <c r="L1528" t="s">
        <v>154</v>
      </c>
      <c r="M1528" t="s">
        <v>155</v>
      </c>
      <c r="N1528" t="s">
        <v>107</v>
      </c>
      <c r="O1528" t="s">
        <v>97</v>
      </c>
    </row>
    <row r="1529" spans="1:15" x14ac:dyDescent="0.2">
      <c r="A1529">
        <v>165</v>
      </c>
      <c r="B1529">
        <v>166</v>
      </c>
      <c r="C1529">
        <v>165</v>
      </c>
      <c r="D1529">
        <v>164</v>
      </c>
      <c r="E1529" t="s">
        <v>5</v>
      </c>
      <c r="F1529" t="s">
        <v>27</v>
      </c>
      <c r="G1529">
        <v>96</v>
      </c>
      <c r="H1529" t="s">
        <v>152</v>
      </c>
      <c r="I1529">
        <v>0</v>
      </c>
      <c r="J1529">
        <v>0</v>
      </c>
      <c r="K1529" t="s">
        <v>153</v>
      </c>
      <c r="L1529" t="s">
        <v>154</v>
      </c>
      <c r="M1529" t="s">
        <v>155</v>
      </c>
      <c r="N1529" t="s">
        <v>107</v>
      </c>
      <c r="O1529" t="s">
        <v>97</v>
      </c>
    </row>
    <row r="1530" spans="1:15" x14ac:dyDescent="0.2">
      <c r="A1530">
        <v>170</v>
      </c>
      <c r="B1530">
        <v>171</v>
      </c>
      <c r="C1530">
        <v>170</v>
      </c>
      <c r="D1530">
        <v>169</v>
      </c>
      <c r="E1530" t="s">
        <v>5</v>
      </c>
      <c r="F1530" t="s">
        <v>28</v>
      </c>
      <c r="G1530">
        <v>96</v>
      </c>
      <c r="H1530" t="s">
        <v>152</v>
      </c>
      <c r="I1530">
        <v>0</v>
      </c>
      <c r="J1530">
        <v>0</v>
      </c>
      <c r="K1530" t="s">
        <v>153</v>
      </c>
      <c r="L1530" t="s">
        <v>154</v>
      </c>
      <c r="M1530" t="s">
        <v>155</v>
      </c>
      <c r="N1530" t="s">
        <v>107</v>
      </c>
      <c r="O1530" t="s">
        <v>97</v>
      </c>
    </row>
    <row r="1531" spans="1:15" x14ac:dyDescent="0.2">
      <c r="A1531">
        <v>175</v>
      </c>
      <c r="B1531">
        <v>176</v>
      </c>
      <c r="C1531">
        <v>175</v>
      </c>
      <c r="D1531">
        <v>174</v>
      </c>
      <c r="E1531" t="s">
        <v>5</v>
      </c>
      <c r="F1531" t="s">
        <v>29</v>
      </c>
      <c r="G1531">
        <v>96</v>
      </c>
      <c r="H1531" t="s">
        <v>152</v>
      </c>
      <c r="I1531">
        <v>0</v>
      </c>
      <c r="J1531">
        <v>0</v>
      </c>
      <c r="K1531" t="s">
        <v>153</v>
      </c>
      <c r="L1531" t="s">
        <v>154</v>
      </c>
      <c r="M1531" t="s">
        <v>155</v>
      </c>
      <c r="N1531" t="s">
        <v>107</v>
      </c>
      <c r="O1531" t="s">
        <v>97</v>
      </c>
    </row>
    <row r="1532" spans="1:15" x14ac:dyDescent="0.2">
      <c r="A1532">
        <v>24</v>
      </c>
      <c r="B1532">
        <v>25</v>
      </c>
      <c r="C1532">
        <v>24</v>
      </c>
      <c r="D1532">
        <v>23</v>
      </c>
      <c r="E1532" t="s">
        <v>30</v>
      </c>
      <c r="F1532" t="s">
        <v>33</v>
      </c>
      <c r="G1532">
        <v>96</v>
      </c>
      <c r="H1532" t="s">
        <v>152</v>
      </c>
      <c r="I1532">
        <v>0</v>
      </c>
      <c r="J1532">
        <v>0</v>
      </c>
      <c r="K1532" t="s">
        <v>153</v>
      </c>
      <c r="L1532" t="s">
        <v>154</v>
      </c>
      <c r="M1532" t="s">
        <v>155</v>
      </c>
      <c r="N1532" t="s">
        <v>107</v>
      </c>
      <c r="O1532" t="s">
        <v>97</v>
      </c>
    </row>
    <row r="1533" spans="1:15" x14ac:dyDescent="0.2">
      <c r="A1533">
        <v>29</v>
      </c>
      <c r="B1533">
        <v>30</v>
      </c>
      <c r="C1533">
        <v>29</v>
      </c>
      <c r="D1533">
        <v>28</v>
      </c>
      <c r="E1533" t="s">
        <v>30</v>
      </c>
      <c r="F1533" t="s">
        <v>211</v>
      </c>
      <c r="G1533">
        <v>96</v>
      </c>
      <c r="H1533" t="s">
        <v>152</v>
      </c>
      <c r="I1533">
        <v>0</v>
      </c>
      <c r="J1533">
        <v>0</v>
      </c>
      <c r="K1533" t="s">
        <v>153</v>
      </c>
      <c r="L1533" t="s">
        <v>154</v>
      </c>
      <c r="M1533" t="s">
        <v>155</v>
      </c>
      <c r="N1533" t="s">
        <v>107</v>
      </c>
      <c r="O1533" t="s">
        <v>97</v>
      </c>
    </row>
    <row r="1534" spans="1:15" x14ac:dyDescent="0.2">
      <c r="A1534">
        <v>34</v>
      </c>
      <c r="B1534">
        <v>35</v>
      </c>
      <c r="C1534">
        <v>34</v>
      </c>
      <c r="D1534">
        <v>33</v>
      </c>
      <c r="E1534" t="s">
        <v>30</v>
      </c>
      <c r="F1534" t="s">
        <v>35</v>
      </c>
      <c r="G1534">
        <v>96</v>
      </c>
      <c r="H1534" t="s">
        <v>152</v>
      </c>
      <c r="I1534">
        <v>0</v>
      </c>
      <c r="J1534">
        <v>0</v>
      </c>
      <c r="K1534" t="s">
        <v>153</v>
      </c>
      <c r="L1534" t="s">
        <v>154</v>
      </c>
      <c r="M1534" t="s">
        <v>155</v>
      </c>
      <c r="N1534" t="s">
        <v>107</v>
      </c>
      <c r="O1534" t="s">
        <v>97</v>
      </c>
    </row>
    <row r="1535" spans="1:15" x14ac:dyDescent="0.2">
      <c r="A1535">
        <v>39</v>
      </c>
      <c r="B1535">
        <v>40</v>
      </c>
      <c r="C1535">
        <v>39</v>
      </c>
      <c r="D1535">
        <v>38</v>
      </c>
      <c r="E1535" t="s">
        <v>30</v>
      </c>
      <c r="F1535" t="s">
        <v>36</v>
      </c>
      <c r="G1535">
        <v>96</v>
      </c>
      <c r="H1535" t="s">
        <v>152</v>
      </c>
      <c r="I1535">
        <v>0</v>
      </c>
      <c r="J1535">
        <v>0</v>
      </c>
      <c r="K1535" t="s">
        <v>153</v>
      </c>
      <c r="L1535" t="s">
        <v>154</v>
      </c>
      <c r="M1535" t="s">
        <v>155</v>
      </c>
      <c r="N1535" t="s">
        <v>107</v>
      </c>
      <c r="O1535" t="s">
        <v>97</v>
      </c>
    </row>
    <row r="1536" spans="1:15" x14ac:dyDescent="0.2">
      <c r="A1536">
        <v>223</v>
      </c>
      <c r="B1536">
        <v>224</v>
      </c>
      <c r="C1536">
        <v>223</v>
      </c>
      <c r="D1536">
        <v>222</v>
      </c>
      <c r="E1536" t="s">
        <v>30</v>
      </c>
      <c r="F1536" t="s">
        <v>37</v>
      </c>
      <c r="G1536">
        <v>96</v>
      </c>
      <c r="H1536" t="s">
        <v>152</v>
      </c>
      <c r="I1536">
        <v>0</v>
      </c>
      <c r="J1536">
        <v>0</v>
      </c>
      <c r="K1536" t="s">
        <v>153</v>
      </c>
      <c r="L1536" t="s">
        <v>154</v>
      </c>
      <c r="M1536" t="s">
        <v>155</v>
      </c>
      <c r="N1536" t="s">
        <v>107</v>
      </c>
      <c r="O1536" t="s">
        <v>97</v>
      </c>
    </row>
    <row r="1537" spans="1:15" x14ac:dyDescent="0.2">
      <c r="A1537">
        <v>54</v>
      </c>
      <c r="B1537">
        <v>55</v>
      </c>
      <c r="C1537">
        <v>54</v>
      </c>
      <c r="D1537">
        <v>53</v>
      </c>
      <c r="E1537" t="s">
        <v>30</v>
      </c>
      <c r="F1537" t="s">
        <v>39</v>
      </c>
      <c r="G1537">
        <v>96</v>
      </c>
      <c r="H1537" t="s">
        <v>152</v>
      </c>
      <c r="I1537">
        <v>0</v>
      </c>
      <c r="J1537">
        <v>0</v>
      </c>
      <c r="K1537" t="s">
        <v>153</v>
      </c>
      <c r="L1537" t="s">
        <v>154</v>
      </c>
      <c r="M1537" t="s">
        <v>155</v>
      </c>
      <c r="N1537" t="s">
        <v>107</v>
      </c>
      <c r="O1537" t="s">
        <v>97</v>
      </c>
    </row>
    <row r="1538" spans="1:15" x14ac:dyDescent="0.2">
      <c r="A1538">
        <v>181</v>
      </c>
      <c r="B1538">
        <v>182</v>
      </c>
      <c r="C1538">
        <v>181</v>
      </c>
      <c r="D1538">
        <v>180</v>
      </c>
      <c r="E1538" t="s">
        <v>40</v>
      </c>
      <c r="F1538" t="s">
        <v>41</v>
      </c>
      <c r="G1538">
        <v>96</v>
      </c>
      <c r="H1538" t="s">
        <v>152</v>
      </c>
      <c r="I1538">
        <v>0</v>
      </c>
      <c r="J1538">
        <v>0</v>
      </c>
      <c r="K1538" t="s">
        <v>153</v>
      </c>
      <c r="L1538" t="s">
        <v>154</v>
      </c>
      <c r="M1538" t="s">
        <v>155</v>
      </c>
      <c r="N1538" t="s">
        <v>107</v>
      </c>
      <c r="O1538" t="s">
        <v>97</v>
      </c>
    </row>
    <row r="1539" spans="1:15" x14ac:dyDescent="0.2">
      <c r="A1539">
        <v>186</v>
      </c>
      <c r="B1539">
        <v>187</v>
      </c>
      <c r="C1539">
        <v>186</v>
      </c>
      <c r="D1539">
        <v>185</v>
      </c>
      <c r="E1539" t="s">
        <v>40</v>
      </c>
      <c r="F1539" t="s">
        <v>42</v>
      </c>
      <c r="G1539">
        <v>96</v>
      </c>
      <c r="H1539" t="s">
        <v>152</v>
      </c>
      <c r="I1539">
        <v>0</v>
      </c>
      <c r="J1539">
        <v>0</v>
      </c>
      <c r="K1539" t="s">
        <v>153</v>
      </c>
      <c r="L1539" t="s">
        <v>154</v>
      </c>
      <c r="M1539" t="s">
        <v>155</v>
      </c>
      <c r="N1539" t="s">
        <v>107</v>
      </c>
      <c r="O1539" t="s">
        <v>97</v>
      </c>
    </row>
    <row r="1540" spans="1:15" x14ac:dyDescent="0.2">
      <c r="A1540">
        <v>206</v>
      </c>
      <c r="B1540">
        <v>207</v>
      </c>
      <c r="C1540">
        <v>206</v>
      </c>
      <c r="D1540">
        <v>205</v>
      </c>
      <c r="E1540" t="s">
        <v>40</v>
      </c>
      <c r="F1540" t="s">
        <v>43</v>
      </c>
      <c r="G1540">
        <v>96</v>
      </c>
      <c r="H1540" t="s">
        <v>152</v>
      </c>
      <c r="I1540">
        <v>0</v>
      </c>
      <c r="J1540">
        <v>0</v>
      </c>
      <c r="K1540" t="s">
        <v>153</v>
      </c>
      <c r="L1540" t="s">
        <v>154</v>
      </c>
      <c r="M1540" t="s">
        <v>155</v>
      </c>
      <c r="N1540" t="s">
        <v>107</v>
      </c>
      <c r="O1540" t="s">
        <v>97</v>
      </c>
    </row>
    <row r="1541" spans="1:15" x14ac:dyDescent="0.2">
      <c r="A1541">
        <v>217</v>
      </c>
      <c r="B1541">
        <v>218</v>
      </c>
      <c r="C1541">
        <v>217</v>
      </c>
      <c r="D1541">
        <v>216</v>
      </c>
      <c r="E1541" t="s">
        <v>44</v>
      </c>
      <c r="F1541" t="s">
        <v>45</v>
      </c>
      <c r="G1541">
        <v>96</v>
      </c>
      <c r="H1541" t="s">
        <v>152</v>
      </c>
      <c r="I1541">
        <v>0</v>
      </c>
      <c r="J1541">
        <v>0</v>
      </c>
      <c r="K1541" t="s">
        <v>153</v>
      </c>
      <c r="L1541" t="s">
        <v>154</v>
      </c>
      <c r="M1541" t="s">
        <v>155</v>
      </c>
      <c r="N1541" t="s">
        <v>107</v>
      </c>
      <c r="O1541" t="s">
        <v>97</v>
      </c>
    </row>
    <row r="1542" spans="1:15" x14ac:dyDescent="0.2">
      <c r="A1542">
        <v>405</v>
      </c>
      <c r="B1542">
        <v>406</v>
      </c>
      <c r="C1542">
        <v>405</v>
      </c>
      <c r="D1542">
        <v>404</v>
      </c>
      <c r="E1542" t="s">
        <v>57</v>
      </c>
      <c r="F1542" t="s">
        <v>77</v>
      </c>
      <c r="G1542">
        <v>1</v>
      </c>
      <c r="H1542" t="s">
        <v>92</v>
      </c>
      <c r="I1542">
        <v>0.2</v>
      </c>
      <c r="J1542">
        <v>0.2</v>
      </c>
      <c r="K1542" t="s">
        <v>93</v>
      </c>
      <c r="L1542" t="s">
        <v>94</v>
      </c>
      <c r="M1542" t="s">
        <v>95</v>
      </c>
      <c r="N1542" t="s">
        <v>96</v>
      </c>
      <c r="O1542" t="s">
        <v>97</v>
      </c>
    </row>
    <row r="1543" spans="1:15" x14ac:dyDescent="0.2">
      <c r="A1543">
        <v>405</v>
      </c>
      <c r="B1543">
        <v>406</v>
      </c>
      <c r="C1543">
        <v>405</v>
      </c>
      <c r="D1543">
        <v>404</v>
      </c>
      <c r="E1543" t="s">
        <v>57</v>
      </c>
      <c r="F1543" t="s">
        <v>77</v>
      </c>
      <c r="G1543">
        <v>2</v>
      </c>
      <c r="H1543" t="s">
        <v>98</v>
      </c>
      <c r="I1543">
        <v>0.5</v>
      </c>
      <c r="J1543">
        <v>0.5</v>
      </c>
      <c r="K1543" t="s">
        <v>93</v>
      </c>
      <c r="L1543" t="s">
        <v>99</v>
      </c>
      <c r="M1543" t="s">
        <v>95</v>
      </c>
      <c r="N1543" t="s">
        <v>96</v>
      </c>
      <c r="O1543" t="s">
        <v>97</v>
      </c>
    </row>
    <row r="1544" spans="1:15" x14ac:dyDescent="0.2">
      <c r="A1544">
        <v>405</v>
      </c>
      <c r="B1544">
        <v>406</v>
      </c>
      <c r="C1544">
        <v>405</v>
      </c>
      <c r="D1544">
        <v>404</v>
      </c>
      <c r="E1544" t="s">
        <v>57</v>
      </c>
      <c r="F1544" t="s">
        <v>77</v>
      </c>
      <c r="G1544">
        <v>3</v>
      </c>
      <c r="H1544" t="s">
        <v>100</v>
      </c>
      <c r="I1544">
        <v>0</v>
      </c>
      <c r="J1544">
        <v>1</v>
      </c>
      <c r="K1544" t="s">
        <v>101</v>
      </c>
      <c r="L1544" t="s">
        <v>102</v>
      </c>
      <c r="M1544" t="s">
        <v>103</v>
      </c>
      <c r="N1544" t="s">
        <v>96</v>
      </c>
      <c r="O1544" t="s">
        <v>97</v>
      </c>
    </row>
    <row r="1545" spans="1:15" x14ac:dyDescent="0.2">
      <c r="A1545">
        <v>405</v>
      </c>
      <c r="B1545">
        <v>406</v>
      </c>
      <c r="C1545">
        <v>405</v>
      </c>
      <c r="D1545">
        <v>404</v>
      </c>
      <c r="E1545" t="s">
        <v>57</v>
      </c>
      <c r="F1545" t="s">
        <v>77</v>
      </c>
      <c r="G1545">
        <v>4</v>
      </c>
      <c r="H1545" t="s">
        <v>104</v>
      </c>
      <c r="I1545">
        <v>0</v>
      </c>
      <c r="J1545">
        <v>1</v>
      </c>
      <c r="K1545" t="s">
        <v>101</v>
      </c>
      <c r="L1545" t="s">
        <v>105</v>
      </c>
      <c r="M1545" t="s">
        <v>106</v>
      </c>
      <c r="N1545" t="s">
        <v>107</v>
      </c>
      <c r="O1545" t="s">
        <v>97</v>
      </c>
    </row>
    <row r="1546" spans="1:15" x14ac:dyDescent="0.2">
      <c r="A1546">
        <v>405</v>
      </c>
      <c r="B1546">
        <v>406</v>
      </c>
      <c r="C1546">
        <v>405</v>
      </c>
      <c r="D1546">
        <v>404</v>
      </c>
      <c r="E1546" t="s">
        <v>57</v>
      </c>
      <c r="F1546" t="s">
        <v>77</v>
      </c>
      <c r="G1546">
        <v>5</v>
      </c>
      <c r="H1546" t="s">
        <v>108</v>
      </c>
      <c r="I1546">
        <v>0</v>
      </c>
      <c r="J1546">
        <v>1</v>
      </c>
      <c r="K1546" t="s">
        <v>101</v>
      </c>
      <c r="L1546" t="s">
        <v>109</v>
      </c>
      <c r="M1546" t="s">
        <v>110</v>
      </c>
      <c r="N1546" t="s">
        <v>107</v>
      </c>
      <c r="O1546" t="s">
        <v>97</v>
      </c>
    </row>
    <row r="1547" spans="1:15" x14ac:dyDescent="0.2">
      <c r="A1547">
        <v>405</v>
      </c>
      <c r="B1547">
        <v>406</v>
      </c>
      <c r="C1547">
        <v>405</v>
      </c>
      <c r="D1547">
        <v>404</v>
      </c>
      <c r="E1547" t="s">
        <v>57</v>
      </c>
      <c r="F1547" t="s">
        <v>77</v>
      </c>
      <c r="G1547">
        <v>9</v>
      </c>
      <c r="H1547" t="s">
        <v>111</v>
      </c>
      <c r="I1547">
        <v>0</v>
      </c>
      <c r="J1547">
        <v>0.5</v>
      </c>
      <c r="K1547" t="s">
        <v>112</v>
      </c>
      <c r="L1547" t="s">
        <v>113</v>
      </c>
      <c r="M1547" t="s">
        <v>114</v>
      </c>
      <c r="N1547" t="s">
        <v>96</v>
      </c>
      <c r="O1547" t="s">
        <v>97</v>
      </c>
    </row>
    <row r="1548" spans="1:15" x14ac:dyDescent="0.2">
      <c r="A1548">
        <v>405</v>
      </c>
      <c r="B1548">
        <v>406</v>
      </c>
      <c r="C1548">
        <v>405</v>
      </c>
      <c r="D1548">
        <v>404</v>
      </c>
      <c r="E1548" t="s">
        <v>57</v>
      </c>
      <c r="F1548" t="s">
        <v>77</v>
      </c>
      <c r="G1548">
        <v>10</v>
      </c>
      <c r="H1548" t="s">
        <v>115</v>
      </c>
      <c r="I1548">
        <v>0</v>
      </c>
      <c r="J1548">
        <v>0.5</v>
      </c>
      <c r="K1548" t="s">
        <v>112</v>
      </c>
      <c r="L1548" t="s">
        <v>116</v>
      </c>
      <c r="M1548" t="s">
        <v>117</v>
      </c>
      <c r="N1548" t="s">
        <v>96</v>
      </c>
      <c r="O1548" t="s">
        <v>97</v>
      </c>
    </row>
    <row r="1549" spans="1:15" x14ac:dyDescent="0.2">
      <c r="A1549">
        <v>405</v>
      </c>
      <c r="B1549">
        <v>406</v>
      </c>
      <c r="C1549">
        <v>405</v>
      </c>
      <c r="D1549">
        <v>404</v>
      </c>
      <c r="E1549" t="s">
        <v>57</v>
      </c>
      <c r="F1549" t="s">
        <v>77</v>
      </c>
      <c r="G1549">
        <v>11</v>
      </c>
      <c r="H1549" t="s">
        <v>118</v>
      </c>
      <c r="I1549">
        <v>0.5</v>
      </c>
      <c r="J1549">
        <v>1</v>
      </c>
      <c r="K1549" t="s">
        <v>112</v>
      </c>
      <c r="L1549" t="s">
        <v>119</v>
      </c>
      <c r="M1549" t="s">
        <v>120</v>
      </c>
      <c r="N1549" t="s">
        <v>107</v>
      </c>
      <c r="O1549" t="s">
        <v>97</v>
      </c>
    </row>
    <row r="1550" spans="1:15" x14ac:dyDescent="0.2">
      <c r="A1550">
        <v>405</v>
      </c>
      <c r="B1550">
        <v>406</v>
      </c>
      <c r="C1550">
        <v>405</v>
      </c>
      <c r="D1550">
        <v>404</v>
      </c>
      <c r="E1550" t="s">
        <v>57</v>
      </c>
      <c r="F1550" t="s">
        <v>77</v>
      </c>
      <c r="G1550">
        <v>12</v>
      </c>
      <c r="H1550" t="s">
        <v>121</v>
      </c>
      <c r="I1550">
        <v>0</v>
      </c>
      <c r="J1550">
        <v>0.5</v>
      </c>
      <c r="K1550" t="s">
        <v>122</v>
      </c>
      <c r="L1550" t="s">
        <v>113</v>
      </c>
      <c r="M1550" t="s">
        <v>123</v>
      </c>
      <c r="N1550" t="s">
        <v>96</v>
      </c>
      <c r="O1550" t="s">
        <v>97</v>
      </c>
    </row>
    <row r="1551" spans="1:15" x14ac:dyDescent="0.2">
      <c r="A1551">
        <v>405</v>
      </c>
      <c r="B1551">
        <v>406</v>
      </c>
      <c r="C1551">
        <v>405</v>
      </c>
      <c r="D1551">
        <v>404</v>
      </c>
      <c r="E1551" t="s">
        <v>57</v>
      </c>
      <c r="F1551" t="s">
        <v>77</v>
      </c>
      <c r="G1551">
        <v>13</v>
      </c>
      <c r="H1551" t="s">
        <v>124</v>
      </c>
      <c r="I1551">
        <v>0</v>
      </c>
      <c r="J1551">
        <v>0.5</v>
      </c>
      <c r="K1551" t="s">
        <v>122</v>
      </c>
      <c r="L1551" t="s">
        <v>125</v>
      </c>
      <c r="M1551" t="s">
        <v>126</v>
      </c>
      <c r="N1551" t="s">
        <v>96</v>
      </c>
      <c r="O1551" t="s">
        <v>97</v>
      </c>
    </row>
    <row r="1552" spans="1:15" x14ac:dyDescent="0.2">
      <c r="A1552">
        <v>405</v>
      </c>
      <c r="B1552">
        <v>406</v>
      </c>
      <c r="C1552">
        <v>405</v>
      </c>
      <c r="D1552">
        <v>404</v>
      </c>
      <c r="E1552" t="s">
        <v>57</v>
      </c>
      <c r="F1552" t="s">
        <v>77</v>
      </c>
      <c r="G1552">
        <v>14</v>
      </c>
      <c r="H1552" t="s">
        <v>127</v>
      </c>
      <c r="I1552">
        <v>0.5</v>
      </c>
      <c r="J1552">
        <v>1</v>
      </c>
      <c r="K1552" t="s">
        <v>122</v>
      </c>
      <c r="L1552" t="s">
        <v>119</v>
      </c>
      <c r="M1552" t="s">
        <v>128</v>
      </c>
      <c r="N1552" t="s">
        <v>107</v>
      </c>
      <c r="O1552" t="s">
        <v>97</v>
      </c>
    </row>
    <row r="1553" spans="1:15" x14ac:dyDescent="0.2">
      <c r="A1553">
        <v>405</v>
      </c>
      <c r="B1553">
        <v>406</v>
      </c>
      <c r="C1553">
        <v>405</v>
      </c>
      <c r="D1553">
        <v>404</v>
      </c>
      <c r="E1553" t="s">
        <v>57</v>
      </c>
      <c r="F1553" t="s">
        <v>77</v>
      </c>
      <c r="G1553">
        <v>15</v>
      </c>
      <c r="H1553" t="s">
        <v>129</v>
      </c>
      <c r="I1553">
        <v>0</v>
      </c>
      <c r="J1553">
        <v>1</v>
      </c>
      <c r="K1553" t="s">
        <v>130</v>
      </c>
      <c r="L1553" t="s">
        <v>131</v>
      </c>
      <c r="M1553" t="s">
        <v>132</v>
      </c>
      <c r="N1553" t="s">
        <v>107</v>
      </c>
      <c r="O1553" t="s">
        <v>97</v>
      </c>
    </row>
    <row r="1554" spans="1:15" x14ac:dyDescent="0.2">
      <c r="A1554">
        <v>405</v>
      </c>
      <c r="B1554">
        <v>406</v>
      </c>
      <c r="C1554">
        <v>405</v>
      </c>
      <c r="D1554">
        <v>404</v>
      </c>
      <c r="E1554" t="s">
        <v>57</v>
      </c>
      <c r="F1554" t="s">
        <v>77</v>
      </c>
      <c r="G1554">
        <v>16</v>
      </c>
      <c r="H1554" t="s">
        <v>133</v>
      </c>
      <c r="I1554">
        <v>0</v>
      </c>
      <c r="J1554">
        <v>0</v>
      </c>
      <c r="K1554" t="e">
        <v>#N/A</v>
      </c>
      <c r="L1554" t="e">
        <v>#N/A</v>
      </c>
      <c r="M1554" t="e">
        <v>#N/A</v>
      </c>
      <c r="N1554" t="e">
        <v>#N/A</v>
      </c>
      <c r="O1554" t="s">
        <v>97</v>
      </c>
    </row>
    <row r="1555" spans="1:15" x14ac:dyDescent="0.2">
      <c r="A1555">
        <v>405</v>
      </c>
      <c r="B1555">
        <v>406</v>
      </c>
      <c r="C1555">
        <v>405</v>
      </c>
      <c r="D1555">
        <v>404</v>
      </c>
      <c r="E1555" t="s">
        <v>57</v>
      </c>
      <c r="F1555" t="s">
        <v>77</v>
      </c>
      <c r="G1555">
        <v>17</v>
      </c>
      <c r="H1555" t="s">
        <v>134</v>
      </c>
      <c r="I1555">
        <v>0.5</v>
      </c>
      <c r="J1555">
        <v>1</v>
      </c>
      <c r="K1555" t="s">
        <v>112</v>
      </c>
      <c r="L1555" t="s">
        <v>135</v>
      </c>
      <c r="M1555" t="s">
        <v>136</v>
      </c>
      <c r="N1555" t="s">
        <v>107</v>
      </c>
      <c r="O1555" t="s">
        <v>97</v>
      </c>
    </row>
    <row r="1556" spans="1:15" x14ac:dyDescent="0.2">
      <c r="A1556">
        <v>405</v>
      </c>
      <c r="B1556">
        <v>406</v>
      </c>
      <c r="C1556">
        <v>405</v>
      </c>
      <c r="D1556">
        <v>404</v>
      </c>
      <c r="E1556" t="s">
        <v>57</v>
      </c>
      <c r="F1556" t="s">
        <v>77</v>
      </c>
      <c r="G1556">
        <v>18</v>
      </c>
      <c r="H1556" t="s">
        <v>137</v>
      </c>
      <c r="I1556">
        <v>1</v>
      </c>
      <c r="J1556">
        <v>1</v>
      </c>
      <c r="K1556" t="s">
        <v>112</v>
      </c>
      <c r="L1556" t="s">
        <v>138</v>
      </c>
      <c r="M1556" t="s">
        <v>139</v>
      </c>
      <c r="N1556" t="s">
        <v>107</v>
      </c>
      <c r="O1556" t="s">
        <v>97</v>
      </c>
    </row>
    <row r="1557" spans="1:15" x14ac:dyDescent="0.2">
      <c r="A1557">
        <v>405</v>
      </c>
      <c r="B1557">
        <v>406</v>
      </c>
      <c r="C1557">
        <v>405</v>
      </c>
      <c r="D1557">
        <v>404</v>
      </c>
      <c r="E1557" t="s">
        <v>57</v>
      </c>
      <c r="F1557" t="s">
        <v>77</v>
      </c>
      <c r="G1557">
        <v>19</v>
      </c>
      <c r="H1557" t="s">
        <v>140</v>
      </c>
      <c r="I1557">
        <v>0</v>
      </c>
      <c r="J1557">
        <v>1</v>
      </c>
      <c r="K1557" t="s">
        <v>122</v>
      </c>
      <c r="L1557" t="s">
        <v>141</v>
      </c>
      <c r="M1557" t="s">
        <v>142</v>
      </c>
      <c r="N1557" t="s">
        <v>107</v>
      </c>
      <c r="O1557" t="s">
        <v>97</v>
      </c>
    </row>
    <row r="1558" spans="1:15" x14ac:dyDescent="0.2">
      <c r="A1558">
        <v>405</v>
      </c>
      <c r="B1558">
        <v>406</v>
      </c>
      <c r="C1558">
        <v>405</v>
      </c>
      <c r="D1558">
        <v>404</v>
      </c>
      <c r="E1558" t="s">
        <v>57</v>
      </c>
      <c r="F1558" t="s">
        <v>77</v>
      </c>
      <c r="G1558">
        <v>20</v>
      </c>
      <c r="H1558" t="s">
        <v>143</v>
      </c>
      <c r="I1558">
        <v>1</v>
      </c>
      <c r="J1558">
        <v>1</v>
      </c>
      <c r="K1558" t="s">
        <v>122</v>
      </c>
      <c r="L1558" t="s">
        <v>144</v>
      </c>
      <c r="M1558" t="s">
        <v>145</v>
      </c>
      <c r="N1558" t="s">
        <v>107</v>
      </c>
      <c r="O1558" t="s">
        <v>97</v>
      </c>
    </row>
    <row r="1559" spans="1:15" x14ac:dyDescent="0.2">
      <c r="A1559">
        <v>405</v>
      </c>
      <c r="B1559">
        <v>406</v>
      </c>
      <c r="C1559">
        <v>405</v>
      </c>
      <c r="D1559">
        <v>404</v>
      </c>
      <c r="E1559" t="s">
        <v>57</v>
      </c>
      <c r="F1559" t="s">
        <v>77</v>
      </c>
      <c r="G1559">
        <v>21</v>
      </c>
      <c r="H1559" t="s">
        <v>146</v>
      </c>
      <c r="I1559">
        <v>0</v>
      </c>
      <c r="J1559">
        <v>1</v>
      </c>
      <c r="K1559" t="s">
        <v>147</v>
      </c>
      <c r="L1559" t="s">
        <v>148</v>
      </c>
      <c r="M1559" t="s">
        <v>149</v>
      </c>
      <c r="N1559" t="s">
        <v>96</v>
      </c>
      <c r="O1559" t="s">
        <v>97</v>
      </c>
    </row>
    <row r="1560" spans="1:15" x14ac:dyDescent="0.2">
      <c r="A1560">
        <v>405</v>
      </c>
      <c r="B1560">
        <v>406</v>
      </c>
      <c r="C1560">
        <v>405</v>
      </c>
      <c r="D1560">
        <v>404</v>
      </c>
      <c r="E1560" t="s">
        <v>57</v>
      </c>
      <c r="F1560" t="s">
        <v>77</v>
      </c>
      <c r="G1560">
        <v>22</v>
      </c>
      <c r="H1560" t="s">
        <v>150</v>
      </c>
      <c r="I1560">
        <v>0</v>
      </c>
      <c r="J1560">
        <v>1</v>
      </c>
      <c r="K1560" t="s">
        <v>147</v>
      </c>
      <c r="L1560" t="s">
        <v>151</v>
      </c>
      <c r="M1560" t="s">
        <v>149</v>
      </c>
      <c r="N1560" t="s">
        <v>107</v>
      </c>
      <c r="O1560" t="s">
        <v>97</v>
      </c>
    </row>
    <row r="1561" spans="1:15" x14ac:dyDescent="0.2">
      <c r="A1561">
        <v>405</v>
      </c>
      <c r="B1561">
        <v>406</v>
      </c>
      <c r="C1561">
        <v>405</v>
      </c>
      <c r="D1561">
        <v>404</v>
      </c>
      <c r="E1561" t="s">
        <v>57</v>
      </c>
      <c r="F1561" t="s">
        <v>77</v>
      </c>
      <c r="G1561">
        <v>23</v>
      </c>
      <c r="H1561" t="s">
        <v>152</v>
      </c>
      <c r="I1561">
        <v>0</v>
      </c>
      <c r="J1561">
        <v>0</v>
      </c>
      <c r="K1561" t="s">
        <v>153</v>
      </c>
      <c r="L1561" t="s">
        <v>154</v>
      </c>
      <c r="M1561" t="s">
        <v>155</v>
      </c>
      <c r="N1561" t="s">
        <v>107</v>
      </c>
      <c r="O1561" t="s">
        <v>97</v>
      </c>
    </row>
    <row r="1562" spans="1:15" x14ac:dyDescent="0.2">
      <c r="A1562">
        <v>405</v>
      </c>
      <c r="B1562">
        <v>406</v>
      </c>
      <c r="C1562">
        <v>405</v>
      </c>
      <c r="D1562">
        <v>404</v>
      </c>
      <c r="E1562" t="s">
        <v>57</v>
      </c>
      <c r="F1562" t="s">
        <v>77</v>
      </c>
      <c r="G1562">
        <v>24</v>
      </c>
      <c r="H1562" t="s">
        <v>156</v>
      </c>
      <c r="I1562">
        <v>0.5</v>
      </c>
      <c r="J1562">
        <v>0.5</v>
      </c>
      <c r="K1562" t="s">
        <v>122</v>
      </c>
      <c r="L1562" t="s">
        <v>157</v>
      </c>
      <c r="M1562" t="s">
        <v>158</v>
      </c>
      <c r="N1562" t="s">
        <v>107</v>
      </c>
      <c r="O1562" t="s">
        <v>97</v>
      </c>
    </row>
    <row r="1563" spans="1:15" x14ac:dyDescent="0.2">
      <c r="A1563">
        <v>405</v>
      </c>
      <c r="B1563">
        <v>406</v>
      </c>
      <c r="C1563">
        <v>405</v>
      </c>
      <c r="D1563">
        <v>404</v>
      </c>
      <c r="E1563" t="s">
        <v>57</v>
      </c>
      <c r="F1563" t="s">
        <v>77</v>
      </c>
      <c r="G1563">
        <v>25</v>
      </c>
      <c r="H1563" t="s">
        <v>156</v>
      </c>
      <c r="I1563">
        <v>0.5</v>
      </c>
      <c r="J1563">
        <v>0.5</v>
      </c>
      <c r="K1563" t="s">
        <v>122</v>
      </c>
      <c r="L1563" t="s">
        <v>157</v>
      </c>
      <c r="M1563" t="s">
        <v>158</v>
      </c>
      <c r="N1563" t="s">
        <v>107</v>
      </c>
      <c r="O1563" t="s">
        <v>97</v>
      </c>
    </row>
    <row r="1564" spans="1:15" x14ac:dyDescent="0.2">
      <c r="A1564">
        <v>405</v>
      </c>
      <c r="B1564">
        <v>406</v>
      </c>
      <c r="C1564">
        <v>405</v>
      </c>
      <c r="D1564">
        <v>404</v>
      </c>
      <c r="E1564" t="s">
        <v>57</v>
      </c>
      <c r="F1564" t="s">
        <v>77</v>
      </c>
      <c r="G1564">
        <v>26</v>
      </c>
      <c r="H1564" t="s">
        <v>152</v>
      </c>
      <c r="I1564">
        <v>0</v>
      </c>
      <c r="J1564">
        <v>0</v>
      </c>
      <c r="K1564" t="s">
        <v>153</v>
      </c>
      <c r="L1564" t="s">
        <v>154</v>
      </c>
      <c r="M1564" t="s">
        <v>155</v>
      </c>
      <c r="N1564" t="s">
        <v>107</v>
      </c>
      <c r="O1564" t="s">
        <v>97</v>
      </c>
    </row>
    <row r="1565" spans="1:15" x14ac:dyDescent="0.2">
      <c r="A1565">
        <v>405</v>
      </c>
      <c r="B1565">
        <v>406</v>
      </c>
      <c r="C1565">
        <v>405</v>
      </c>
      <c r="D1565">
        <v>404</v>
      </c>
      <c r="E1565" t="s">
        <v>57</v>
      </c>
      <c r="F1565" t="s">
        <v>77</v>
      </c>
      <c r="G1565">
        <v>27</v>
      </c>
      <c r="H1565" t="s">
        <v>159</v>
      </c>
      <c r="I1565">
        <v>0</v>
      </c>
      <c r="J1565">
        <v>0.5</v>
      </c>
      <c r="K1565" t="s">
        <v>122</v>
      </c>
      <c r="L1565" t="s">
        <v>160</v>
      </c>
      <c r="M1565" t="s">
        <v>161</v>
      </c>
      <c r="N1565" t="s">
        <v>107</v>
      </c>
      <c r="O1565" t="s">
        <v>97</v>
      </c>
    </row>
    <row r="1566" spans="1:15" x14ac:dyDescent="0.2">
      <c r="A1566">
        <v>405</v>
      </c>
      <c r="B1566">
        <v>406</v>
      </c>
      <c r="C1566">
        <v>405</v>
      </c>
      <c r="D1566">
        <v>404</v>
      </c>
      <c r="E1566" t="s">
        <v>57</v>
      </c>
      <c r="F1566" t="s">
        <v>77</v>
      </c>
      <c r="G1566">
        <v>28</v>
      </c>
      <c r="H1566" t="s">
        <v>159</v>
      </c>
      <c r="I1566">
        <v>0</v>
      </c>
      <c r="J1566">
        <v>0.5</v>
      </c>
      <c r="K1566" t="s">
        <v>122</v>
      </c>
      <c r="L1566" t="s">
        <v>160</v>
      </c>
      <c r="M1566" t="s">
        <v>161</v>
      </c>
      <c r="N1566" t="s">
        <v>107</v>
      </c>
      <c r="O1566" t="s">
        <v>97</v>
      </c>
    </row>
    <row r="1567" spans="1:15" x14ac:dyDescent="0.2">
      <c r="A1567">
        <v>405</v>
      </c>
      <c r="B1567">
        <v>406</v>
      </c>
      <c r="C1567">
        <v>405</v>
      </c>
      <c r="D1567">
        <v>404</v>
      </c>
      <c r="E1567" t="s">
        <v>57</v>
      </c>
      <c r="F1567" t="s">
        <v>77</v>
      </c>
      <c r="G1567">
        <v>29</v>
      </c>
      <c r="H1567" t="s">
        <v>152</v>
      </c>
      <c r="I1567">
        <v>0</v>
      </c>
      <c r="J1567">
        <v>0</v>
      </c>
      <c r="K1567" t="s">
        <v>153</v>
      </c>
      <c r="L1567" t="s">
        <v>154</v>
      </c>
      <c r="M1567" t="s">
        <v>155</v>
      </c>
      <c r="N1567" t="s">
        <v>107</v>
      </c>
      <c r="O1567" t="s">
        <v>97</v>
      </c>
    </row>
    <row r="1568" spans="1:15" x14ac:dyDescent="0.2">
      <c r="A1568">
        <v>405</v>
      </c>
      <c r="B1568">
        <v>406</v>
      </c>
      <c r="C1568">
        <v>405</v>
      </c>
      <c r="D1568">
        <v>404</v>
      </c>
      <c r="E1568" t="s">
        <v>57</v>
      </c>
      <c r="F1568" t="s">
        <v>77</v>
      </c>
      <c r="G1568">
        <v>30</v>
      </c>
      <c r="H1568" t="s">
        <v>162</v>
      </c>
      <c r="I1568">
        <v>0.5</v>
      </c>
      <c r="J1568">
        <v>1</v>
      </c>
      <c r="K1568" t="s">
        <v>112</v>
      </c>
      <c r="L1568" t="s">
        <v>163</v>
      </c>
      <c r="M1568" t="s">
        <v>164</v>
      </c>
      <c r="N1568" t="s">
        <v>107</v>
      </c>
      <c r="O1568" t="s">
        <v>97</v>
      </c>
    </row>
    <row r="1569" spans="1:15" x14ac:dyDescent="0.2">
      <c r="A1569">
        <v>405</v>
      </c>
      <c r="B1569">
        <v>406</v>
      </c>
      <c r="C1569">
        <v>405</v>
      </c>
      <c r="D1569">
        <v>404</v>
      </c>
      <c r="E1569" t="s">
        <v>57</v>
      </c>
      <c r="F1569" t="s">
        <v>77</v>
      </c>
      <c r="G1569">
        <v>31</v>
      </c>
      <c r="H1569" t="s">
        <v>162</v>
      </c>
      <c r="I1569">
        <v>0</v>
      </c>
      <c r="J1569">
        <v>0</v>
      </c>
      <c r="K1569" t="s">
        <v>112</v>
      </c>
      <c r="L1569" t="s">
        <v>163</v>
      </c>
      <c r="M1569" t="s">
        <v>164</v>
      </c>
      <c r="N1569" t="s">
        <v>107</v>
      </c>
      <c r="O1569" t="s">
        <v>97</v>
      </c>
    </row>
    <row r="1570" spans="1:15" x14ac:dyDescent="0.2">
      <c r="A1570">
        <v>405</v>
      </c>
      <c r="B1570">
        <v>406</v>
      </c>
      <c r="C1570">
        <v>405</v>
      </c>
      <c r="D1570">
        <v>404</v>
      </c>
      <c r="E1570" t="s">
        <v>57</v>
      </c>
      <c r="F1570" t="s">
        <v>77</v>
      </c>
      <c r="G1570">
        <v>32</v>
      </c>
      <c r="H1570" t="s">
        <v>162</v>
      </c>
      <c r="I1570">
        <v>0</v>
      </c>
      <c r="J1570">
        <v>0</v>
      </c>
      <c r="K1570" t="s">
        <v>112</v>
      </c>
      <c r="L1570" t="s">
        <v>163</v>
      </c>
      <c r="M1570" t="s">
        <v>164</v>
      </c>
      <c r="N1570" t="s">
        <v>107</v>
      </c>
      <c r="O1570" t="s">
        <v>97</v>
      </c>
    </row>
    <row r="1571" spans="1:15" x14ac:dyDescent="0.2">
      <c r="A1571">
        <v>405</v>
      </c>
      <c r="B1571">
        <v>406</v>
      </c>
      <c r="C1571">
        <v>405</v>
      </c>
      <c r="D1571">
        <v>404</v>
      </c>
      <c r="E1571" t="s">
        <v>57</v>
      </c>
      <c r="F1571" t="s">
        <v>77</v>
      </c>
      <c r="G1571">
        <v>33</v>
      </c>
      <c r="H1571" t="s">
        <v>152</v>
      </c>
      <c r="I1571">
        <v>0</v>
      </c>
      <c r="J1571">
        <v>1</v>
      </c>
      <c r="K1571" t="s">
        <v>153</v>
      </c>
      <c r="L1571" t="s">
        <v>154</v>
      </c>
      <c r="M1571" t="s">
        <v>155</v>
      </c>
      <c r="N1571" t="s">
        <v>107</v>
      </c>
      <c r="O1571" t="s">
        <v>97</v>
      </c>
    </row>
    <row r="1572" spans="1:15" x14ac:dyDescent="0.2">
      <c r="A1572">
        <v>405</v>
      </c>
      <c r="B1572">
        <v>406</v>
      </c>
      <c r="C1572">
        <v>405</v>
      </c>
      <c r="D1572">
        <v>404</v>
      </c>
      <c r="E1572" t="s">
        <v>57</v>
      </c>
      <c r="F1572" t="s">
        <v>77</v>
      </c>
      <c r="G1572">
        <v>34</v>
      </c>
      <c r="H1572" t="s">
        <v>152</v>
      </c>
      <c r="I1572">
        <v>0</v>
      </c>
      <c r="J1572">
        <v>0</v>
      </c>
      <c r="K1572" t="s">
        <v>153</v>
      </c>
      <c r="L1572" t="s">
        <v>154</v>
      </c>
      <c r="M1572" t="s">
        <v>155</v>
      </c>
      <c r="N1572" t="s">
        <v>107</v>
      </c>
      <c r="O1572" t="s">
        <v>97</v>
      </c>
    </row>
    <row r="1573" spans="1:15" x14ac:dyDescent="0.2">
      <c r="A1573">
        <v>405</v>
      </c>
      <c r="B1573">
        <v>406</v>
      </c>
      <c r="C1573">
        <v>405</v>
      </c>
      <c r="D1573">
        <v>404</v>
      </c>
      <c r="E1573" t="s">
        <v>57</v>
      </c>
      <c r="F1573" t="s">
        <v>77</v>
      </c>
      <c r="G1573">
        <v>35</v>
      </c>
      <c r="H1573" t="s">
        <v>165</v>
      </c>
      <c r="I1573">
        <v>0</v>
      </c>
      <c r="J1573">
        <v>1</v>
      </c>
      <c r="K1573" t="s">
        <v>166</v>
      </c>
      <c r="L1573" t="s">
        <v>167</v>
      </c>
      <c r="M1573" t="s">
        <v>168</v>
      </c>
      <c r="N1573" t="s">
        <v>107</v>
      </c>
      <c r="O1573" t="s">
        <v>97</v>
      </c>
    </row>
    <row r="1574" spans="1:15" x14ac:dyDescent="0.2">
      <c r="A1574">
        <v>405</v>
      </c>
      <c r="B1574">
        <v>406</v>
      </c>
      <c r="C1574">
        <v>405</v>
      </c>
      <c r="D1574">
        <v>404</v>
      </c>
      <c r="E1574" t="s">
        <v>57</v>
      </c>
      <c r="F1574" t="s">
        <v>77</v>
      </c>
      <c r="G1574">
        <v>36</v>
      </c>
      <c r="H1574" t="s">
        <v>169</v>
      </c>
      <c r="I1574">
        <v>0</v>
      </c>
      <c r="J1574">
        <v>0</v>
      </c>
      <c r="K1574" t="e">
        <v>#N/A</v>
      </c>
      <c r="L1574" t="e">
        <v>#N/A</v>
      </c>
      <c r="M1574" t="e">
        <v>#N/A</v>
      </c>
      <c r="N1574" t="e">
        <v>#N/A</v>
      </c>
      <c r="O1574" t="s">
        <v>97</v>
      </c>
    </row>
    <row r="1575" spans="1:15" x14ac:dyDescent="0.2">
      <c r="A1575">
        <v>405</v>
      </c>
      <c r="B1575">
        <v>406</v>
      </c>
      <c r="C1575">
        <v>405</v>
      </c>
      <c r="D1575">
        <v>404</v>
      </c>
      <c r="E1575" t="s">
        <v>57</v>
      </c>
      <c r="F1575" t="s">
        <v>77</v>
      </c>
      <c r="G1575">
        <v>38</v>
      </c>
      <c r="H1575" t="s">
        <v>170</v>
      </c>
      <c r="I1575">
        <v>0.5</v>
      </c>
      <c r="J1575">
        <v>0.5</v>
      </c>
      <c r="K1575" t="s">
        <v>112</v>
      </c>
      <c r="L1575" t="s">
        <v>171</v>
      </c>
      <c r="M1575" t="s">
        <v>172</v>
      </c>
      <c r="N1575" t="s">
        <v>96</v>
      </c>
      <c r="O1575" t="s">
        <v>97</v>
      </c>
    </row>
    <row r="1576" spans="1:15" x14ac:dyDescent="0.2">
      <c r="A1576">
        <v>405</v>
      </c>
      <c r="B1576">
        <v>406</v>
      </c>
      <c r="C1576">
        <v>405</v>
      </c>
      <c r="D1576">
        <v>404</v>
      </c>
      <c r="E1576" t="s">
        <v>57</v>
      </c>
      <c r="F1576" t="s">
        <v>77</v>
      </c>
      <c r="G1576">
        <v>39</v>
      </c>
      <c r="H1576" t="s">
        <v>170</v>
      </c>
      <c r="I1576">
        <v>0</v>
      </c>
      <c r="J1576">
        <v>0.5</v>
      </c>
      <c r="K1576" t="s">
        <v>112</v>
      </c>
      <c r="L1576" t="s">
        <v>171</v>
      </c>
      <c r="M1576" t="s">
        <v>172</v>
      </c>
      <c r="N1576" t="s">
        <v>96</v>
      </c>
      <c r="O1576" t="s">
        <v>97</v>
      </c>
    </row>
    <row r="1577" spans="1:15" x14ac:dyDescent="0.2">
      <c r="A1577">
        <v>405</v>
      </c>
      <c r="B1577">
        <v>406</v>
      </c>
      <c r="C1577">
        <v>405</v>
      </c>
      <c r="D1577">
        <v>404</v>
      </c>
      <c r="E1577" t="s">
        <v>57</v>
      </c>
      <c r="F1577" t="s">
        <v>77</v>
      </c>
      <c r="G1577">
        <v>40</v>
      </c>
      <c r="H1577" t="s">
        <v>170</v>
      </c>
      <c r="I1577">
        <v>0.5</v>
      </c>
      <c r="J1577">
        <v>0.5</v>
      </c>
      <c r="K1577" t="s">
        <v>112</v>
      </c>
      <c r="L1577" t="s">
        <v>171</v>
      </c>
      <c r="M1577" t="s">
        <v>172</v>
      </c>
      <c r="N1577" t="s">
        <v>96</v>
      </c>
      <c r="O1577" t="s">
        <v>97</v>
      </c>
    </row>
    <row r="1578" spans="1:15" x14ac:dyDescent="0.2">
      <c r="A1578">
        <v>405</v>
      </c>
      <c r="B1578">
        <v>406</v>
      </c>
      <c r="C1578">
        <v>405</v>
      </c>
      <c r="D1578">
        <v>404</v>
      </c>
      <c r="E1578" t="s">
        <v>57</v>
      </c>
      <c r="F1578" t="s">
        <v>77</v>
      </c>
      <c r="G1578">
        <v>41</v>
      </c>
      <c r="H1578" t="s">
        <v>173</v>
      </c>
      <c r="I1578">
        <v>1</v>
      </c>
      <c r="J1578">
        <v>0</v>
      </c>
      <c r="K1578" t="s">
        <v>166</v>
      </c>
      <c r="L1578" t="s">
        <v>174</v>
      </c>
      <c r="M1578" t="s">
        <v>175</v>
      </c>
      <c r="N1578" t="s">
        <v>107</v>
      </c>
      <c r="O1578" t="s">
        <v>97</v>
      </c>
    </row>
    <row r="1579" spans="1:15" x14ac:dyDescent="0.2">
      <c r="A1579">
        <v>405</v>
      </c>
      <c r="B1579">
        <v>406</v>
      </c>
      <c r="C1579">
        <v>405</v>
      </c>
      <c r="D1579">
        <v>404</v>
      </c>
      <c r="E1579" t="s">
        <v>57</v>
      </c>
      <c r="F1579" t="s">
        <v>77</v>
      </c>
      <c r="G1579">
        <v>42</v>
      </c>
      <c r="H1579" t="s">
        <v>176</v>
      </c>
      <c r="I1579">
        <v>0</v>
      </c>
      <c r="J1579" t="s">
        <v>198</v>
      </c>
      <c r="K1579" t="s">
        <v>153</v>
      </c>
      <c r="L1579" t="s">
        <v>177</v>
      </c>
      <c r="M1579" t="s">
        <v>178</v>
      </c>
      <c r="N1579" t="s">
        <v>107</v>
      </c>
      <c r="O1579" t="s">
        <v>97</v>
      </c>
    </row>
    <row r="1580" spans="1:15" x14ac:dyDescent="0.2">
      <c r="A1580">
        <v>405</v>
      </c>
      <c r="B1580">
        <v>406</v>
      </c>
      <c r="C1580">
        <v>405</v>
      </c>
      <c r="D1580">
        <v>404</v>
      </c>
      <c r="E1580" t="s">
        <v>57</v>
      </c>
      <c r="F1580" t="s">
        <v>77</v>
      </c>
      <c r="G1580">
        <v>43</v>
      </c>
      <c r="H1580" t="s">
        <v>179</v>
      </c>
      <c r="I1580">
        <v>0</v>
      </c>
      <c r="J1580">
        <v>0</v>
      </c>
      <c r="K1580" t="s">
        <v>166</v>
      </c>
      <c r="L1580" t="s">
        <v>180</v>
      </c>
      <c r="M1580" t="s">
        <v>181</v>
      </c>
      <c r="N1580" t="s">
        <v>107</v>
      </c>
      <c r="O1580" t="s">
        <v>97</v>
      </c>
    </row>
    <row r="1581" spans="1:15" x14ac:dyDescent="0.2">
      <c r="A1581">
        <v>405</v>
      </c>
      <c r="B1581">
        <v>406</v>
      </c>
      <c r="C1581">
        <v>405</v>
      </c>
      <c r="D1581">
        <v>404</v>
      </c>
      <c r="E1581" t="s">
        <v>57</v>
      </c>
      <c r="F1581" t="s">
        <v>77</v>
      </c>
      <c r="G1581">
        <v>44</v>
      </c>
      <c r="H1581" t="s">
        <v>182</v>
      </c>
      <c r="I1581">
        <v>0</v>
      </c>
      <c r="J1581">
        <v>1</v>
      </c>
      <c r="K1581" t="s">
        <v>166</v>
      </c>
      <c r="L1581" t="s">
        <v>183</v>
      </c>
      <c r="M1581" t="s">
        <v>184</v>
      </c>
      <c r="N1581" t="s">
        <v>107</v>
      </c>
      <c r="O1581" t="s">
        <v>97</v>
      </c>
    </row>
    <row r="1582" spans="1:15" x14ac:dyDescent="0.2">
      <c r="A1582">
        <v>405</v>
      </c>
      <c r="B1582">
        <v>406</v>
      </c>
      <c r="C1582">
        <v>405</v>
      </c>
      <c r="D1582">
        <v>404</v>
      </c>
      <c r="E1582" t="s">
        <v>57</v>
      </c>
      <c r="F1582" t="s">
        <v>77</v>
      </c>
      <c r="G1582">
        <v>45</v>
      </c>
      <c r="H1582" t="s">
        <v>185</v>
      </c>
      <c r="I1582">
        <v>0</v>
      </c>
      <c r="J1582">
        <v>1</v>
      </c>
      <c r="K1582" t="s">
        <v>166</v>
      </c>
      <c r="L1582" t="s">
        <v>186</v>
      </c>
      <c r="M1582" t="s">
        <v>139</v>
      </c>
      <c r="N1582" t="s">
        <v>107</v>
      </c>
      <c r="O1582" t="s">
        <v>97</v>
      </c>
    </row>
    <row r="1583" spans="1:15" x14ac:dyDescent="0.2">
      <c r="A1583">
        <v>405</v>
      </c>
      <c r="B1583">
        <v>406</v>
      </c>
      <c r="C1583">
        <v>405</v>
      </c>
      <c r="D1583">
        <v>404</v>
      </c>
      <c r="E1583" t="s">
        <v>57</v>
      </c>
      <c r="F1583" t="s">
        <v>77</v>
      </c>
      <c r="G1583">
        <v>47</v>
      </c>
      <c r="H1583" t="s">
        <v>187</v>
      </c>
      <c r="I1583">
        <v>0.2</v>
      </c>
      <c r="J1583">
        <v>0.2</v>
      </c>
      <c r="K1583" t="s">
        <v>93</v>
      </c>
      <c r="L1583" t="s">
        <v>188</v>
      </c>
      <c r="M1583" t="s">
        <v>95</v>
      </c>
      <c r="N1583" t="s">
        <v>96</v>
      </c>
      <c r="O1583" t="s">
        <v>97</v>
      </c>
    </row>
    <row r="1584" spans="1:15" x14ac:dyDescent="0.2">
      <c r="A1584">
        <v>405</v>
      </c>
      <c r="B1584">
        <v>406</v>
      </c>
      <c r="C1584">
        <v>405</v>
      </c>
      <c r="D1584">
        <v>404</v>
      </c>
      <c r="E1584" t="s">
        <v>57</v>
      </c>
      <c r="F1584" t="s">
        <v>77</v>
      </c>
      <c r="G1584">
        <v>48</v>
      </c>
      <c r="H1584" t="s">
        <v>189</v>
      </c>
      <c r="I1584">
        <v>0.2</v>
      </c>
      <c r="J1584">
        <v>0.2</v>
      </c>
      <c r="K1584" t="s">
        <v>93</v>
      </c>
      <c r="L1584" t="s">
        <v>190</v>
      </c>
      <c r="M1584" t="s">
        <v>95</v>
      </c>
      <c r="N1584" t="s">
        <v>96</v>
      </c>
      <c r="O1584" t="s">
        <v>97</v>
      </c>
    </row>
    <row r="1585" spans="1:15" x14ac:dyDescent="0.2">
      <c r="A1585">
        <v>405</v>
      </c>
      <c r="B1585">
        <v>406</v>
      </c>
      <c r="C1585">
        <v>405</v>
      </c>
      <c r="D1585">
        <v>404</v>
      </c>
      <c r="E1585" t="s">
        <v>57</v>
      </c>
      <c r="F1585" t="s">
        <v>77</v>
      </c>
      <c r="G1585">
        <v>49</v>
      </c>
      <c r="H1585" t="s">
        <v>191</v>
      </c>
      <c r="I1585">
        <v>0.2</v>
      </c>
      <c r="J1585">
        <v>0.2</v>
      </c>
      <c r="K1585" t="s">
        <v>93</v>
      </c>
      <c r="L1585" t="s">
        <v>192</v>
      </c>
      <c r="M1585" t="s">
        <v>95</v>
      </c>
      <c r="N1585" t="s">
        <v>96</v>
      </c>
      <c r="O1585" t="s">
        <v>97</v>
      </c>
    </row>
    <row r="1586" spans="1:15" x14ac:dyDescent="0.2">
      <c r="A1586">
        <v>405</v>
      </c>
      <c r="B1586">
        <v>406</v>
      </c>
      <c r="C1586">
        <v>405</v>
      </c>
      <c r="D1586">
        <v>404</v>
      </c>
      <c r="E1586" t="s">
        <v>57</v>
      </c>
      <c r="F1586" t="s">
        <v>77</v>
      </c>
      <c r="G1586">
        <v>50</v>
      </c>
      <c r="H1586" t="s">
        <v>193</v>
      </c>
      <c r="I1586">
        <v>0.1</v>
      </c>
      <c r="J1586">
        <v>0.1</v>
      </c>
      <c r="K1586" t="s">
        <v>93</v>
      </c>
      <c r="L1586" t="s">
        <v>194</v>
      </c>
      <c r="M1586" t="s">
        <v>95</v>
      </c>
      <c r="N1586" t="s">
        <v>96</v>
      </c>
      <c r="O1586" t="s">
        <v>97</v>
      </c>
    </row>
    <row r="1587" spans="1:15" x14ac:dyDescent="0.2">
      <c r="A1587">
        <v>405</v>
      </c>
      <c r="B1587">
        <v>406</v>
      </c>
      <c r="C1587">
        <v>405</v>
      </c>
      <c r="D1587">
        <v>404</v>
      </c>
      <c r="E1587" t="s">
        <v>57</v>
      </c>
      <c r="F1587" t="s">
        <v>77</v>
      </c>
      <c r="G1587">
        <v>51</v>
      </c>
      <c r="H1587" t="s">
        <v>193</v>
      </c>
      <c r="I1587">
        <v>0</v>
      </c>
      <c r="J1587">
        <v>0</v>
      </c>
      <c r="K1587" t="s">
        <v>93</v>
      </c>
      <c r="L1587" t="s">
        <v>194</v>
      </c>
      <c r="M1587" t="s">
        <v>95</v>
      </c>
      <c r="N1587" t="s">
        <v>96</v>
      </c>
      <c r="O1587" t="s">
        <v>97</v>
      </c>
    </row>
    <row r="1588" spans="1:15" x14ac:dyDescent="0.2">
      <c r="A1588">
        <v>405</v>
      </c>
      <c r="B1588">
        <v>406</v>
      </c>
      <c r="C1588">
        <v>405</v>
      </c>
      <c r="D1588">
        <v>404</v>
      </c>
      <c r="E1588" t="s">
        <v>57</v>
      </c>
      <c r="F1588" t="s">
        <v>77</v>
      </c>
      <c r="G1588">
        <v>97</v>
      </c>
      <c r="H1588" t="s">
        <v>152</v>
      </c>
      <c r="I1588">
        <v>0.25</v>
      </c>
      <c r="J1588">
        <v>0.25</v>
      </c>
      <c r="K1588" t="s">
        <v>153</v>
      </c>
      <c r="L1588" t="s">
        <v>154</v>
      </c>
      <c r="M1588" t="s">
        <v>155</v>
      </c>
      <c r="N1588" t="s">
        <v>107</v>
      </c>
      <c r="O1588" t="s">
        <v>97</v>
      </c>
    </row>
    <row r="1589" spans="1:15" x14ac:dyDescent="0.2">
      <c r="A1589">
        <v>405</v>
      </c>
      <c r="B1589">
        <v>406</v>
      </c>
      <c r="C1589">
        <v>405</v>
      </c>
      <c r="D1589">
        <v>404</v>
      </c>
      <c r="E1589" t="s">
        <v>57</v>
      </c>
      <c r="F1589" t="s">
        <v>77</v>
      </c>
      <c r="G1589">
        <v>96</v>
      </c>
      <c r="H1589" t="s">
        <v>152</v>
      </c>
      <c r="I1589">
        <v>0</v>
      </c>
      <c r="J1589">
        <v>0</v>
      </c>
      <c r="K1589" t="s">
        <v>153</v>
      </c>
      <c r="L1589" t="s">
        <v>154</v>
      </c>
      <c r="M1589" t="s">
        <v>155</v>
      </c>
      <c r="N1589" t="s">
        <v>107</v>
      </c>
      <c r="O1589" t="s">
        <v>97</v>
      </c>
    </row>
    <row r="1590" spans="1:15" x14ac:dyDescent="0.2">
      <c r="A1590">
        <v>405</v>
      </c>
      <c r="B1590">
        <v>406</v>
      </c>
      <c r="C1590">
        <v>405</v>
      </c>
      <c r="D1590">
        <v>404</v>
      </c>
      <c r="E1590" t="s">
        <v>57</v>
      </c>
      <c r="F1590" t="s">
        <v>77</v>
      </c>
      <c r="G1590">
        <v>99</v>
      </c>
      <c r="H1590" t="s">
        <v>152</v>
      </c>
      <c r="I1590">
        <v>0</v>
      </c>
      <c r="J1590">
        <v>0</v>
      </c>
      <c r="K1590" t="s">
        <v>153</v>
      </c>
      <c r="L1590" t="s">
        <v>154</v>
      </c>
      <c r="M1590" t="s">
        <v>155</v>
      </c>
      <c r="N1590" t="s">
        <v>107</v>
      </c>
      <c r="O1590" t="s">
        <v>97</v>
      </c>
    </row>
    <row r="1591" spans="1:15" x14ac:dyDescent="0.2">
      <c r="A1591">
        <v>405</v>
      </c>
      <c r="B1591">
        <v>406</v>
      </c>
      <c r="C1591">
        <v>405</v>
      </c>
      <c r="D1591">
        <v>404</v>
      </c>
      <c r="E1591" t="s">
        <v>57</v>
      </c>
      <c r="F1591" t="s">
        <v>77</v>
      </c>
      <c r="G1591">
        <v>98</v>
      </c>
      <c r="H1591" t="s">
        <v>204</v>
      </c>
      <c r="I1591">
        <v>0.5</v>
      </c>
      <c r="J1591">
        <v>1</v>
      </c>
      <c r="K1591" t="s">
        <v>122</v>
      </c>
      <c r="L1591" t="s">
        <v>205</v>
      </c>
      <c r="M1591" t="s">
        <v>206</v>
      </c>
      <c r="N1591" t="s">
        <v>207</v>
      </c>
      <c r="O1591" t="s">
        <v>97</v>
      </c>
    </row>
    <row r="1592" spans="1:15" x14ac:dyDescent="0.2">
      <c r="A1592">
        <v>18</v>
      </c>
      <c r="B1592">
        <v>19</v>
      </c>
      <c r="C1592">
        <v>18</v>
      </c>
      <c r="D1592">
        <v>17</v>
      </c>
      <c r="E1592" t="s">
        <v>251</v>
      </c>
      <c r="F1592" t="s">
        <v>252</v>
      </c>
      <c r="G1592">
        <v>99</v>
      </c>
      <c r="H1592" t="s">
        <v>253</v>
      </c>
      <c r="I1592">
        <v>0.15</v>
      </c>
      <c r="J1592">
        <v>0.3</v>
      </c>
      <c r="K1592" t="s">
        <v>93</v>
      </c>
      <c r="L1592" t="s">
        <v>254</v>
      </c>
      <c r="M1592" t="s">
        <v>255</v>
      </c>
      <c r="N1592" t="s">
        <v>107</v>
      </c>
      <c r="O1592" t="s">
        <v>256</v>
      </c>
    </row>
    <row r="1593" spans="1:15" x14ac:dyDescent="0.2">
      <c r="A1593">
        <v>18</v>
      </c>
      <c r="B1593">
        <v>19</v>
      </c>
      <c r="C1593">
        <v>18</v>
      </c>
      <c r="D1593">
        <v>17</v>
      </c>
      <c r="E1593" t="s">
        <v>251</v>
      </c>
      <c r="F1593" t="s">
        <v>252</v>
      </c>
      <c r="G1593">
        <v>98</v>
      </c>
      <c r="H1593" t="s">
        <v>257</v>
      </c>
      <c r="I1593">
        <v>0.15</v>
      </c>
      <c r="J1593">
        <v>0.3</v>
      </c>
      <c r="K1593" t="s">
        <v>93</v>
      </c>
      <c r="L1593" t="s">
        <v>258</v>
      </c>
      <c r="M1593" t="s">
        <v>255</v>
      </c>
      <c r="N1593" t="s">
        <v>107</v>
      </c>
      <c r="O1593" t="s">
        <v>256</v>
      </c>
    </row>
    <row r="1594" spans="1:15" x14ac:dyDescent="0.2">
      <c r="A1594">
        <v>18</v>
      </c>
      <c r="B1594">
        <v>19</v>
      </c>
      <c r="C1594">
        <v>18</v>
      </c>
      <c r="D1594">
        <v>17</v>
      </c>
      <c r="E1594" t="s">
        <v>251</v>
      </c>
      <c r="F1594" t="s">
        <v>252</v>
      </c>
      <c r="G1594">
        <v>97</v>
      </c>
      <c r="H1594" t="s">
        <v>259</v>
      </c>
      <c r="I1594">
        <v>0.15</v>
      </c>
      <c r="J1594">
        <v>0.3</v>
      </c>
      <c r="K1594" t="s">
        <v>93</v>
      </c>
      <c r="L1594" t="s">
        <v>260</v>
      </c>
      <c r="M1594" t="s">
        <v>255</v>
      </c>
      <c r="N1594" t="s">
        <v>107</v>
      </c>
      <c r="O1594" t="s">
        <v>256</v>
      </c>
    </row>
    <row r="1595" spans="1:15" x14ac:dyDescent="0.2">
      <c r="A1595">
        <v>18</v>
      </c>
      <c r="B1595">
        <v>19</v>
      </c>
      <c r="C1595">
        <v>18</v>
      </c>
      <c r="D1595">
        <v>17</v>
      </c>
      <c r="E1595" t="s">
        <v>251</v>
      </c>
      <c r="F1595" t="s">
        <v>252</v>
      </c>
      <c r="G1595">
        <v>2</v>
      </c>
      <c r="H1595" t="s">
        <v>98</v>
      </c>
      <c r="I1595">
        <v>0.25</v>
      </c>
      <c r="J1595">
        <v>0.5</v>
      </c>
      <c r="K1595" t="s">
        <v>93</v>
      </c>
      <c r="L1595" t="s">
        <v>99</v>
      </c>
      <c r="M1595" t="s">
        <v>95</v>
      </c>
      <c r="N1595" t="s">
        <v>96</v>
      </c>
      <c r="O1595" t="s">
        <v>256</v>
      </c>
    </row>
    <row r="1596" spans="1:15" x14ac:dyDescent="0.2">
      <c r="A1596">
        <v>18</v>
      </c>
      <c r="B1596">
        <v>19</v>
      </c>
      <c r="C1596">
        <v>18</v>
      </c>
      <c r="D1596">
        <v>17</v>
      </c>
      <c r="E1596" t="s">
        <v>251</v>
      </c>
      <c r="F1596" t="s">
        <v>252</v>
      </c>
      <c r="G1596">
        <v>3</v>
      </c>
      <c r="H1596" t="s">
        <v>100</v>
      </c>
      <c r="I1596">
        <v>1</v>
      </c>
      <c r="J1596">
        <v>1</v>
      </c>
      <c r="K1596" t="s">
        <v>101</v>
      </c>
      <c r="L1596" t="s">
        <v>102</v>
      </c>
      <c r="M1596" t="s">
        <v>103</v>
      </c>
      <c r="N1596" t="s">
        <v>96</v>
      </c>
      <c r="O1596" t="s">
        <v>256</v>
      </c>
    </row>
    <row r="1597" spans="1:15" x14ac:dyDescent="0.2">
      <c r="A1597">
        <v>18</v>
      </c>
      <c r="B1597">
        <v>19</v>
      </c>
      <c r="C1597">
        <v>18</v>
      </c>
      <c r="D1597">
        <v>17</v>
      </c>
      <c r="E1597" t="s">
        <v>251</v>
      </c>
      <c r="F1597" t="s">
        <v>252</v>
      </c>
      <c r="G1597">
        <v>4</v>
      </c>
      <c r="H1597" t="s">
        <v>104</v>
      </c>
      <c r="I1597">
        <v>0.5</v>
      </c>
      <c r="J1597">
        <v>1</v>
      </c>
      <c r="K1597" t="s">
        <v>101</v>
      </c>
      <c r="L1597" t="s">
        <v>105</v>
      </c>
      <c r="M1597" t="s">
        <v>106</v>
      </c>
      <c r="N1597" t="s">
        <v>107</v>
      </c>
      <c r="O1597" t="s">
        <v>256</v>
      </c>
    </row>
    <row r="1598" spans="1:15" x14ac:dyDescent="0.2">
      <c r="A1598">
        <v>18</v>
      </c>
      <c r="B1598">
        <v>19</v>
      </c>
      <c r="C1598">
        <v>18</v>
      </c>
      <c r="D1598">
        <v>17</v>
      </c>
      <c r="E1598" t="s">
        <v>251</v>
      </c>
      <c r="F1598" t="s">
        <v>252</v>
      </c>
      <c r="G1598">
        <v>5</v>
      </c>
      <c r="H1598" t="s">
        <v>108</v>
      </c>
      <c r="I1598">
        <v>0</v>
      </c>
      <c r="J1598">
        <v>1</v>
      </c>
      <c r="K1598" t="s">
        <v>101</v>
      </c>
      <c r="L1598" t="s">
        <v>109</v>
      </c>
      <c r="M1598" t="s">
        <v>110</v>
      </c>
      <c r="N1598" t="s">
        <v>107</v>
      </c>
      <c r="O1598" t="s">
        <v>256</v>
      </c>
    </row>
    <row r="1599" spans="1:15" x14ac:dyDescent="0.2">
      <c r="A1599">
        <v>18</v>
      </c>
      <c r="B1599">
        <v>19</v>
      </c>
      <c r="C1599">
        <v>18</v>
      </c>
      <c r="D1599">
        <v>17</v>
      </c>
      <c r="E1599" t="s">
        <v>251</v>
      </c>
      <c r="F1599" t="s">
        <v>252</v>
      </c>
      <c r="G1599">
        <v>9</v>
      </c>
      <c r="H1599" t="s">
        <v>111</v>
      </c>
      <c r="I1599">
        <v>0.25</v>
      </c>
      <c r="J1599">
        <v>0.5</v>
      </c>
      <c r="K1599" t="s">
        <v>112</v>
      </c>
      <c r="L1599" t="s">
        <v>113</v>
      </c>
      <c r="M1599" t="s">
        <v>114</v>
      </c>
      <c r="N1599" t="s">
        <v>96</v>
      </c>
      <c r="O1599" t="s">
        <v>256</v>
      </c>
    </row>
    <row r="1600" spans="1:15" x14ac:dyDescent="0.2">
      <c r="A1600">
        <v>18</v>
      </c>
      <c r="B1600">
        <v>19</v>
      </c>
      <c r="C1600">
        <v>18</v>
      </c>
      <c r="D1600">
        <v>17</v>
      </c>
      <c r="E1600" t="s">
        <v>251</v>
      </c>
      <c r="F1600" t="s">
        <v>252</v>
      </c>
      <c r="G1600">
        <v>10</v>
      </c>
      <c r="H1600" t="s">
        <v>115</v>
      </c>
      <c r="I1600">
        <v>0.25</v>
      </c>
      <c r="J1600">
        <v>0.5</v>
      </c>
      <c r="K1600" t="s">
        <v>112</v>
      </c>
      <c r="L1600" t="s">
        <v>116</v>
      </c>
      <c r="M1600" t="s">
        <v>117</v>
      </c>
      <c r="N1600" t="s">
        <v>96</v>
      </c>
      <c r="O1600" t="s">
        <v>256</v>
      </c>
    </row>
    <row r="1601" spans="1:15" x14ac:dyDescent="0.2">
      <c r="A1601">
        <v>18</v>
      </c>
      <c r="B1601">
        <v>19</v>
      </c>
      <c r="C1601">
        <v>18</v>
      </c>
      <c r="D1601">
        <v>17</v>
      </c>
      <c r="E1601" t="s">
        <v>251</v>
      </c>
      <c r="F1601" t="s">
        <v>252</v>
      </c>
      <c r="G1601">
        <v>12</v>
      </c>
      <c r="H1601" t="s">
        <v>121</v>
      </c>
      <c r="I1601">
        <v>0</v>
      </c>
      <c r="J1601">
        <v>0.5</v>
      </c>
      <c r="K1601" t="s">
        <v>122</v>
      </c>
      <c r="L1601" t="s">
        <v>113</v>
      </c>
      <c r="M1601" t="s">
        <v>123</v>
      </c>
      <c r="N1601" t="s">
        <v>96</v>
      </c>
      <c r="O1601" t="s">
        <v>256</v>
      </c>
    </row>
    <row r="1602" spans="1:15" x14ac:dyDescent="0.2">
      <c r="A1602">
        <v>18</v>
      </c>
      <c r="B1602">
        <v>19</v>
      </c>
      <c r="C1602">
        <v>18</v>
      </c>
      <c r="D1602">
        <v>17</v>
      </c>
      <c r="E1602" t="s">
        <v>251</v>
      </c>
      <c r="F1602" t="s">
        <v>252</v>
      </c>
      <c r="G1602">
        <v>13</v>
      </c>
      <c r="H1602" t="s">
        <v>124</v>
      </c>
      <c r="I1602">
        <v>0</v>
      </c>
      <c r="J1602">
        <v>0.5</v>
      </c>
      <c r="K1602" t="s">
        <v>122</v>
      </c>
      <c r="L1602" t="s">
        <v>125</v>
      </c>
      <c r="M1602" t="s">
        <v>126</v>
      </c>
      <c r="N1602" t="s">
        <v>96</v>
      </c>
      <c r="O1602" t="s">
        <v>256</v>
      </c>
    </row>
    <row r="1603" spans="1:15" x14ac:dyDescent="0.2">
      <c r="A1603">
        <v>18</v>
      </c>
      <c r="B1603">
        <v>19</v>
      </c>
      <c r="C1603">
        <v>18</v>
      </c>
      <c r="D1603">
        <v>17</v>
      </c>
      <c r="E1603" t="s">
        <v>251</v>
      </c>
      <c r="F1603" t="s">
        <v>252</v>
      </c>
      <c r="G1603">
        <v>15</v>
      </c>
      <c r="H1603" t="s">
        <v>129</v>
      </c>
      <c r="I1603">
        <v>1</v>
      </c>
      <c r="J1603">
        <v>1</v>
      </c>
      <c r="K1603" t="s">
        <v>130</v>
      </c>
      <c r="L1603" t="s">
        <v>131</v>
      </c>
      <c r="M1603" t="s">
        <v>132</v>
      </c>
      <c r="N1603" t="s">
        <v>107</v>
      </c>
      <c r="O1603" t="s">
        <v>256</v>
      </c>
    </row>
    <row r="1604" spans="1:15" x14ac:dyDescent="0.2">
      <c r="A1604">
        <v>390</v>
      </c>
      <c r="B1604">
        <v>391</v>
      </c>
      <c r="C1604">
        <v>390</v>
      </c>
      <c r="D1604">
        <v>389</v>
      </c>
      <c r="E1604" t="s">
        <v>57</v>
      </c>
      <c r="F1604" t="s">
        <v>76</v>
      </c>
      <c r="G1604">
        <v>1</v>
      </c>
      <c r="H1604" t="s">
        <v>92</v>
      </c>
      <c r="I1604">
        <v>0</v>
      </c>
      <c r="J1604">
        <v>0.2</v>
      </c>
      <c r="K1604" t="s">
        <v>93</v>
      </c>
      <c r="L1604" t="s">
        <v>94</v>
      </c>
      <c r="M1604" t="s">
        <v>95</v>
      </c>
      <c r="N1604" t="s">
        <v>96</v>
      </c>
      <c r="O1604" t="s">
        <v>97</v>
      </c>
    </row>
    <row r="1605" spans="1:15" x14ac:dyDescent="0.2">
      <c r="A1605">
        <v>390</v>
      </c>
      <c r="B1605">
        <v>391</v>
      </c>
      <c r="C1605">
        <v>390</v>
      </c>
      <c r="D1605">
        <v>389</v>
      </c>
      <c r="E1605" t="s">
        <v>57</v>
      </c>
      <c r="F1605" t="s">
        <v>76</v>
      </c>
      <c r="G1605">
        <v>2</v>
      </c>
      <c r="H1605" t="s">
        <v>98</v>
      </c>
      <c r="I1605">
        <v>0.25</v>
      </c>
      <c r="J1605">
        <v>0.5</v>
      </c>
      <c r="K1605" t="s">
        <v>93</v>
      </c>
      <c r="L1605" t="s">
        <v>99</v>
      </c>
      <c r="M1605" t="s">
        <v>95</v>
      </c>
      <c r="N1605" t="s">
        <v>96</v>
      </c>
      <c r="O1605" t="s">
        <v>97</v>
      </c>
    </row>
    <row r="1606" spans="1:15" x14ac:dyDescent="0.2">
      <c r="A1606">
        <v>390</v>
      </c>
      <c r="B1606">
        <v>391</v>
      </c>
      <c r="C1606">
        <v>390</v>
      </c>
      <c r="D1606">
        <v>389</v>
      </c>
      <c r="E1606" t="s">
        <v>57</v>
      </c>
      <c r="F1606" t="s">
        <v>76</v>
      </c>
      <c r="G1606">
        <v>3</v>
      </c>
      <c r="H1606" t="s">
        <v>100</v>
      </c>
      <c r="I1606">
        <v>0.5</v>
      </c>
      <c r="J1606">
        <v>1</v>
      </c>
      <c r="K1606" t="s">
        <v>101</v>
      </c>
      <c r="L1606" t="s">
        <v>102</v>
      </c>
      <c r="M1606" t="s">
        <v>103</v>
      </c>
      <c r="N1606" t="s">
        <v>96</v>
      </c>
      <c r="O1606" t="s">
        <v>97</v>
      </c>
    </row>
    <row r="1607" spans="1:15" x14ac:dyDescent="0.2">
      <c r="A1607">
        <v>390</v>
      </c>
      <c r="B1607">
        <v>391</v>
      </c>
      <c r="C1607">
        <v>390</v>
      </c>
      <c r="D1607">
        <v>389</v>
      </c>
      <c r="E1607" t="s">
        <v>57</v>
      </c>
      <c r="F1607" t="s">
        <v>76</v>
      </c>
      <c r="G1607">
        <v>4</v>
      </c>
      <c r="H1607" t="s">
        <v>104</v>
      </c>
      <c r="I1607">
        <v>0.5</v>
      </c>
      <c r="J1607">
        <v>1</v>
      </c>
      <c r="K1607" t="s">
        <v>101</v>
      </c>
      <c r="L1607" t="s">
        <v>105</v>
      </c>
      <c r="M1607" t="s">
        <v>106</v>
      </c>
      <c r="N1607" t="s">
        <v>107</v>
      </c>
      <c r="O1607" t="s">
        <v>97</v>
      </c>
    </row>
    <row r="1608" spans="1:15" x14ac:dyDescent="0.2">
      <c r="A1608">
        <v>390</v>
      </c>
      <c r="B1608">
        <v>391</v>
      </c>
      <c r="C1608">
        <v>390</v>
      </c>
      <c r="D1608">
        <v>389</v>
      </c>
      <c r="E1608" t="s">
        <v>57</v>
      </c>
      <c r="F1608" t="s">
        <v>76</v>
      </c>
      <c r="G1608">
        <v>5</v>
      </c>
      <c r="H1608" t="s">
        <v>108</v>
      </c>
      <c r="I1608">
        <v>0.5</v>
      </c>
      <c r="J1608">
        <v>1</v>
      </c>
      <c r="K1608" t="s">
        <v>101</v>
      </c>
      <c r="L1608" t="s">
        <v>109</v>
      </c>
      <c r="M1608" t="s">
        <v>110</v>
      </c>
      <c r="N1608" t="s">
        <v>107</v>
      </c>
      <c r="O1608" t="s">
        <v>97</v>
      </c>
    </row>
    <row r="1609" spans="1:15" x14ac:dyDescent="0.2">
      <c r="A1609">
        <v>390</v>
      </c>
      <c r="B1609">
        <v>391</v>
      </c>
      <c r="C1609">
        <v>390</v>
      </c>
      <c r="D1609">
        <v>389</v>
      </c>
      <c r="E1609" t="s">
        <v>57</v>
      </c>
      <c r="F1609" t="s">
        <v>76</v>
      </c>
      <c r="G1609">
        <v>9</v>
      </c>
      <c r="H1609" t="s">
        <v>111</v>
      </c>
      <c r="I1609">
        <v>0.5</v>
      </c>
      <c r="J1609">
        <v>0.5</v>
      </c>
      <c r="K1609" t="s">
        <v>112</v>
      </c>
      <c r="L1609" t="s">
        <v>113</v>
      </c>
      <c r="M1609" t="s">
        <v>114</v>
      </c>
      <c r="N1609" t="s">
        <v>96</v>
      </c>
      <c r="O1609" t="s">
        <v>97</v>
      </c>
    </row>
    <row r="1610" spans="1:15" x14ac:dyDescent="0.2">
      <c r="A1610">
        <v>390</v>
      </c>
      <c r="B1610">
        <v>391</v>
      </c>
      <c r="C1610">
        <v>390</v>
      </c>
      <c r="D1610">
        <v>389</v>
      </c>
      <c r="E1610" t="s">
        <v>57</v>
      </c>
      <c r="F1610" t="s">
        <v>76</v>
      </c>
      <c r="G1610">
        <v>10</v>
      </c>
      <c r="H1610" t="s">
        <v>115</v>
      </c>
      <c r="I1610">
        <v>0.25</v>
      </c>
      <c r="J1610">
        <v>0.5</v>
      </c>
      <c r="K1610" t="s">
        <v>112</v>
      </c>
      <c r="L1610" t="s">
        <v>116</v>
      </c>
      <c r="M1610" t="s">
        <v>117</v>
      </c>
      <c r="N1610" t="s">
        <v>96</v>
      </c>
      <c r="O1610" t="s">
        <v>97</v>
      </c>
    </row>
    <row r="1611" spans="1:15" x14ac:dyDescent="0.2">
      <c r="A1611">
        <v>390</v>
      </c>
      <c r="B1611">
        <v>391</v>
      </c>
      <c r="C1611">
        <v>390</v>
      </c>
      <c r="D1611">
        <v>389</v>
      </c>
      <c r="E1611" t="s">
        <v>57</v>
      </c>
      <c r="F1611" t="s">
        <v>76</v>
      </c>
      <c r="G1611">
        <v>11</v>
      </c>
      <c r="H1611" t="s">
        <v>118</v>
      </c>
      <c r="I1611">
        <v>1</v>
      </c>
      <c r="J1611">
        <v>1</v>
      </c>
      <c r="K1611" t="s">
        <v>112</v>
      </c>
      <c r="L1611" t="s">
        <v>119</v>
      </c>
      <c r="M1611" t="s">
        <v>120</v>
      </c>
      <c r="N1611" t="s">
        <v>107</v>
      </c>
      <c r="O1611" t="s">
        <v>97</v>
      </c>
    </row>
    <row r="1612" spans="1:15" x14ac:dyDescent="0.2">
      <c r="A1612">
        <v>390</v>
      </c>
      <c r="B1612">
        <v>391</v>
      </c>
      <c r="C1612">
        <v>390</v>
      </c>
      <c r="D1612">
        <v>389</v>
      </c>
      <c r="E1612" t="s">
        <v>57</v>
      </c>
      <c r="F1612" t="s">
        <v>76</v>
      </c>
      <c r="G1612">
        <v>12</v>
      </c>
      <c r="H1612" t="s">
        <v>121</v>
      </c>
      <c r="I1612">
        <v>0.5</v>
      </c>
      <c r="J1612">
        <v>0.5</v>
      </c>
      <c r="K1612" t="s">
        <v>122</v>
      </c>
      <c r="L1612" t="s">
        <v>113</v>
      </c>
      <c r="M1612" t="s">
        <v>123</v>
      </c>
      <c r="N1612" t="s">
        <v>96</v>
      </c>
      <c r="O1612" t="s">
        <v>97</v>
      </c>
    </row>
    <row r="1613" spans="1:15" x14ac:dyDescent="0.2">
      <c r="A1613">
        <v>390</v>
      </c>
      <c r="B1613">
        <v>391</v>
      </c>
      <c r="C1613">
        <v>390</v>
      </c>
      <c r="D1613">
        <v>389</v>
      </c>
      <c r="E1613" t="s">
        <v>57</v>
      </c>
      <c r="F1613" t="s">
        <v>76</v>
      </c>
      <c r="G1613">
        <v>13</v>
      </c>
      <c r="H1613" t="s">
        <v>124</v>
      </c>
      <c r="I1613">
        <v>0</v>
      </c>
      <c r="J1613">
        <v>0.5</v>
      </c>
      <c r="K1613" t="s">
        <v>122</v>
      </c>
      <c r="L1613" t="s">
        <v>125</v>
      </c>
      <c r="M1613" t="s">
        <v>126</v>
      </c>
      <c r="N1613" t="s">
        <v>96</v>
      </c>
      <c r="O1613" t="s">
        <v>97</v>
      </c>
    </row>
    <row r="1614" spans="1:15" x14ac:dyDescent="0.2">
      <c r="A1614">
        <v>390</v>
      </c>
      <c r="B1614">
        <v>391</v>
      </c>
      <c r="C1614">
        <v>390</v>
      </c>
      <c r="D1614">
        <v>389</v>
      </c>
      <c r="E1614" t="s">
        <v>57</v>
      </c>
      <c r="F1614" t="s">
        <v>76</v>
      </c>
      <c r="G1614">
        <v>14</v>
      </c>
      <c r="H1614" t="s">
        <v>127</v>
      </c>
      <c r="I1614">
        <v>1</v>
      </c>
      <c r="J1614">
        <v>1</v>
      </c>
      <c r="K1614" t="s">
        <v>122</v>
      </c>
      <c r="L1614" t="s">
        <v>119</v>
      </c>
      <c r="M1614" t="s">
        <v>128</v>
      </c>
      <c r="N1614" t="s">
        <v>107</v>
      </c>
      <c r="O1614" t="s">
        <v>97</v>
      </c>
    </row>
    <row r="1615" spans="1:15" x14ac:dyDescent="0.2">
      <c r="A1615">
        <v>390</v>
      </c>
      <c r="B1615">
        <v>391</v>
      </c>
      <c r="C1615">
        <v>390</v>
      </c>
      <c r="D1615">
        <v>389</v>
      </c>
      <c r="E1615" t="s">
        <v>57</v>
      </c>
      <c r="F1615" t="s">
        <v>76</v>
      </c>
      <c r="G1615">
        <v>15</v>
      </c>
      <c r="H1615" t="s">
        <v>129</v>
      </c>
      <c r="I1615">
        <v>0</v>
      </c>
      <c r="J1615">
        <v>1</v>
      </c>
      <c r="K1615" t="s">
        <v>130</v>
      </c>
      <c r="L1615" t="s">
        <v>131</v>
      </c>
      <c r="M1615" t="s">
        <v>132</v>
      </c>
      <c r="N1615" t="s">
        <v>107</v>
      </c>
      <c r="O1615" t="s">
        <v>97</v>
      </c>
    </row>
    <row r="1616" spans="1:15" x14ac:dyDescent="0.2">
      <c r="A1616">
        <v>390</v>
      </c>
      <c r="B1616">
        <v>391</v>
      </c>
      <c r="C1616">
        <v>390</v>
      </c>
      <c r="D1616">
        <v>389</v>
      </c>
      <c r="E1616" t="s">
        <v>57</v>
      </c>
      <c r="F1616" t="s">
        <v>76</v>
      </c>
      <c r="G1616">
        <v>16</v>
      </c>
      <c r="H1616" t="s">
        <v>133</v>
      </c>
      <c r="I1616">
        <v>0</v>
      </c>
      <c r="J1616">
        <v>0</v>
      </c>
      <c r="K1616" t="e">
        <v>#N/A</v>
      </c>
      <c r="L1616" t="e">
        <v>#N/A</v>
      </c>
      <c r="M1616" t="e">
        <v>#N/A</v>
      </c>
      <c r="N1616" t="e">
        <v>#N/A</v>
      </c>
      <c r="O1616" t="s">
        <v>97</v>
      </c>
    </row>
    <row r="1617" spans="1:15" x14ac:dyDescent="0.2">
      <c r="A1617">
        <v>390</v>
      </c>
      <c r="B1617">
        <v>391</v>
      </c>
      <c r="C1617">
        <v>390</v>
      </c>
      <c r="D1617">
        <v>389</v>
      </c>
      <c r="E1617" t="s">
        <v>57</v>
      </c>
      <c r="F1617" t="s">
        <v>76</v>
      </c>
      <c r="G1617">
        <v>17</v>
      </c>
      <c r="H1617" t="s">
        <v>134</v>
      </c>
      <c r="I1617">
        <v>0.5</v>
      </c>
      <c r="J1617">
        <v>1</v>
      </c>
      <c r="K1617" t="s">
        <v>112</v>
      </c>
      <c r="L1617" t="s">
        <v>135</v>
      </c>
      <c r="M1617" t="s">
        <v>136</v>
      </c>
      <c r="N1617" t="s">
        <v>107</v>
      </c>
      <c r="O1617" t="s">
        <v>97</v>
      </c>
    </row>
    <row r="1618" spans="1:15" x14ac:dyDescent="0.2">
      <c r="A1618">
        <v>390</v>
      </c>
      <c r="B1618">
        <v>391</v>
      </c>
      <c r="C1618">
        <v>390</v>
      </c>
      <c r="D1618">
        <v>389</v>
      </c>
      <c r="E1618" t="s">
        <v>57</v>
      </c>
      <c r="F1618" t="s">
        <v>76</v>
      </c>
      <c r="G1618">
        <v>18</v>
      </c>
      <c r="H1618" t="s">
        <v>137</v>
      </c>
      <c r="I1618">
        <v>1</v>
      </c>
      <c r="J1618">
        <v>1</v>
      </c>
      <c r="K1618" t="s">
        <v>112</v>
      </c>
      <c r="L1618" t="s">
        <v>138</v>
      </c>
      <c r="M1618" t="s">
        <v>139</v>
      </c>
      <c r="N1618" t="s">
        <v>107</v>
      </c>
      <c r="O1618" t="s">
        <v>97</v>
      </c>
    </row>
    <row r="1619" spans="1:15" x14ac:dyDescent="0.2">
      <c r="A1619">
        <v>390</v>
      </c>
      <c r="B1619">
        <v>391</v>
      </c>
      <c r="C1619">
        <v>390</v>
      </c>
      <c r="D1619">
        <v>389</v>
      </c>
      <c r="E1619" t="s">
        <v>57</v>
      </c>
      <c r="F1619" t="s">
        <v>76</v>
      </c>
      <c r="G1619">
        <v>19</v>
      </c>
      <c r="H1619" t="s">
        <v>140</v>
      </c>
      <c r="I1619">
        <v>0.5</v>
      </c>
      <c r="J1619">
        <v>1</v>
      </c>
      <c r="K1619" t="s">
        <v>122</v>
      </c>
      <c r="L1619" t="s">
        <v>141</v>
      </c>
      <c r="M1619" t="s">
        <v>142</v>
      </c>
      <c r="N1619" t="s">
        <v>107</v>
      </c>
      <c r="O1619" t="s">
        <v>97</v>
      </c>
    </row>
    <row r="1620" spans="1:15" x14ac:dyDescent="0.2">
      <c r="A1620">
        <v>390</v>
      </c>
      <c r="B1620">
        <v>391</v>
      </c>
      <c r="C1620">
        <v>390</v>
      </c>
      <c r="D1620">
        <v>389</v>
      </c>
      <c r="E1620" t="s">
        <v>57</v>
      </c>
      <c r="F1620" t="s">
        <v>76</v>
      </c>
      <c r="G1620">
        <v>20</v>
      </c>
      <c r="H1620" t="s">
        <v>143</v>
      </c>
      <c r="I1620">
        <v>1</v>
      </c>
      <c r="J1620">
        <v>1</v>
      </c>
      <c r="K1620" t="s">
        <v>122</v>
      </c>
      <c r="L1620" t="s">
        <v>144</v>
      </c>
      <c r="M1620" t="s">
        <v>145</v>
      </c>
      <c r="N1620" t="s">
        <v>107</v>
      </c>
      <c r="O1620" t="s">
        <v>97</v>
      </c>
    </row>
    <row r="1621" spans="1:15" x14ac:dyDescent="0.2">
      <c r="A1621">
        <v>390</v>
      </c>
      <c r="B1621">
        <v>391</v>
      </c>
      <c r="C1621">
        <v>390</v>
      </c>
      <c r="D1621">
        <v>389</v>
      </c>
      <c r="E1621" t="s">
        <v>57</v>
      </c>
      <c r="F1621" t="s">
        <v>76</v>
      </c>
      <c r="G1621">
        <v>21</v>
      </c>
      <c r="H1621" t="s">
        <v>146</v>
      </c>
      <c r="I1621">
        <v>0.5</v>
      </c>
      <c r="J1621">
        <v>1</v>
      </c>
      <c r="K1621" t="s">
        <v>147</v>
      </c>
      <c r="L1621" t="s">
        <v>148</v>
      </c>
      <c r="M1621" t="s">
        <v>149</v>
      </c>
      <c r="N1621" t="s">
        <v>96</v>
      </c>
      <c r="O1621" t="s">
        <v>97</v>
      </c>
    </row>
    <row r="1622" spans="1:15" x14ac:dyDescent="0.2">
      <c r="A1622">
        <v>390</v>
      </c>
      <c r="B1622">
        <v>391</v>
      </c>
      <c r="C1622">
        <v>390</v>
      </c>
      <c r="D1622">
        <v>389</v>
      </c>
      <c r="E1622" t="s">
        <v>57</v>
      </c>
      <c r="F1622" t="s">
        <v>76</v>
      </c>
      <c r="G1622">
        <v>22</v>
      </c>
      <c r="H1622" t="s">
        <v>150</v>
      </c>
      <c r="I1622">
        <v>0</v>
      </c>
      <c r="J1622">
        <v>1</v>
      </c>
      <c r="K1622" t="s">
        <v>147</v>
      </c>
      <c r="L1622" t="s">
        <v>151</v>
      </c>
      <c r="M1622" t="s">
        <v>149</v>
      </c>
      <c r="N1622" t="s">
        <v>107</v>
      </c>
      <c r="O1622" t="s">
        <v>97</v>
      </c>
    </row>
    <row r="1623" spans="1:15" x14ac:dyDescent="0.2">
      <c r="A1623">
        <v>390</v>
      </c>
      <c r="B1623">
        <v>391</v>
      </c>
      <c r="C1623">
        <v>390</v>
      </c>
      <c r="D1623">
        <v>389</v>
      </c>
      <c r="E1623" t="s">
        <v>57</v>
      </c>
      <c r="F1623" t="s">
        <v>76</v>
      </c>
      <c r="G1623">
        <v>23</v>
      </c>
      <c r="H1623" t="s">
        <v>152</v>
      </c>
      <c r="I1623">
        <v>0</v>
      </c>
      <c r="J1623">
        <v>0</v>
      </c>
      <c r="K1623" t="s">
        <v>153</v>
      </c>
      <c r="L1623" t="s">
        <v>154</v>
      </c>
      <c r="M1623" t="s">
        <v>155</v>
      </c>
      <c r="N1623" t="s">
        <v>107</v>
      </c>
      <c r="O1623" t="s">
        <v>97</v>
      </c>
    </row>
    <row r="1624" spans="1:15" x14ac:dyDescent="0.2">
      <c r="A1624">
        <v>390</v>
      </c>
      <c r="B1624">
        <v>391</v>
      </c>
      <c r="C1624">
        <v>390</v>
      </c>
      <c r="D1624">
        <v>389</v>
      </c>
      <c r="E1624" t="s">
        <v>57</v>
      </c>
      <c r="F1624" t="s">
        <v>76</v>
      </c>
      <c r="G1624">
        <v>24</v>
      </c>
      <c r="H1624" t="s">
        <v>156</v>
      </c>
      <c r="I1624">
        <v>0</v>
      </c>
      <c r="J1624">
        <v>0.5</v>
      </c>
      <c r="K1624" t="s">
        <v>122</v>
      </c>
      <c r="L1624" t="s">
        <v>157</v>
      </c>
      <c r="M1624" t="s">
        <v>158</v>
      </c>
      <c r="N1624" t="s">
        <v>107</v>
      </c>
      <c r="O1624" t="s">
        <v>97</v>
      </c>
    </row>
    <row r="1625" spans="1:15" x14ac:dyDescent="0.2">
      <c r="A1625">
        <v>390</v>
      </c>
      <c r="B1625">
        <v>391</v>
      </c>
      <c r="C1625">
        <v>390</v>
      </c>
      <c r="D1625">
        <v>389</v>
      </c>
      <c r="E1625" t="s">
        <v>57</v>
      </c>
      <c r="F1625" t="s">
        <v>76</v>
      </c>
      <c r="G1625">
        <v>25</v>
      </c>
      <c r="H1625" t="s">
        <v>156</v>
      </c>
      <c r="I1625">
        <v>0</v>
      </c>
      <c r="J1625">
        <v>0.5</v>
      </c>
      <c r="K1625" t="s">
        <v>122</v>
      </c>
      <c r="L1625" t="s">
        <v>157</v>
      </c>
      <c r="M1625" t="s">
        <v>158</v>
      </c>
      <c r="N1625" t="s">
        <v>107</v>
      </c>
      <c r="O1625" t="s">
        <v>97</v>
      </c>
    </row>
    <row r="1626" spans="1:15" x14ac:dyDescent="0.2">
      <c r="A1626">
        <v>390</v>
      </c>
      <c r="B1626">
        <v>391</v>
      </c>
      <c r="C1626">
        <v>390</v>
      </c>
      <c r="D1626">
        <v>389</v>
      </c>
      <c r="E1626" t="s">
        <v>57</v>
      </c>
      <c r="F1626" t="s">
        <v>76</v>
      </c>
      <c r="G1626">
        <v>26</v>
      </c>
      <c r="H1626" t="s">
        <v>152</v>
      </c>
      <c r="I1626">
        <v>0</v>
      </c>
      <c r="J1626">
        <v>0</v>
      </c>
      <c r="K1626" t="s">
        <v>153</v>
      </c>
      <c r="L1626" t="s">
        <v>154</v>
      </c>
      <c r="M1626" t="s">
        <v>155</v>
      </c>
      <c r="N1626" t="s">
        <v>107</v>
      </c>
      <c r="O1626" t="s">
        <v>97</v>
      </c>
    </row>
    <row r="1627" spans="1:15" x14ac:dyDescent="0.2">
      <c r="A1627">
        <v>390</v>
      </c>
      <c r="B1627">
        <v>391</v>
      </c>
      <c r="C1627">
        <v>390</v>
      </c>
      <c r="D1627">
        <v>389</v>
      </c>
      <c r="E1627" t="s">
        <v>57</v>
      </c>
      <c r="F1627" t="s">
        <v>76</v>
      </c>
      <c r="G1627">
        <v>27</v>
      </c>
      <c r="H1627" t="s">
        <v>159</v>
      </c>
      <c r="I1627">
        <v>0</v>
      </c>
      <c r="J1627">
        <v>0.5</v>
      </c>
      <c r="K1627" t="s">
        <v>122</v>
      </c>
      <c r="L1627" t="s">
        <v>160</v>
      </c>
      <c r="M1627" t="s">
        <v>161</v>
      </c>
      <c r="N1627" t="s">
        <v>107</v>
      </c>
      <c r="O1627" t="s">
        <v>97</v>
      </c>
    </row>
    <row r="1628" spans="1:15" x14ac:dyDescent="0.2">
      <c r="A1628">
        <v>390</v>
      </c>
      <c r="B1628">
        <v>391</v>
      </c>
      <c r="C1628">
        <v>390</v>
      </c>
      <c r="D1628">
        <v>389</v>
      </c>
      <c r="E1628" t="s">
        <v>57</v>
      </c>
      <c r="F1628" t="s">
        <v>76</v>
      </c>
      <c r="G1628">
        <v>28</v>
      </c>
      <c r="H1628" t="s">
        <v>159</v>
      </c>
      <c r="I1628">
        <v>0</v>
      </c>
      <c r="J1628">
        <v>0.5</v>
      </c>
      <c r="K1628" t="s">
        <v>122</v>
      </c>
      <c r="L1628" t="s">
        <v>160</v>
      </c>
      <c r="M1628" t="s">
        <v>161</v>
      </c>
      <c r="N1628" t="s">
        <v>107</v>
      </c>
      <c r="O1628" t="s">
        <v>97</v>
      </c>
    </row>
    <row r="1629" spans="1:15" x14ac:dyDescent="0.2">
      <c r="A1629">
        <v>390</v>
      </c>
      <c r="B1629">
        <v>391</v>
      </c>
      <c r="C1629">
        <v>390</v>
      </c>
      <c r="D1629">
        <v>389</v>
      </c>
      <c r="E1629" t="s">
        <v>57</v>
      </c>
      <c r="F1629" t="s">
        <v>76</v>
      </c>
      <c r="G1629">
        <v>29</v>
      </c>
      <c r="H1629" t="s">
        <v>152</v>
      </c>
      <c r="I1629">
        <v>0</v>
      </c>
      <c r="J1629">
        <v>0</v>
      </c>
      <c r="K1629" t="s">
        <v>153</v>
      </c>
      <c r="L1629" t="s">
        <v>154</v>
      </c>
      <c r="M1629" t="s">
        <v>155</v>
      </c>
      <c r="N1629" t="s">
        <v>107</v>
      </c>
      <c r="O1629" t="s">
        <v>97</v>
      </c>
    </row>
    <row r="1630" spans="1:15" x14ac:dyDescent="0.2">
      <c r="A1630">
        <v>390</v>
      </c>
      <c r="B1630">
        <v>391</v>
      </c>
      <c r="C1630">
        <v>390</v>
      </c>
      <c r="D1630">
        <v>389</v>
      </c>
      <c r="E1630" t="s">
        <v>57</v>
      </c>
      <c r="F1630" t="s">
        <v>76</v>
      </c>
      <c r="G1630">
        <v>30</v>
      </c>
      <c r="H1630" t="s">
        <v>162</v>
      </c>
      <c r="I1630">
        <v>0</v>
      </c>
      <c r="J1630">
        <v>1</v>
      </c>
      <c r="K1630" t="s">
        <v>112</v>
      </c>
      <c r="L1630" t="s">
        <v>163</v>
      </c>
      <c r="M1630" t="s">
        <v>164</v>
      </c>
      <c r="N1630" t="s">
        <v>107</v>
      </c>
      <c r="O1630" t="s">
        <v>97</v>
      </c>
    </row>
    <row r="1631" spans="1:15" x14ac:dyDescent="0.2">
      <c r="A1631">
        <v>390</v>
      </c>
      <c r="B1631">
        <v>391</v>
      </c>
      <c r="C1631">
        <v>390</v>
      </c>
      <c r="D1631">
        <v>389</v>
      </c>
      <c r="E1631" t="s">
        <v>57</v>
      </c>
      <c r="F1631" t="s">
        <v>76</v>
      </c>
      <c r="G1631">
        <v>31</v>
      </c>
      <c r="H1631" t="s">
        <v>162</v>
      </c>
      <c r="I1631">
        <v>0</v>
      </c>
      <c r="J1631">
        <v>0</v>
      </c>
      <c r="K1631" t="s">
        <v>112</v>
      </c>
      <c r="L1631" t="s">
        <v>163</v>
      </c>
      <c r="M1631" t="s">
        <v>164</v>
      </c>
      <c r="N1631" t="s">
        <v>107</v>
      </c>
      <c r="O1631" t="s">
        <v>97</v>
      </c>
    </row>
    <row r="1632" spans="1:15" x14ac:dyDescent="0.2">
      <c r="A1632">
        <v>390</v>
      </c>
      <c r="B1632">
        <v>391</v>
      </c>
      <c r="C1632">
        <v>390</v>
      </c>
      <c r="D1632">
        <v>389</v>
      </c>
      <c r="E1632" t="s">
        <v>57</v>
      </c>
      <c r="F1632" t="s">
        <v>76</v>
      </c>
      <c r="G1632">
        <v>32</v>
      </c>
      <c r="H1632" t="s">
        <v>162</v>
      </c>
      <c r="I1632">
        <v>0</v>
      </c>
      <c r="J1632">
        <v>0</v>
      </c>
      <c r="K1632" t="s">
        <v>112</v>
      </c>
      <c r="L1632" t="s">
        <v>163</v>
      </c>
      <c r="M1632" t="s">
        <v>164</v>
      </c>
      <c r="N1632" t="s">
        <v>107</v>
      </c>
      <c r="O1632" t="s">
        <v>97</v>
      </c>
    </row>
    <row r="1633" spans="1:15" x14ac:dyDescent="0.2">
      <c r="A1633">
        <v>390</v>
      </c>
      <c r="B1633">
        <v>391</v>
      </c>
      <c r="C1633">
        <v>390</v>
      </c>
      <c r="D1633">
        <v>389</v>
      </c>
      <c r="E1633" t="s">
        <v>57</v>
      </c>
      <c r="F1633" t="s">
        <v>76</v>
      </c>
      <c r="G1633">
        <v>33</v>
      </c>
      <c r="H1633" t="s">
        <v>152</v>
      </c>
      <c r="I1633">
        <v>0</v>
      </c>
      <c r="J1633">
        <v>1</v>
      </c>
      <c r="K1633" t="s">
        <v>153</v>
      </c>
      <c r="L1633" t="s">
        <v>154</v>
      </c>
      <c r="M1633" t="s">
        <v>155</v>
      </c>
      <c r="N1633" t="s">
        <v>107</v>
      </c>
      <c r="O1633" t="s">
        <v>97</v>
      </c>
    </row>
    <row r="1634" spans="1:15" x14ac:dyDescent="0.2">
      <c r="A1634">
        <v>390</v>
      </c>
      <c r="B1634">
        <v>391</v>
      </c>
      <c r="C1634">
        <v>390</v>
      </c>
      <c r="D1634">
        <v>389</v>
      </c>
      <c r="E1634" t="s">
        <v>57</v>
      </c>
      <c r="F1634" t="s">
        <v>76</v>
      </c>
      <c r="G1634">
        <v>34</v>
      </c>
      <c r="H1634" t="s">
        <v>152</v>
      </c>
      <c r="I1634">
        <v>0</v>
      </c>
      <c r="J1634">
        <v>0</v>
      </c>
      <c r="K1634" t="s">
        <v>153</v>
      </c>
      <c r="L1634" t="s">
        <v>154</v>
      </c>
      <c r="M1634" t="s">
        <v>155</v>
      </c>
      <c r="N1634" t="s">
        <v>107</v>
      </c>
      <c r="O1634" t="s">
        <v>97</v>
      </c>
    </row>
    <row r="1635" spans="1:15" x14ac:dyDescent="0.2">
      <c r="A1635">
        <v>390</v>
      </c>
      <c r="B1635">
        <v>391</v>
      </c>
      <c r="C1635">
        <v>390</v>
      </c>
      <c r="D1635">
        <v>389</v>
      </c>
      <c r="E1635" t="s">
        <v>57</v>
      </c>
      <c r="F1635" t="s">
        <v>76</v>
      </c>
      <c r="G1635">
        <v>35</v>
      </c>
      <c r="H1635" t="s">
        <v>165</v>
      </c>
      <c r="I1635">
        <v>1</v>
      </c>
      <c r="J1635">
        <v>1</v>
      </c>
      <c r="K1635" t="s">
        <v>166</v>
      </c>
      <c r="L1635" t="s">
        <v>167</v>
      </c>
      <c r="M1635" t="s">
        <v>168</v>
      </c>
      <c r="N1635" t="s">
        <v>107</v>
      </c>
      <c r="O1635" t="s">
        <v>97</v>
      </c>
    </row>
    <row r="1636" spans="1:15" x14ac:dyDescent="0.2">
      <c r="A1636">
        <v>390</v>
      </c>
      <c r="B1636">
        <v>391</v>
      </c>
      <c r="C1636">
        <v>390</v>
      </c>
      <c r="D1636">
        <v>389</v>
      </c>
      <c r="E1636" t="s">
        <v>57</v>
      </c>
      <c r="F1636" t="s">
        <v>76</v>
      </c>
      <c r="G1636">
        <v>36</v>
      </c>
      <c r="H1636" t="s">
        <v>169</v>
      </c>
      <c r="I1636">
        <v>0</v>
      </c>
      <c r="J1636">
        <v>0</v>
      </c>
      <c r="K1636" t="e">
        <v>#N/A</v>
      </c>
      <c r="L1636" t="e">
        <v>#N/A</v>
      </c>
      <c r="M1636" t="e">
        <v>#N/A</v>
      </c>
      <c r="N1636" t="e">
        <v>#N/A</v>
      </c>
      <c r="O1636" t="s">
        <v>97</v>
      </c>
    </row>
    <row r="1637" spans="1:15" x14ac:dyDescent="0.2">
      <c r="A1637">
        <v>390</v>
      </c>
      <c r="B1637">
        <v>391</v>
      </c>
      <c r="C1637">
        <v>390</v>
      </c>
      <c r="D1637">
        <v>389</v>
      </c>
      <c r="E1637" t="s">
        <v>57</v>
      </c>
      <c r="F1637" t="s">
        <v>76</v>
      </c>
      <c r="G1637">
        <v>38</v>
      </c>
      <c r="H1637" t="s">
        <v>170</v>
      </c>
      <c r="I1637">
        <v>0</v>
      </c>
      <c r="J1637">
        <v>0.5</v>
      </c>
      <c r="K1637" t="s">
        <v>112</v>
      </c>
      <c r="L1637" t="s">
        <v>171</v>
      </c>
      <c r="M1637" t="s">
        <v>172</v>
      </c>
      <c r="N1637" t="s">
        <v>96</v>
      </c>
      <c r="O1637" t="s">
        <v>97</v>
      </c>
    </row>
    <row r="1638" spans="1:15" x14ac:dyDescent="0.2">
      <c r="A1638">
        <v>390</v>
      </c>
      <c r="B1638">
        <v>391</v>
      </c>
      <c r="C1638">
        <v>390</v>
      </c>
      <c r="D1638">
        <v>389</v>
      </c>
      <c r="E1638" t="s">
        <v>57</v>
      </c>
      <c r="F1638" t="s">
        <v>76</v>
      </c>
      <c r="G1638">
        <v>39</v>
      </c>
      <c r="H1638" t="s">
        <v>170</v>
      </c>
      <c r="I1638">
        <v>0</v>
      </c>
      <c r="J1638">
        <v>0.5</v>
      </c>
      <c r="K1638" t="s">
        <v>112</v>
      </c>
      <c r="L1638" t="s">
        <v>171</v>
      </c>
      <c r="M1638" t="s">
        <v>172</v>
      </c>
      <c r="N1638" t="s">
        <v>96</v>
      </c>
      <c r="O1638" t="s">
        <v>97</v>
      </c>
    </row>
    <row r="1639" spans="1:15" x14ac:dyDescent="0.2">
      <c r="A1639">
        <v>390</v>
      </c>
      <c r="B1639">
        <v>391</v>
      </c>
      <c r="C1639">
        <v>390</v>
      </c>
      <c r="D1639">
        <v>389</v>
      </c>
      <c r="E1639" t="s">
        <v>57</v>
      </c>
      <c r="F1639" t="s">
        <v>76</v>
      </c>
      <c r="G1639">
        <v>40</v>
      </c>
      <c r="H1639" t="s">
        <v>170</v>
      </c>
      <c r="I1639">
        <v>0</v>
      </c>
      <c r="J1639">
        <v>0.5</v>
      </c>
      <c r="K1639" t="s">
        <v>112</v>
      </c>
      <c r="L1639" t="s">
        <v>171</v>
      </c>
      <c r="M1639" t="s">
        <v>172</v>
      </c>
      <c r="N1639" t="s">
        <v>96</v>
      </c>
      <c r="O1639" t="s">
        <v>97</v>
      </c>
    </row>
    <row r="1640" spans="1:15" x14ac:dyDescent="0.2">
      <c r="A1640">
        <v>390</v>
      </c>
      <c r="B1640">
        <v>391</v>
      </c>
      <c r="C1640">
        <v>390</v>
      </c>
      <c r="D1640">
        <v>389</v>
      </c>
      <c r="E1640" t="s">
        <v>57</v>
      </c>
      <c r="F1640" t="s">
        <v>76</v>
      </c>
      <c r="G1640">
        <v>41</v>
      </c>
      <c r="H1640" t="s">
        <v>173</v>
      </c>
      <c r="I1640">
        <v>0</v>
      </c>
      <c r="J1640">
        <v>0</v>
      </c>
      <c r="K1640" t="s">
        <v>166</v>
      </c>
      <c r="L1640" t="s">
        <v>174</v>
      </c>
      <c r="M1640" t="s">
        <v>175</v>
      </c>
      <c r="N1640" t="s">
        <v>107</v>
      </c>
      <c r="O1640" t="s">
        <v>97</v>
      </c>
    </row>
    <row r="1641" spans="1:15" x14ac:dyDescent="0.2">
      <c r="A1641">
        <v>390</v>
      </c>
      <c r="B1641">
        <v>391</v>
      </c>
      <c r="C1641">
        <v>390</v>
      </c>
      <c r="D1641">
        <v>389</v>
      </c>
      <c r="E1641" t="s">
        <v>57</v>
      </c>
      <c r="F1641" t="s">
        <v>76</v>
      </c>
      <c r="G1641">
        <v>42</v>
      </c>
      <c r="H1641" t="s">
        <v>176</v>
      </c>
      <c r="I1641">
        <v>0</v>
      </c>
      <c r="J1641" t="s">
        <v>198</v>
      </c>
      <c r="K1641" t="s">
        <v>153</v>
      </c>
      <c r="L1641" t="s">
        <v>177</v>
      </c>
      <c r="M1641" t="s">
        <v>178</v>
      </c>
      <c r="N1641" t="s">
        <v>107</v>
      </c>
      <c r="O1641" t="s">
        <v>97</v>
      </c>
    </row>
    <row r="1642" spans="1:15" x14ac:dyDescent="0.2">
      <c r="A1642">
        <v>390</v>
      </c>
      <c r="B1642">
        <v>391</v>
      </c>
      <c r="C1642">
        <v>390</v>
      </c>
      <c r="D1642">
        <v>389</v>
      </c>
      <c r="E1642" t="s">
        <v>57</v>
      </c>
      <c r="F1642" t="s">
        <v>76</v>
      </c>
      <c r="G1642">
        <v>43</v>
      </c>
      <c r="H1642" t="s">
        <v>179</v>
      </c>
      <c r="I1642">
        <v>0</v>
      </c>
      <c r="J1642">
        <v>0</v>
      </c>
      <c r="K1642" t="s">
        <v>166</v>
      </c>
      <c r="L1642" t="s">
        <v>180</v>
      </c>
      <c r="M1642" t="s">
        <v>181</v>
      </c>
      <c r="N1642" t="s">
        <v>107</v>
      </c>
      <c r="O1642" t="s">
        <v>97</v>
      </c>
    </row>
    <row r="1643" spans="1:15" x14ac:dyDescent="0.2">
      <c r="A1643">
        <v>390</v>
      </c>
      <c r="B1643">
        <v>391</v>
      </c>
      <c r="C1643">
        <v>390</v>
      </c>
      <c r="D1643">
        <v>389</v>
      </c>
      <c r="E1643" t="s">
        <v>57</v>
      </c>
      <c r="F1643" t="s">
        <v>76</v>
      </c>
      <c r="G1643">
        <v>44</v>
      </c>
      <c r="H1643" t="s">
        <v>182</v>
      </c>
      <c r="I1643">
        <v>0</v>
      </c>
      <c r="J1643">
        <v>1</v>
      </c>
      <c r="K1643" t="s">
        <v>166</v>
      </c>
      <c r="L1643" t="s">
        <v>183</v>
      </c>
      <c r="M1643" t="s">
        <v>184</v>
      </c>
      <c r="N1643" t="s">
        <v>107</v>
      </c>
      <c r="O1643" t="s">
        <v>97</v>
      </c>
    </row>
    <row r="1644" spans="1:15" x14ac:dyDescent="0.2">
      <c r="A1644">
        <v>390</v>
      </c>
      <c r="B1644">
        <v>391</v>
      </c>
      <c r="C1644">
        <v>390</v>
      </c>
      <c r="D1644">
        <v>389</v>
      </c>
      <c r="E1644" t="s">
        <v>57</v>
      </c>
      <c r="F1644" t="s">
        <v>76</v>
      </c>
      <c r="G1644">
        <v>45</v>
      </c>
      <c r="H1644" t="s">
        <v>185</v>
      </c>
      <c r="I1644">
        <v>1</v>
      </c>
      <c r="J1644">
        <v>1</v>
      </c>
      <c r="K1644" t="s">
        <v>166</v>
      </c>
      <c r="L1644" t="s">
        <v>186</v>
      </c>
      <c r="M1644" t="s">
        <v>139</v>
      </c>
      <c r="N1644" t="s">
        <v>107</v>
      </c>
      <c r="O1644" t="s">
        <v>97</v>
      </c>
    </row>
    <row r="1645" spans="1:15" x14ac:dyDescent="0.2">
      <c r="A1645">
        <v>390</v>
      </c>
      <c r="B1645">
        <v>391</v>
      </c>
      <c r="C1645">
        <v>390</v>
      </c>
      <c r="D1645">
        <v>389</v>
      </c>
      <c r="E1645" t="s">
        <v>57</v>
      </c>
      <c r="F1645" t="s">
        <v>76</v>
      </c>
      <c r="G1645">
        <v>47</v>
      </c>
      <c r="H1645" t="s">
        <v>187</v>
      </c>
      <c r="I1645">
        <v>0</v>
      </c>
      <c r="J1645">
        <v>0.2</v>
      </c>
      <c r="K1645" t="s">
        <v>93</v>
      </c>
      <c r="L1645" t="s">
        <v>188</v>
      </c>
      <c r="M1645" t="s">
        <v>95</v>
      </c>
      <c r="N1645" t="s">
        <v>96</v>
      </c>
      <c r="O1645" t="s">
        <v>97</v>
      </c>
    </row>
    <row r="1646" spans="1:15" x14ac:dyDescent="0.2">
      <c r="A1646">
        <v>390</v>
      </c>
      <c r="B1646">
        <v>391</v>
      </c>
      <c r="C1646">
        <v>390</v>
      </c>
      <c r="D1646">
        <v>389</v>
      </c>
      <c r="E1646" t="s">
        <v>57</v>
      </c>
      <c r="F1646" t="s">
        <v>76</v>
      </c>
      <c r="G1646">
        <v>48</v>
      </c>
      <c r="H1646" t="s">
        <v>189</v>
      </c>
      <c r="I1646">
        <v>0.2</v>
      </c>
      <c r="J1646">
        <v>0.2</v>
      </c>
      <c r="K1646" t="s">
        <v>93</v>
      </c>
      <c r="L1646" t="s">
        <v>190</v>
      </c>
      <c r="M1646" t="s">
        <v>95</v>
      </c>
      <c r="N1646" t="s">
        <v>96</v>
      </c>
      <c r="O1646" t="s">
        <v>97</v>
      </c>
    </row>
    <row r="1647" spans="1:15" x14ac:dyDescent="0.2">
      <c r="A1647">
        <v>390</v>
      </c>
      <c r="B1647">
        <v>391</v>
      </c>
      <c r="C1647">
        <v>390</v>
      </c>
      <c r="D1647">
        <v>389</v>
      </c>
      <c r="E1647" t="s">
        <v>57</v>
      </c>
      <c r="F1647" t="s">
        <v>76</v>
      </c>
      <c r="G1647">
        <v>49</v>
      </c>
      <c r="H1647" t="s">
        <v>191</v>
      </c>
      <c r="I1647">
        <v>0</v>
      </c>
      <c r="J1647">
        <v>0.2</v>
      </c>
      <c r="K1647" t="s">
        <v>93</v>
      </c>
      <c r="L1647" t="s">
        <v>192</v>
      </c>
      <c r="M1647" t="s">
        <v>95</v>
      </c>
      <c r="N1647" t="s">
        <v>96</v>
      </c>
      <c r="O1647" t="s">
        <v>97</v>
      </c>
    </row>
    <row r="1648" spans="1:15" x14ac:dyDescent="0.2">
      <c r="A1648">
        <v>390</v>
      </c>
      <c r="B1648">
        <v>391</v>
      </c>
      <c r="C1648">
        <v>390</v>
      </c>
      <c r="D1648">
        <v>389</v>
      </c>
      <c r="E1648" t="s">
        <v>57</v>
      </c>
      <c r="F1648" t="s">
        <v>76</v>
      </c>
      <c r="G1648">
        <v>50</v>
      </c>
      <c r="H1648" t="s">
        <v>193</v>
      </c>
      <c r="I1648">
        <v>0.1</v>
      </c>
      <c r="J1648">
        <v>0.1</v>
      </c>
      <c r="K1648" t="s">
        <v>93</v>
      </c>
      <c r="L1648" t="s">
        <v>194</v>
      </c>
      <c r="M1648" t="s">
        <v>95</v>
      </c>
      <c r="N1648" t="s">
        <v>96</v>
      </c>
      <c r="O1648" t="s">
        <v>97</v>
      </c>
    </row>
    <row r="1649" spans="1:15" x14ac:dyDescent="0.2">
      <c r="A1649">
        <v>390</v>
      </c>
      <c r="B1649">
        <v>391</v>
      </c>
      <c r="C1649">
        <v>390</v>
      </c>
      <c r="D1649">
        <v>389</v>
      </c>
      <c r="E1649" t="s">
        <v>57</v>
      </c>
      <c r="F1649" t="s">
        <v>76</v>
      </c>
      <c r="G1649">
        <v>51</v>
      </c>
      <c r="H1649" t="s">
        <v>193</v>
      </c>
      <c r="I1649">
        <v>0.1</v>
      </c>
      <c r="J1649">
        <v>0.1</v>
      </c>
      <c r="K1649" t="s">
        <v>93</v>
      </c>
      <c r="L1649" t="s">
        <v>194</v>
      </c>
      <c r="M1649" t="s">
        <v>95</v>
      </c>
      <c r="N1649" t="s">
        <v>96</v>
      </c>
      <c r="O1649" t="s">
        <v>97</v>
      </c>
    </row>
    <row r="1650" spans="1:15" x14ac:dyDescent="0.2">
      <c r="A1650">
        <v>390</v>
      </c>
      <c r="B1650">
        <v>391</v>
      </c>
      <c r="C1650">
        <v>390</v>
      </c>
      <c r="D1650">
        <v>389</v>
      </c>
      <c r="E1650" t="s">
        <v>57</v>
      </c>
      <c r="F1650" t="s">
        <v>76</v>
      </c>
      <c r="G1650">
        <v>97</v>
      </c>
      <c r="H1650" t="s">
        <v>152</v>
      </c>
      <c r="I1650">
        <v>0.25</v>
      </c>
      <c r="J1650">
        <v>0.25</v>
      </c>
      <c r="K1650" t="s">
        <v>153</v>
      </c>
      <c r="L1650" t="s">
        <v>154</v>
      </c>
      <c r="M1650" t="s">
        <v>155</v>
      </c>
      <c r="N1650" t="s">
        <v>107</v>
      </c>
      <c r="O1650" t="s">
        <v>97</v>
      </c>
    </row>
    <row r="1651" spans="1:15" x14ac:dyDescent="0.2">
      <c r="A1651">
        <v>390</v>
      </c>
      <c r="B1651">
        <v>391</v>
      </c>
      <c r="C1651">
        <v>390</v>
      </c>
      <c r="D1651">
        <v>389</v>
      </c>
      <c r="E1651" t="s">
        <v>57</v>
      </c>
      <c r="F1651" t="s">
        <v>76</v>
      </c>
      <c r="G1651">
        <v>96</v>
      </c>
      <c r="H1651" t="s">
        <v>152</v>
      </c>
      <c r="I1651">
        <v>0</v>
      </c>
      <c r="J1651">
        <v>0</v>
      </c>
      <c r="K1651" t="s">
        <v>153</v>
      </c>
      <c r="L1651" t="s">
        <v>154</v>
      </c>
      <c r="M1651" t="s">
        <v>155</v>
      </c>
      <c r="N1651" t="s">
        <v>107</v>
      </c>
      <c r="O1651" t="s">
        <v>97</v>
      </c>
    </row>
    <row r="1652" spans="1:15" x14ac:dyDescent="0.2">
      <c r="A1652">
        <v>390</v>
      </c>
      <c r="B1652">
        <v>391</v>
      </c>
      <c r="C1652">
        <v>390</v>
      </c>
      <c r="D1652">
        <v>389</v>
      </c>
      <c r="E1652" t="s">
        <v>57</v>
      </c>
      <c r="F1652" t="s">
        <v>76</v>
      </c>
      <c r="G1652">
        <v>99</v>
      </c>
      <c r="H1652" t="s">
        <v>152</v>
      </c>
      <c r="I1652">
        <v>0</v>
      </c>
      <c r="J1652">
        <v>0</v>
      </c>
      <c r="K1652" t="s">
        <v>153</v>
      </c>
      <c r="L1652" t="s">
        <v>154</v>
      </c>
      <c r="M1652" t="s">
        <v>155</v>
      </c>
      <c r="N1652" t="s">
        <v>107</v>
      </c>
      <c r="O1652" t="s">
        <v>97</v>
      </c>
    </row>
    <row r="1653" spans="1:15" x14ac:dyDescent="0.2">
      <c r="A1653">
        <v>390</v>
      </c>
      <c r="B1653">
        <v>391</v>
      </c>
      <c r="C1653">
        <v>390</v>
      </c>
      <c r="D1653">
        <v>389</v>
      </c>
      <c r="E1653" t="s">
        <v>57</v>
      </c>
      <c r="F1653" t="s">
        <v>76</v>
      </c>
      <c r="G1653">
        <v>98</v>
      </c>
      <c r="H1653" t="s">
        <v>204</v>
      </c>
      <c r="I1653">
        <v>0</v>
      </c>
      <c r="J1653">
        <v>1</v>
      </c>
      <c r="K1653" t="s">
        <v>122</v>
      </c>
      <c r="L1653" t="s">
        <v>205</v>
      </c>
      <c r="M1653" t="s">
        <v>206</v>
      </c>
      <c r="N1653" t="s">
        <v>207</v>
      </c>
      <c r="O1653" t="s">
        <v>97</v>
      </c>
    </row>
    <row r="1654" spans="1:15" x14ac:dyDescent="0.2">
      <c r="A1654">
        <v>380</v>
      </c>
      <c r="B1654">
        <v>381</v>
      </c>
      <c r="C1654">
        <v>380</v>
      </c>
      <c r="D1654">
        <v>379</v>
      </c>
      <c r="E1654" t="s">
        <v>57</v>
      </c>
      <c r="F1654" t="s">
        <v>75</v>
      </c>
      <c r="G1654">
        <v>1</v>
      </c>
      <c r="H1654" t="s">
        <v>92</v>
      </c>
      <c r="I1654">
        <v>0.2</v>
      </c>
      <c r="J1654">
        <v>0.2</v>
      </c>
      <c r="K1654" t="s">
        <v>93</v>
      </c>
      <c r="L1654" t="s">
        <v>94</v>
      </c>
      <c r="M1654" t="s">
        <v>95</v>
      </c>
      <c r="N1654" t="s">
        <v>96</v>
      </c>
      <c r="O1654" t="s">
        <v>97</v>
      </c>
    </row>
    <row r="1655" spans="1:15" x14ac:dyDescent="0.2">
      <c r="A1655">
        <v>380</v>
      </c>
      <c r="B1655">
        <v>381</v>
      </c>
      <c r="C1655">
        <v>380</v>
      </c>
      <c r="D1655">
        <v>379</v>
      </c>
      <c r="E1655" t="s">
        <v>57</v>
      </c>
      <c r="F1655" t="s">
        <v>75</v>
      </c>
      <c r="G1655">
        <v>2</v>
      </c>
      <c r="H1655" t="s">
        <v>98</v>
      </c>
      <c r="I1655">
        <v>0.5</v>
      </c>
      <c r="J1655">
        <v>0.5</v>
      </c>
      <c r="K1655" t="s">
        <v>93</v>
      </c>
      <c r="L1655" t="s">
        <v>99</v>
      </c>
      <c r="M1655" t="s">
        <v>95</v>
      </c>
      <c r="N1655" t="s">
        <v>96</v>
      </c>
      <c r="O1655" t="s">
        <v>97</v>
      </c>
    </row>
    <row r="1656" spans="1:15" x14ac:dyDescent="0.2">
      <c r="A1656">
        <v>380</v>
      </c>
      <c r="B1656">
        <v>381</v>
      </c>
      <c r="C1656">
        <v>380</v>
      </c>
      <c r="D1656">
        <v>379</v>
      </c>
      <c r="E1656" t="s">
        <v>57</v>
      </c>
      <c r="F1656" t="s">
        <v>75</v>
      </c>
      <c r="G1656">
        <v>3</v>
      </c>
      <c r="H1656" t="s">
        <v>100</v>
      </c>
      <c r="I1656">
        <v>0</v>
      </c>
      <c r="J1656">
        <v>1</v>
      </c>
      <c r="K1656" t="s">
        <v>101</v>
      </c>
      <c r="L1656" t="s">
        <v>102</v>
      </c>
      <c r="M1656" t="s">
        <v>103</v>
      </c>
      <c r="N1656" t="s">
        <v>96</v>
      </c>
      <c r="O1656" t="s">
        <v>97</v>
      </c>
    </row>
    <row r="1657" spans="1:15" x14ac:dyDescent="0.2">
      <c r="A1657">
        <v>380</v>
      </c>
      <c r="B1657">
        <v>381</v>
      </c>
      <c r="C1657">
        <v>380</v>
      </c>
      <c r="D1657">
        <v>379</v>
      </c>
      <c r="E1657" t="s">
        <v>57</v>
      </c>
      <c r="F1657" t="s">
        <v>75</v>
      </c>
      <c r="G1657">
        <v>4</v>
      </c>
      <c r="H1657" t="s">
        <v>104</v>
      </c>
      <c r="I1657">
        <v>0</v>
      </c>
      <c r="J1657">
        <v>1</v>
      </c>
      <c r="K1657" t="s">
        <v>101</v>
      </c>
      <c r="L1657" t="s">
        <v>105</v>
      </c>
      <c r="M1657" t="s">
        <v>106</v>
      </c>
      <c r="N1657" t="s">
        <v>107</v>
      </c>
      <c r="O1657" t="s">
        <v>97</v>
      </c>
    </row>
    <row r="1658" spans="1:15" x14ac:dyDescent="0.2">
      <c r="A1658">
        <v>380</v>
      </c>
      <c r="B1658">
        <v>381</v>
      </c>
      <c r="C1658">
        <v>380</v>
      </c>
      <c r="D1658">
        <v>379</v>
      </c>
      <c r="E1658" t="s">
        <v>57</v>
      </c>
      <c r="F1658" t="s">
        <v>75</v>
      </c>
      <c r="G1658">
        <v>5</v>
      </c>
      <c r="H1658" t="s">
        <v>108</v>
      </c>
      <c r="I1658">
        <v>0</v>
      </c>
      <c r="J1658">
        <v>1</v>
      </c>
      <c r="K1658" t="s">
        <v>101</v>
      </c>
      <c r="L1658" t="s">
        <v>109</v>
      </c>
      <c r="M1658" t="s">
        <v>110</v>
      </c>
      <c r="N1658" t="s">
        <v>107</v>
      </c>
      <c r="O1658" t="s">
        <v>97</v>
      </c>
    </row>
    <row r="1659" spans="1:15" x14ac:dyDescent="0.2">
      <c r="A1659">
        <v>380</v>
      </c>
      <c r="B1659">
        <v>381</v>
      </c>
      <c r="C1659">
        <v>380</v>
      </c>
      <c r="D1659">
        <v>379</v>
      </c>
      <c r="E1659" t="s">
        <v>57</v>
      </c>
      <c r="F1659" t="s">
        <v>75</v>
      </c>
      <c r="G1659">
        <v>9</v>
      </c>
      <c r="H1659" t="s">
        <v>111</v>
      </c>
      <c r="I1659">
        <v>0.5</v>
      </c>
      <c r="J1659">
        <v>0.5</v>
      </c>
      <c r="K1659" t="s">
        <v>112</v>
      </c>
      <c r="L1659" t="s">
        <v>113</v>
      </c>
      <c r="M1659" t="s">
        <v>114</v>
      </c>
      <c r="N1659" t="s">
        <v>96</v>
      </c>
      <c r="O1659" t="s">
        <v>97</v>
      </c>
    </row>
    <row r="1660" spans="1:15" x14ac:dyDescent="0.2">
      <c r="A1660">
        <v>380</v>
      </c>
      <c r="B1660">
        <v>381</v>
      </c>
      <c r="C1660">
        <v>380</v>
      </c>
      <c r="D1660">
        <v>379</v>
      </c>
      <c r="E1660" t="s">
        <v>57</v>
      </c>
      <c r="F1660" t="s">
        <v>75</v>
      </c>
      <c r="G1660">
        <v>10</v>
      </c>
      <c r="H1660" t="s">
        <v>115</v>
      </c>
      <c r="I1660">
        <v>0</v>
      </c>
      <c r="J1660">
        <v>0.5</v>
      </c>
      <c r="K1660" t="s">
        <v>112</v>
      </c>
      <c r="L1660" t="s">
        <v>116</v>
      </c>
      <c r="M1660" t="s">
        <v>117</v>
      </c>
      <c r="N1660" t="s">
        <v>96</v>
      </c>
      <c r="O1660" t="s">
        <v>97</v>
      </c>
    </row>
    <row r="1661" spans="1:15" x14ac:dyDescent="0.2">
      <c r="A1661">
        <v>380</v>
      </c>
      <c r="B1661">
        <v>381</v>
      </c>
      <c r="C1661">
        <v>380</v>
      </c>
      <c r="D1661">
        <v>379</v>
      </c>
      <c r="E1661" t="s">
        <v>57</v>
      </c>
      <c r="F1661" t="s">
        <v>75</v>
      </c>
      <c r="G1661">
        <v>11</v>
      </c>
      <c r="H1661" t="s">
        <v>118</v>
      </c>
      <c r="I1661">
        <v>1</v>
      </c>
      <c r="J1661">
        <v>1</v>
      </c>
      <c r="K1661" t="s">
        <v>112</v>
      </c>
      <c r="L1661" t="s">
        <v>119</v>
      </c>
      <c r="M1661" t="s">
        <v>120</v>
      </c>
      <c r="N1661" t="s">
        <v>107</v>
      </c>
      <c r="O1661" t="s">
        <v>97</v>
      </c>
    </row>
    <row r="1662" spans="1:15" x14ac:dyDescent="0.2">
      <c r="A1662">
        <v>380</v>
      </c>
      <c r="B1662">
        <v>381</v>
      </c>
      <c r="C1662">
        <v>380</v>
      </c>
      <c r="D1662">
        <v>379</v>
      </c>
      <c r="E1662" t="s">
        <v>57</v>
      </c>
      <c r="F1662" t="s">
        <v>75</v>
      </c>
      <c r="G1662">
        <v>12</v>
      </c>
      <c r="H1662" t="s">
        <v>121</v>
      </c>
      <c r="I1662">
        <v>0.5</v>
      </c>
      <c r="J1662">
        <v>0.5</v>
      </c>
      <c r="K1662" t="s">
        <v>122</v>
      </c>
      <c r="L1662" t="s">
        <v>113</v>
      </c>
      <c r="M1662" t="s">
        <v>123</v>
      </c>
      <c r="N1662" t="s">
        <v>96</v>
      </c>
      <c r="O1662" t="s">
        <v>97</v>
      </c>
    </row>
    <row r="1663" spans="1:15" x14ac:dyDescent="0.2">
      <c r="A1663">
        <v>380</v>
      </c>
      <c r="B1663">
        <v>381</v>
      </c>
      <c r="C1663">
        <v>380</v>
      </c>
      <c r="D1663">
        <v>379</v>
      </c>
      <c r="E1663" t="s">
        <v>57</v>
      </c>
      <c r="F1663" t="s">
        <v>75</v>
      </c>
      <c r="G1663">
        <v>13</v>
      </c>
      <c r="H1663" t="s">
        <v>124</v>
      </c>
      <c r="I1663">
        <v>0</v>
      </c>
      <c r="J1663">
        <v>0.5</v>
      </c>
      <c r="K1663" t="s">
        <v>122</v>
      </c>
      <c r="L1663" t="s">
        <v>125</v>
      </c>
      <c r="M1663" t="s">
        <v>126</v>
      </c>
      <c r="N1663" t="s">
        <v>96</v>
      </c>
      <c r="O1663" t="s">
        <v>97</v>
      </c>
    </row>
    <row r="1664" spans="1:15" x14ac:dyDescent="0.2">
      <c r="A1664">
        <v>380</v>
      </c>
      <c r="B1664">
        <v>381</v>
      </c>
      <c r="C1664">
        <v>380</v>
      </c>
      <c r="D1664">
        <v>379</v>
      </c>
      <c r="E1664" t="s">
        <v>57</v>
      </c>
      <c r="F1664" t="s">
        <v>75</v>
      </c>
      <c r="G1664">
        <v>14</v>
      </c>
      <c r="H1664" t="s">
        <v>127</v>
      </c>
      <c r="I1664">
        <v>1</v>
      </c>
      <c r="J1664">
        <v>1</v>
      </c>
      <c r="K1664" t="s">
        <v>122</v>
      </c>
      <c r="L1664" t="s">
        <v>119</v>
      </c>
      <c r="M1664" t="s">
        <v>128</v>
      </c>
      <c r="N1664" t="s">
        <v>107</v>
      </c>
      <c r="O1664" t="s">
        <v>97</v>
      </c>
    </row>
    <row r="1665" spans="1:15" x14ac:dyDescent="0.2">
      <c r="A1665">
        <v>380</v>
      </c>
      <c r="B1665">
        <v>381</v>
      </c>
      <c r="C1665">
        <v>380</v>
      </c>
      <c r="D1665">
        <v>379</v>
      </c>
      <c r="E1665" t="s">
        <v>57</v>
      </c>
      <c r="F1665" t="s">
        <v>75</v>
      </c>
      <c r="G1665">
        <v>15</v>
      </c>
      <c r="H1665" t="s">
        <v>129</v>
      </c>
      <c r="I1665">
        <v>0</v>
      </c>
      <c r="J1665">
        <v>1</v>
      </c>
      <c r="K1665" t="s">
        <v>130</v>
      </c>
      <c r="L1665" t="s">
        <v>131</v>
      </c>
      <c r="M1665" t="s">
        <v>132</v>
      </c>
      <c r="N1665" t="s">
        <v>107</v>
      </c>
      <c r="O1665" t="s">
        <v>97</v>
      </c>
    </row>
    <row r="1666" spans="1:15" x14ac:dyDescent="0.2">
      <c r="A1666">
        <v>380</v>
      </c>
      <c r="B1666">
        <v>381</v>
      </c>
      <c r="C1666">
        <v>380</v>
      </c>
      <c r="D1666">
        <v>379</v>
      </c>
      <c r="E1666" t="s">
        <v>57</v>
      </c>
      <c r="F1666" t="s">
        <v>75</v>
      </c>
      <c r="G1666">
        <v>16</v>
      </c>
      <c r="H1666" t="s">
        <v>133</v>
      </c>
      <c r="I1666">
        <v>0</v>
      </c>
      <c r="J1666">
        <v>0</v>
      </c>
      <c r="K1666" t="e">
        <v>#N/A</v>
      </c>
      <c r="L1666" t="e">
        <v>#N/A</v>
      </c>
      <c r="M1666" t="e">
        <v>#N/A</v>
      </c>
      <c r="N1666" t="e">
        <v>#N/A</v>
      </c>
      <c r="O1666" t="s">
        <v>97</v>
      </c>
    </row>
    <row r="1667" spans="1:15" x14ac:dyDescent="0.2">
      <c r="A1667">
        <v>380</v>
      </c>
      <c r="B1667">
        <v>381</v>
      </c>
      <c r="C1667">
        <v>380</v>
      </c>
      <c r="D1667">
        <v>379</v>
      </c>
      <c r="E1667" t="s">
        <v>57</v>
      </c>
      <c r="F1667" t="s">
        <v>75</v>
      </c>
      <c r="G1667">
        <v>17</v>
      </c>
      <c r="H1667" t="s">
        <v>134</v>
      </c>
      <c r="I1667">
        <v>0.5</v>
      </c>
      <c r="J1667">
        <v>1</v>
      </c>
      <c r="K1667" t="s">
        <v>112</v>
      </c>
      <c r="L1667" t="s">
        <v>135</v>
      </c>
      <c r="M1667" t="s">
        <v>136</v>
      </c>
      <c r="N1667" t="s">
        <v>107</v>
      </c>
      <c r="O1667" t="s">
        <v>97</v>
      </c>
    </row>
    <row r="1668" spans="1:15" x14ac:dyDescent="0.2">
      <c r="A1668">
        <v>380</v>
      </c>
      <c r="B1668">
        <v>381</v>
      </c>
      <c r="C1668">
        <v>380</v>
      </c>
      <c r="D1668">
        <v>379</v>
      </c>
      <c r="E1668" t="s">
        <v>57</v>
      </c>
      <c r="F1668" t="s">
        <v>75</v>
      </c>
      <c r="G1668">
        <v>18</v>
      </c>
      <c r="H1668" t="s">
        <v>137</v>
      </c>
      <c r="I1668">
        <v>1</v>
      </c>
      <c r="J1668">
        <v>1</v>
      </c>
      <c r="K1668" t="s">
        <v>112</v>
      </c>
      <c r="L1668" t="s">
        <v>138</v>
      </c>
      <c r="M1668" t="s">
        <v>139</v>
      </c>
      <c r="N1668" t="s">
        <v>107</v>
      </c>
      <c r="O1668" t="s">
        <v>97</v>
      </c>
    </row>
    <row r="1669" spans="1:15" x14ac:dyDescent="0.2">
      <c r="A1669">
        <v>380</v>
      </c>
      <c r="B1669">
        <v>381</v>
      </c>
      <c r="C1669">
        <v>380</v>
      </c>
      <c r="D1669">
        <v>379</v>
      </c>
      <c r="E1669" t="s">
        <v>57</v>
      </c>
      <c r="F1669" t="s">
        <v>75</v>
      </c>
      <c r="G1669">
        <v>19</v>
      </c>
      <c r="H1669" t="s">
        <v>140</v>
      </c>
      <c r="I1669">
        <v>0.5</v>
      </c>
      <c r="J1669">
        <v>1</v>
      </c>
      <c r="K1669" t="s">
        <v>122</v>
      </c>
      <c r="L1669" t="s">
        <v>141</v>
      </c>
      <c r="M1669" t="s">
        <v>142</v>
      </c>
      <c r="N1669" t="s">
        <v>107</v>
      </c>
      <c r="O1669" t="s">
        <v>97</v>
      </c>
    </row>
    <row r="1670" spans="1:15" x14ac:dyDescent="0.2">
      <c r="A1670">
        <v>380</v>
      </c>
      <c r="B1670">
        <v>381</v>
      </c>
      <c r="C1670">
        <v>380</v>
      </c>
      <c r="D1670">
        <v>379</v>
      </c>
      <c r="E1670" t="s">
        <v>57</v>
      </c>
      <c r="F1670" t="s">
        <v>75</v>
      </c>
      <c r="G1670">
        <v>20</v>
      </c>
      <c r="H1670" t="s">
        <v>143</v>
      </c>
      <c r="I1670">
        <v>1</v>
      </c>
      <c r="J1670">
        <v>1</v>
      </c>
      <c r="K1670" t="s">
        <v>122</v>
      </c>
      <c r="L1670" t="s">
        <v>144</v>
      </c>
      <c r="M1670" t="s">
        <v>145</v>
      </c>
      <c r="N1670" t="s">
        <v>107</v>
      </c>
      <c r="O1670" t="s">
        <v>97</v>
      </c>
    </row>
    <row r="1671" spans="1:15" x14ac:dyDescent="0.2">
      <c r="A1671">
        <v>380</v>
      </c>
      <c r="B1671">
        <v>381</v>
      </c>
      <c r="C1671">
        <v>380</v>
      </c>
      <c r="D1671">
        <v>379</v>
      </c>
      <c r="E1671" t="s">
        <v>57</v>
      </c>
      <c r="F1671" t="s">
        <v>75</v>
      </c>
      <c r="G1671">
        <v>21</v>
      </c>
      <c r="H1671" t="s">
        <v>146</v>
      </c>
      <c r="I1671">
        <v>1</v>
      </c>
      <c r="J1671">
        <v>1</v>
      </c>
      <c r="K1671" t="s">
        <v>147</v>
      </c>
      <c r="L1671" t="s">
        <v>148</v>
      </c>
      <c r="M1671" t="s">
        <v>149</v>
      </c>
      <c r="N1671" t="s">
        <v>96</v>
      </c>
      <c r="O1671" t="s">
        <v>97</v>
      </c>
    </row>
    <row r="1672" spans="1:15" x14ac:dyDescent="0.2">
      <c r="A1672">
        <v>380</v>
      </c>
      <c r="B1672">
        <v>381</v>
      </c>
      <c r="C1672">
        <v>380</v>
      </c>
      <c r="D1672">
        <v>379</v>
      </c>
      <c r="E1672" t="s">
        <v>57</v>
      </c>
      <c r="F1672" t="s">
        <v>75</v>
      </c>
      <c r="G1672">
        <v>22</v>
      </c>
      <c r="H1672" t="s">
        <v>150</v>
      </c>
      <c r="I1672">
        <v>0</v>
      </c>
      <c r="J1672">
        <v>1</v>
      </c>
      <c r="K1672" t="s">
        <v>147</v>
      </c>
      <c r="L1672" t="s">
        <v>151</v>
      </c>
      <c r="M1672" t="s">
        <v>149</v>
      </c>
      <c r="N1672" t="s">
        <v>107</v>
      </c>
      <c r="O1672" t="s">
        <v>97</v>
      </c>
    </row>
    <row r="1673" spans="1:15" x14ac:dyDescent="0.2">
      <c r="A1673">
        <v>380</v>
      </c>
      <c r="B1673">
        <v>381</v>
      </c>
      <c r="C1673">
        <v>380</v>
      </c>
      <c r="D1673">
        <v>379</v>
      </c>
      <c r="E1673" t="s">
        <v>57</v>
      </c>
      <c r="F1673" t="s">
        <v>75</v>
      </c>
      <c r="G1673">
        <v>23</v>
      </c>
      <c r="H1673" t="s">
        <v>152</v>
      </c>
      <c r="I1673">
        <v>0</v>
      </c>
      <c r="J1673">
        <v>0</v>
      </c>
      <c r="K1673" t="s">
        <v>153</v>
      </c>
      <c r="L1673" t="s">
        <v>154</v>
      </c>
      <c r="M1673" t="s">
        <v>155</v>
      </c>
      <c r="N1673" t="s">
        <v>107</v>
      </c>
      <c r="O1673" t="s">
        <v>97</v>
      </c>
    </row>
    <row r="1674" spans="1:15" x14ac:dyDescent="0.2">
      <c r="A1674">
        <v>380</v>
      </c>
      <c r="B1674">
        <v>381</v>
      </c>
      <c r="C1674">
        <v>380</v>
      </c>
      <c r="D1674">
        <v>379</v>
      </c>
      <c r="E1674" t="s">
        <v>57</v>
      </c>
      <c r="F1674" t="s">
        <v>75</v>
      </c>
      <c r="G1674">
        <v>24</v>
      </c>
      <c r="H1674" t="s">
        <v>156</v>
      </c>
      <c r="I1674">
        <v>0.5</v>
      </c>
      <c r="J1674">
        <v>0.5</v>
      </c>
      <c r="K1674" t="s">
        <v>122</v>
      </c>
      <c r="L1674" t="s">
        <v>157</v>
      </c>
      <c r="M1674" t="s">
        <v>158</v>
      </c>
      <c r="N1674" t="s">
        <v>107</v>
      </c>
      <c r="O1674" t="s">
        <v>97</v>
      </c>
    </row>
    <row r="1675" spans="1:15" x14ac:dyDescent="0.2">
      <c r="A1675">
        <v>380</v>
      </c>
      <c r="B1675">
        <v>381</v>
      </c>
      <c r="C1675">
        <v>380</v>
      </c>
      <c r="D1675">
        <v>379</v>
      </c>
      <c r="E1675" t="s">
        <v>57</v>
      </c>
      <c r="F1675" t="s">
        <v>75</v>
      </c>
      <c r="G1675">
        <v>25</v>
      </c>
      <c r="H1675" t="s">
        <v>156</v>
      </c>
      <c r="I1675">
        <v>0</v>
      </c>
      <c r="J1675">
        <v>0.5</v>
      </c>
      <c r="K1675" t="s">
        <v>122</v>
      </c>
      <c r="L1675" t="s">
        <v>157</v>
      </c>
      <c r="M1675" t="s">
        <v>158</v>
      </c>
      <c r="N1675" t="s">
        <v>107</v>
      </c>
      <c r="O1675" t="s">
        <v>97</v>
      </c>
    </row>
    <row r="1676" spans="1:15" x14ac:dyDescent="0.2">
      <c r="A1676">
        <v>380</v>
      </c>
      <c r="B1676">
        <v>381</v>
      </c>
      <c r="C1676">
        <v>380</v>
      </c>
      <c r="D1676">
        <v>379</v>
      </c>
      <c r="E1676" t="s">
        <v>57</v>
      </c>
      <c r="F1676" t="s">
        <v>75</v>
      </c>
      <c r="G1676">
        <v>26</v>
      </c>
      <c r="H1676" t="s">
        <v>152</v>
      </c>
      <c r="I1676">
        <v>0</v>
      </c>
      <c r="J1676">
        <v>0</v>
      </c>
      <c r="K1676" t="s">
        <v>153</v>
      </c>
      <c r="L1676" t="s">
        <v>154</v>
      </c>
      <c r="M1676" t="s">
        <v>155</v>
      </c>
      <c r="N1676" t="s">
        <v>107</v>
      </c>
      <c r="O1676" t="s">
        <v>97</v>
      </c>
    </row>
    <row r="1677" spans="1:15" x14ac:dyDescent="0.2">
      <c r="A1677">
        <v>380</v>
      </c>
      <c r="B1677">
        <v>381</v>
      </c>
      <c r="C1677">
        <v>380</v>
      </c>
      <c r="D1677">
        <v>379</v>
      </c>
      <c r="E1677" t="s">
        <v>57</v>
      </c>
      <c r="F1677" t="s">
        <v>75</v>
      </c>
      <c r="G1677">
        <v>27</v>
      </c>
      <c r="H1677" t="s">
        <v>159</v>
      </c>
      <c r="I1677">
        <v>0</v>
      </c>
      <c r="J1677">
        <v>0.5</v>
      </c>
      <c r="K1677" t="s">
        <v>122</v>
      </c>
      <c r="L1677" t="s">
        <v>160</v>
      </c>
      <c r="M1677" t="s">
        <v>161</v>
      </c>
      <c r="N1677" t="s">
        <v>107</v>
      </c>
      <c r="O1677" t="s">
        <v>97</v>
      </c>
    </row>
    <row r="1678" spans="1:15" x14ac:dyDescent="0.2">
      <c r="A1678">
        <v>380</v>
      </c>
      <c r="B1678">
        <v>381</v>
      </c>
      <c r="C1678">
        <v>380</v>
      </c>
      <c r="D1678">
        <v>379</v>
      </c>
      <c r="E1678" t="s">
        <v>57</v>
      </c>
      <c r="F1678" t="s">
        <v>75</v>
      </c>
      <c r="G1678">
        <v>28</v>
      </c>
      <c r="H1678" t="s">
        <v>159</v>
      </c>
      <c r="I1678">
        <v>0</v>
      </c>
      <c r="J1678">
        <v>0.5</v>
      </c>
      <c r="K1678" t="s">
        <v>122</v>
      </c>
      <c r="L1678" t="s">
        <v>160</v>
      </c>
      <c r="M1678" t="s">
        <v>161</v>
      </c>
      <c r="N1678" t="s">
        <v>107</v>
      </c>
      <c r="O1678" t="s">
        <v>97</v>
      </c>
    </row>
    <row r="1679" spans="1:15" x14ac:dyDescent="0.2">
      <c r="A1679">
        <v>380</v>
      </c>
      <c r="B1679">
        <v>381</v>
      </c>
      <c r="C1679">
        <v>380</v>
      </c>
      <c r="D1679">
        <v>379</v>
      </c>
      <c r="E1679" t="s">
        <v>57</v>
      </c>
      <c r="F1679" t="s">
        <v>75</v>
      </c>
      <c r="G1679">
        <v>29</v>
      </c>
      <c r="H1679" t="s">
        <v>152</v>
      </c>
      <c r="I1679">
        <v>0</v>
      </c>
      <c r="J1679">
        <v>0</v>
      </c>
      <c r="K1679" t="s">
        <v>153</v>
      </c>
      <c r="L1679" t="s">
        <v>154</v>
      </c>
      <c r="M1679" t="s">
        <v>155</v>
      </c>
      <c r="N1679" t="s">
        <v>107</v>
      </c>
      <c r="O1679" t="s">
        <v>97</v>
      </c>
    </row>
    <row r="1680" spans="1:15" x14ac:dyDescent="0.2">
      <c r="A1680">
        <v>380</v>
      </c>
      <c r="B1680">
        <v>381</v>
      </c>
      <c r="C1680">
        <v>380</v>
      </c>
      <c r="D1680">
        <v>379</v>
      </c>
      <c r="E1680" t="s">
        <v>57</v>
      </c>
      <c r="F1680" t="s">
        <v>75</v>
      </c>
      <c r="G1680">
        <v>30</v>
      </c>
      <c r="H1680" t="s">
        <v>162</v>
      </c>
      <c r="I1680">
        <v>0</v>
      </c>
      <c r="J1680">
        <v>1</v>
      </c>
      <c r="K1680" t="s">
        <v>112</v>
      </c>
      <c r="L1680" t="s">
        <v>163</v>
      </c>
      <c r="M1680" t="s">
        <v>164</v>
      </c>
      <c r="N1680" t="s">
        <v>107</v>
      </c>
      <c r="O1680" t="s">
        <v>97</v>
      </c>
    </row>
    <row r="1681" spans="1:15" x14ac:dyDescent="0.2">
      <c r="A1681">
        <v>380</v>
      </c>
      <c r="B1681">
        <v>381</v>
      </c>
      <c r="C1681">
        <v>380</v>
      </c>
      <c r="D1681">
        <v>379</v>
      </c>
      <c r="E1681" t="s">
        <v>57</v>
      </c>
      <c r="F1681" t="s">
        <v>75</v>
      </c>
      <c r="G1681">
        <v>31</v>
      </c>
      <c r="H1681" t="s">
        <v>162</v>
      </c>
      <c r="I1681">
        <v>0</v>
      </c>
      <c r="J1681">
        <v>0</v>
      </c>
      <c r="K1681" t="s">
        <v>112</v>
      </c>
      <c r="L1681" t="s">
        <v>163</v>
      </c>
      <c r="M1681" t="s">
        <v>164</v>
      </c>
      <c r="N1681" t="s">
        <v>107</v>
      </c>
      <c r="O1681" t="s">
        <v>97</v>
      </c>
    </row>
    <row r="1682" spans="1:15" x14ac:dyDescent="0.2">
      <c r="A1682">
        <v>380</v>
      </c>
      <c r="B1682">
        <v>381</v>
      </c>
      <c r="C1682">
        <v>380</v>
      </c>
      <c r="D1682">
        <v>379</v>
      </c>
      <c r="E1682" t="s">
        <v>57</v>
      </c>
      <c r="F1682" t="s">
        <v>75</v>
      </c>
      <c r="G1682">
        <v>32</v>
      </c>
      <c r="H1682" t="s">
        <v>162</v>
      </c>
      <c r="I1682">
        <v>0</v>
      </c>
      <c r="J1682">
        <v>0</v>
      </c>
      <c r="K1682" t="s">
        <v>112</v>
      </c>
      <c r="L1682" t="s">
        <v>163</v>
      </c>
      <c r="M1682" t="s">
        <v>164</v>
      </c>
      <c r="N1682" t="s">
        <v>107</v>
      </c>
      <c r="O1682" t="s">
        <v>97</v>
      </c>
    </row>
    <row r="1683" spans="1:15" x14ac:dyDescent="0.2">
      <c r="A1683">
        <v>380</v>
      </c>
      <c r="B1683">
        <v>381</v>
      </c>
      <c r="C1683">
        <v>380</v>
      </c>
      <c r="D1683">
        <v>379</v>
      </c>
      <c r="E1683" t="s">
        <v>57</v>
      </c>
      <c r="F1683" t="s">
        <v>75</v>
      </c>
      <c r="G1683">
        <v>33</v>
      </c>
      <c r="H1683" t="s">
        <v>152</v>
      </c>
      <c r="I1683">
        <v>0</v>
      </c>
      <c r="J1683">
        <v>1</v>
      </c>
      <c r="K1683" t="s">
        <v>153</v>
      </c>
      <c r="L1683" t="s">
        <v>154</v>
      </c>
      <c r="M1683" t="s">
        <v>155</v>
      </c>
      <c r="N1683" t="s">
        <v>107</v>
      </c>
      <c r="O1683" t="s">
        <v>97</v>
      </c>
    </row>
    <row r="1684" spans="1:15" x14ac:dyDescent="0.2">
      <c r="A1684">
        <v>380</v>
      </c>
      <c r="B1684">
        <v>381</v>
      </c>
      <c r="C1684">
        <v>380</v>
      </c>
      <c r="D1684">
        <v>379</v>
      </c>
      <c r="E1684" t="s">
        <v>57</v>
      </c>
      <c r="F1684" t="s">
        <v>75</v>
      </c>
      <c r="G1684">
        <v>34</v>
      </c>
      <c r="H1684" t="s">
        <v>152</v>
      </c>
      <c r="I1684">
        <v>0</v>
      </c>
      <c r="J1684">
        <v>0</v>
      </c>
      <c r="K1684" t="s">
        <v>153</v>
      </c>
      <c r="L1684" t="s">
        <v>154</v>
      </c>
      <c r="M1684" t="s">
        <v>155</v>
      </c>
      <c r="N1684" t="s">
        <v>107</v>
      </c>
      <c r="O1684" t="s">
        <v>97</v>
      </c>
    </row>
    <row r="1685" spans="1:15" x14ac:dyDescent="0.2">
      <c r="A1685">
        <v>380</v>
      </c>
      <c r="B1685">
        <v>381</v>
      </c>
      <c r="C1685">
        <v>380</v>
      </c>
      <c r="D1685">
        <v>379</v>
      </c>
      <c r="E1685" t="s">
        <v>57</v>
      </c>
      <c r="F1685" t="s">
        <v>75</v>
      </c>
      <c r="G1685">
        <v>35</v>
      </c>
      <c r="H1685" t="s">
        <v>165</v>
      </c>
      <c r="I1685">
        <v>0</v>
      </c>
      <c r="J1685">
        <v>1</v>
      </c>
      <c r="K1685" t="s">
        <v>166</v>
      </c>
      <c r="L1685" t="s">
        <v>167</v>
      </c>
      <c r="M1685" t="s">
        <v>168</v>
      </c>
      <c r="N1685" t="s">
        <v>107</v>
      </c>
      <c r="O1685" t="s">
        <v>97</v>
      </c>
    </row>
    <row r="1686" spans="1:15" x14ac:dyDescent="0.2">
      <c r="A1686">
        <v>380</v>
      </c>
      <c r="B1686">
        <v>381</v>
      </c>
      <c r="C1686">
        <v>380</v>
      </c>
      <c r="D1686">
        <v>379</v>
      </c>
      <c r="E1686" t="s">
        <v>57</v>
      </c>
      <c r="F1686" t="s">
        <v>75</v>
      </c>
      <c r="G1686">
        <v>36</v>
      </c>
      <c r="H1686" t="s">
        <v>169</v>
      </c>
      <c r="I1686">
        <v>0</v>
      </c>
      <c r="J1686">
        <v>0</v>
      </c>
      <c r="K1686" t="e">
        <v>#N/A</v>
      </c>
      <c r="L1686" t="e">
        <v>#N/A</v>
      </c>
      <c r="M1686" t="e">
        <v>#N/A</v>
      </c>
      <c r="N1686" t="e">
        <v>#N/A</v>
      </c>
      <c r="O1686" t="s">
        <v>97</v>
      </c>
    </row>
    <row r="1687" spans="1:15" x14ac:dyDescent="0.2">
      <c r="A1687">
        <v>380</v>
      </c>
      <c r="B1687">
        <v>381</v>
      </c>
      <c r="C1687">
        <v>380</v>
      </c>
      <c r="D1687">
        <v>379</v>
      </c>
      <c r="E1687" t="s">
        <v>57</v>
      </c>
      <c r="F1687" t="s">
        <v>75</v>
      </c>
      <c r="G1687">
        <v>38</v>
      </c>
      <c r="H1687" t="s">
        <v>170</v>
      </c>
      <c r="I1687">
        <v>0.5</v>
      </c>
      <c r="J1687">
        <v>0.5</v>
      </c>
      <c r="K1687" t="s">
        <v>112</v>
      </c>
      <c r="L1687" t="s">
        <v>171</v>
      </c>
      <c r="M1687" t="s">
        <v>172</v>
      </c>
      <c r="N1687" t="s">
        <v>96</v>
      </c>
      <c r="O1687" t="s">
        <v>97</v>
      </c>
    </row>
    <row r="1688" spans="1:15" x14ac:dyDescent="0.2">
      <c r="A1688">
        <v>380</v>
      </c>
      <c r="B1688">
        <v>381</v>
      </c>
      <c r="C1688">
        <v>380</v>
      </c>
      <c r="D1688">
        <v>379</v>
      </c>
      <c r="E1688" t="s">
        <v>57</v>
      </c>
      <c r="F1688" t="s">
        <v>75</v>
      </c>
      <c r="G1688">
        <v>39</v>
      </c>
      <c r="H1688" t="s">
        <v>170</v>
      </c>
      <c r="I1688">
        <v>0</v>
      </c>
      <c r="J1688">
        <v>0.5</v>
      </c>
      <c r="K1688" t="s">
        <v>112</v>
      </c>
      <c r="L1688" t="s">
        <v>171</v>
      </c>
      <c r="M1688" t="s">
        <v>172</v>
      </c>
      <c r="N1688" t="s">
        <v>96</v>
      </c>
      <c r="O1688" t="s">
        <v>97</v>
      </c>
    </row>
    <row r="1689" spans="1:15" x14ac:dyDescent="0.2">
      <c r="A1689">
        <v>380</v>
      </c>
      <c r="B1689">
        <v>381</v>
      </c>
      <c r="C1689">
        <v>380</v>
      </c>
      <c r="D1689">
        <v>379</v>
      </c>
      <c r="E1689" t="s">
        <v>57</v>
      </c>
      <c r="F1689" t="s">
        <v>75</v>
      </c>
      <c r="G1689">
        <v>40</v>
      </c>
      <c r="H1689" t="s">
        <v>170</v>
      </c>
      <c r="I1689">
        <v>0.5</v>
      </c>
      <c r="J1689">
        <v>0.5</v>
      </c>
      <c r="K1689" t="s">
        <v>112</v>
      </c>
      <c r="L1689" t="s">
        <v>171</v>
      </c>
      <c r="M1689" t="s">
        <v>172</v>
      </c>
      <c r="N1689" t="s">
        <v>96</v>
      </c>
      <c r="O1689" t="s">
        <v>97</v>
      </c>
    </row>
    <row r="1690" spans="1:15" x14ac:dyDescent="0.2">
      <c r="A1690">
        <v>380</v>
      </c>
      <c r="B1690">
        <v>381</v>
      </c>
      <c r="C1690">
        <v>380</v>
      </c>
      <c r="D1690">
        <v>379</v>
      </c>
      <c r="E1690" t="s">
        <v>57</v>
      </c>
      <c r="F1690" t="s">
        <v>75</v>
      </c>
      <c r="G1690">
        <v>41</v>
      </c>
      <c r="H1690" t="s">
        <v>173</v>
      </c>
      <c r="I1690">
        <v>0</v>
      </c>
      <c r="J1690">
        <v>1</v>
      </c>
      <c r="K1690" t="s">
        <v>166</v>
      </c>
      <c r="L1690" t="s">
        <v>174</v>
      </c>
      <c r="M1690" t="s">
        <v>175</v>
      </c>
      <c r="N1690" t="s">
        <v>107</v>
      </c>
      <c r="O1690" t="s">
        <v>97</v>
      </c>
    </row>
    <row r="1691" spans="1:15" x14ac:dyDescent="0.2">
      <c r="A1691">
        <v>380</v>
      </c>
      <c r="B1691">
        <v>381</v>
      </c>
      <c r="C1691">
        <v>380</v>
      </c>
      <c r="D1691">
        <v>379</v>
      </c>
      <c r="E1691" t="s">
        <v>57</v>
      </c>
      <c r="F1691" t="s">
        <v>75</v>
      </c>
      <c r="G1691">
        <v>42</v>
      </c>
      <c r="H1691" t="s">
        <v>176</v>
      </c>
      <c r="I1691">
        <v>0</v>
      </c>
      <c r="J1691" t="s">
        <v>198</v>
      </c>
      <c r="K1691" t="s">
        <v>153</v>
      </c>
      <c r="L1691" t="s">
        <v>177</v>
      </c>
      <c r="M1691" t="s">
        <v>178</v>
      </c>
      <c r="N1691" t="s">
        <v>107</v>
      </c>
      <c r="O1691" t="s">
        <v>97</v>
      </c>
    </row>
    <row r="1692" spans="1:15" x14ac:dyDescent="0.2">
      <c r="A1692">
        <v>380</v>
      </c>
      <c r="B1692">
        <v>381</v>
      </c>
      <c r="C1692">
        <v>380</v>
      </c>
      <c r="D1692">
        <v>379</v>
      </c>
      <c r="E1692" t="s">
        <v>57</v>
      </c>
      <c r="F1692" t="s">
        <v>75</v>
      </c>
      <c r="G1692">
        <v>43</v>
      </c>
      <c r="H1692" t="s">
        <v>179</v>
      </c>
      <c r="I1692">
        <v>0</v>
      </c>
      <c r="J1692">
        <v>0</v>
      </c>
      <c r="K1692" t="s">
        <v>166</v>
      </c>
      <c r="L1692" t="s">
        <v>180</v>
      </c>
      <c r="M1692" t="s">
        <v>181</v>
      </c>
      <c r="N1692" t="s">
        <v>107</v>
      </c>
      <c r="O1692" t="s">
        <v>97</v>
      </c>
    </row>
    <row r="1693" spans="1:15" x14ac:dyDescent="0.2">
      <c r="A1693">
        <v>380</v>
      </c>
      <c r="B1693">
        <v>381</v>
      </c>
      <c r="C1693">
        <v>380</v>
      </c>
      <c r="D1693">
        <v>379</v>
      </c>
      <c r="E1693" t="s">
        <v>57</v>
      </c>
      <c r="F1693" t="s">
        <v>75</v>
      </c>
      <c r="G1693">
        <v>44</v>
      </c>
      <c r="H1693" t="s">
        <v>182</v>
      </c>
      <c r="I1693">
        <v>0</v>
      </c>
      <c r="J1693">
        <v>1</v>
      </c>
      <c r="K1693" t="s">
        <v>166</v>
      </c>
      <c r="L1693" t="s">
        <v>183</v>
      </c>
      <c r="M1693" t="s">
        <v>184</v>
      </c>
      <c r="N1693" t="s">
        <v>107</v>
      </c>
      <c r="O1693" t="s">
        <v>97</v>
      </c>
    </row>
    <row r="1694" spans="1:15" x14ac:dyDescent="0.2">
      <c r="A1694">
        <v>380</v>
      </c>
      <c r="B1694">
        <v>381</v>
      </c>
      <c r="C1694">
        <v>380</v>
      </c>
      <c r="D1694">
        <v>379</v>
      </c>
      <c r="E1694" t="s">
        <v>57</v>
      </c>
      <c r="F1694" t="s">
        <v>75</v>
      </c>
      <c r="G1694">
        <v>45</v>
      </c>
      <c r="H1694" t="s">
        <v>185</v>
      </c>
      <c r="I1694">
        <v>0</v>
      </c>
      <c r="J1694">
        <v>1</v>
      </c>
      <c r="K1694" t="s">
        <v>166</v>
      </c>
      <c r="L1694" t="s">
        <v>186</v>
      </c>
      <c r="M1694" t="s">
        <v>139</v>
      </c>
      <c r="N1694" t="s">
        <v>107</v>
      </c>
      <c r="O1694" t="s">
        <v>97</v>
      </c>
    </row>
    <row r="1695" spans="1:15" x14ac:dyDescent="0.2">
      <c r="A1695">
        <v>380</v>
      </c>
      <c r="B1695">
        <v>381</v>
      </c>
      <c r="C1695">
        <v>380</v>
      </c>
      <c r="D1695">
        <v>379</v>
      </c>
      <c r="E1695" t="s">
        <v>57</v>
      </c>
      <c r="F1695" t="s">
        <v>75</v>
      </c>
      <c r="G1695">
        <v>47</v>
      </c>
      <c r="H1695" t="s">
        <v>187</v>
      </c>
      <c r="I1695">
        <v>0.2</v>
      </c>
      <c r="J1695">
        <v>0.2</v>
      </c>
      <c r="K1695" t="s">
        <v>93</v>
      </c>
      <c r="L1695" t="s">
        <v>188</v>
      </c>
      <c r="M1695" t="s">
        <v>95</v>
      </c>
      <c r="N1695" t="s">
        <v>96</v>
      </c>
      <c r="O1695" t="s">
        <v>97</v>
      </c>
    </row>
    <row r="1696" spans="1:15" x14ac:dyDescent="0.2">
      <c r="A1696">
        <v>380</v>
      </c>
      <c r="B1696">
        <v>381</v>
      </c>
      <c r="C1696">
        <v>380</v>
      </c>
      <c r="D1696">
        <v>379</v>
      </c>
      <c r="E1696" t="s">
        <v>57</v>
      </c>
      <c r="F1696" t="s">
        <v>75</v>
      </c>
      <c r="G1696">
        <v>48</v>
      </c>
      <c r="H1696" t="s">
        <v>189</v>
      </c>
      <c r="I1696">
        <v>0.2</v>
      </c>
      <c r="J1696">
        <v>0.2</v>
      </c>
      <c r="K1696" t="s">
        <v>93</v>
      </c>
      <c r="L1696" t="s">
        <v>190</v>
      </c>
      <c r="M1696" t="s">
        <v>95</v>
      </c>
      <c r="N1696" t="s">
        <v>96</v>
      </c>
      <c r="O1696" t="s">
        <v>97</v>
      </c>
    </row>
    <row r="1697" spans="1:15" x14ac:dyDescent="0.2">
      <c r="A1697">
        <v>380</v>
      </c>
      <c r="B1697">
        <v>381</v>
      </c>
      <c r="C1697">
        <v>380</v>
      </c>
      <c r="D1697">
        <v>379</v>
      </c>
      <c r="E1697" t="s">
        <v>57</v>
      </c>
      <c r="F1697" t="s">
        <v>75</v>
      </c>
      <c r="G1697">
        <v>49</v>
      </c>
      <c r="H1697" t="s">
        <v>191</v>
      </c>
      <c r="I1697">
        <v>0</v>
      </c>
      <c r="J1697">
        <v>0.2</v>
      </c>
      <c r="K1697" t="s">
        <v>93</v>
      </c>
      <c r="L1697" t="s">
        <v>192</v>
      </c>
      <c r="M1697" t="s">
        <v>95</v>
      </c>
      <c r="N1697" t="s">
        <v>96</v>
      </c>
      <c r="O1697" t="s">
        <v>97</v>
      </c>
    </row>
    <row r="1698" spans="1:15" x14ac:dyDescent="0.2">
      <c r="A1698">
        <v>380</v>
      </c>
      <c r="B1698">
        <v>381</v>
      </c>
      <c r="C1698">
        <v>380</v>
      </c>
      <c r="D1698">
        <v>379</v>
      </c>
      <c r="E1698" t="s">
        <v>57</v>
      </c>
      <c r="F1698" t="s">
        <v>75</v>
      </c>
      <c r="G1698">
        <v>50</v>
      </c>
      <c r="H1698" t="s">
        <v>193</v>
      </c>
      <c r="I1698">
        <v>0.1</v>
      </c>
      <c r="J1698">
        <v>0.1</v>
      </c>
      <c r="K1698" t="s">
        <v>93</v>
      </c>
      <c r="L1698" t="s">
        <v>194</v>
      </c>
      <c r="M1698" t="s">
        <v>95</v>
      </c>
      <c r="N1698" t="s">
        <v>96</v>
      </c>
      <c r="O1698" t="s">
        <v>97</v>
      </c>
    </row>
    <row r="1699" spans="1:15" x14ac:dyDescent="0.2">
      <c r="A1699">
        <v>380</v>
      </c>
      <c r="B1699">
        <v>381</v>
      </c>
      <c r="C1699">
        <v>380</v>
      </c>
      <c r="D1699">
        <v>379</v>
      </c>
      <c r="E1699" t="s">
        <v>57</v>
      </c>
      <c r="F1699" t="s">
        <v>75</v>
      </c>
      <c r="G1699">
        <v>51</v>
      </c>
      <c r="H1699" t="s">
        <v>193</v>
      </c>
      <c r="I1699">
        <v>0.1</v>
      </c>
      <c r="J1699">
        <v>0.1</v>
      </c>
      <c r="K1699" t="s">
        <v>93</v>
      </c>
      <c r="L1699" t="s">
        <v>194</v>
      </c>
      <c r="M1699" t="s">
        <v>95</v>
      </c>
      <c r="N1699" t="s">
        <v>96</v>
      </c>
      <c r="O1699" t="s">
        <v>97</v>
      </c>
    </row>
    <row r="1700" spans="1:15" x14ac:dyDescent="0.2">
      <c r="A1700">
        <v>380</v>
      </c>
      <c r="B1700">
        <v>381</v>
      </c>
      <c r="C1700">
        <v>380</v>
      </c>
      <c r="D1700">
        <v>379</v>
      </c>
      <c r="E1700" t="s">
        <v>57</v>
      </c>
      <c r="F1700" t="s">
        <v>75</v>
      </c>
      <c r="G1700">
        <v>97</v>
      </c>
      <c r="H1700" t="s">
        <v>152</v>
      </c>
      <c r="I1700">
        <v>0.25</v>
      </c>
      <c r="J1700">
        <v>0.25</v>
      </c>
      <c r="K1700" t="s">
        <v>153</v>
      </c>
      <c r="L1700" t="s">
        <v>154</v>
      </c>
      <c r="M1700" t="s">
        <v>155</v>
      </c>
      <c r="N1700" t="s">
        <v>107</v>
      </c>
      <c r="O1700" t="s">
        <v>97</v>
      </c>
    </row>
    <row r="1701" spans="1:15" x14ac:dyDescent="0.2">
      <c r="A1701">
        <v>380</v>
      </c>
      <c r="B1701">
        <v>381</v>
      </c>
      <c r="C1701">
        <v>380</v>
      </c>
      <c r="D1701">
        <v>379</v>
      </c>
      <c r="E1701" t="s">
        <v>57</v>
      </c>
      <c r="F1701" t="s">
        <v>75</v>
      </c>
      <c r="G1701">
        <v>96</v>
      </c>
      <c r="H1701" t="s">
        <v>152</v>
      </c>
      <c r="I1701">
        <v>0</v>
      </c>
      <c r="J1701">
        <v>0</v>
      </c>
      <c r="K1701" t="s">
        <v>153</v>
      </c>
      <c r="L1701" t="s">
        <v>154</v>
      </c>
      <c r="M1701" t="s">
        <v>155</v>
      </c>
      <c r="N1701" t="s">
        <v>107</v>
      </c>
      <c r="O1701" t="s">
        <v>97</v>
      </c>
    </row>
    <row r="1702" spans="1:15" x14ac:dyDescent="0.2">
      <c r="A1702">
        <v>380</v>
      </c>
      <c r="B1702">
        <v>381</v>
      </c>
      <c r="C1702">
        <v>380</v>
      </c>
      <c r="D1702">
        <v>379</v>
      </c>
      <c r="E1702" t="s">
        <v>57</v>
      </c>
      <c r="F1702" t="s">
        <v>75</v>
      </c>
      <c r="G1702">
        <v>99</v>
      </c>
      <c r="H1702" t="s">
        <v>152</v>
      </c>
      <c r="I1702">
        <v>0</v>
      </c>
      <c r="J1702">
        <v>0</v>
      </c>
      <c r="K1702" t="s">
        <v>153</v>
      </c>
      <c r="L1702" t="s">
        <v>154</v>
      </c>
      <c r="M1702" t="s">
        <v>155</v>
      </c>
      <c r="N1702" t="s">
        <v>107</v>
      </c>
      <c r="O1702" t="s">
        <v>97</v>
      </c>
    </row>
    <row r="1703" spans="1:15" x14ac:dyDescent="0.2">
      <c r="A1703">
        <v>380</v>
      </c>
      <c r="B1703">
        <v>381</v>
      </c>
      <c r="C1703">
        <v>380</v>
      </c>
      <c r="D1703">
        <v>379</v>
      </c>
      <c r="E1703" t="s">
        <v>57</v>
      </c>
      <c r="F1703" t="s">
        <v>75</v>
      </c>
      <c r="G1703">
        <v>98</v>
      </c>
      <c r="H1703" t="s">
        <v>204</v>
      </c>
      <c r="I1703">
        <v>0</v>
      </c>
      <c r="J1703">
        <v>1</v>
      </c>
      <c r="K1703" t="s">
        <v>122</v>
      </c>
      <c r="L1703" t="s">
        <v>205</v>
      </c>
      <c r="M1703" t="s">
        <v>206</v>
      </c>
      <c r="N1703" t="s">
        <v>207</v>
      </c>
      <c r="O1703" t="s">
        <v>97</v>
      </c>
    </row>
    <row r="1704" spans="1:15" x14ac:dyDescent="0.2">
      <c r="A1704">
        <v>375</v>
      </c>
      <c r="B1704">
        <v>376</v>
      </c>
      <c r="C1704">
        <v>375</v>
      </c>
      <c r="D1704">
        <v>374</v>
      </c>
      <c r="E1704" t="s">
        <v>57</v>
      </c>
      <c r="F1704" t="s">
        <v>74</v>
      </c>
      <c r="G1704">
        <v>1</v>
      </c>
      <c r="H1704" t="s">
        <v>92</v>
      </c>
      <c r="I1704">
        <v>0</v>
      </c>
      <c r="J1704">
        <v>0.2</v>
      </c>
      <c r="K1704" t="s">
        <v>93</v>
      </c>
      <c r="L1704" t="s">
        <v>94</v>
      </c>
      <c r="M1704" t="s">
        <v>95</v>
      </c>
      <c r="N1704" t="s">
        <v>96</v>
      </c>
      <c r="O1704" t="s">
        <v>97</v>
      </c>
    </row>
    <row r="1705" spans="1:15" x14ac:dyDescent="0.2">
      <c r="A1705">
        <v>375</v>
      </c>
      <c r="B1705">
        <v>376</v>
      </c>
      <c r="C1705">
        <v>375</v>
      </c>
      <c r="D1705">
        <v>374</v>
      </c>
      <c r="E1705" t="s">
        <v>57</v>
      </c>
      <c r="F1705" t="s">
        <v>74</v>
      </c>
      <c r="G1705">
        <v>2</v>
      </c>
      <c r="H1705" t="s">
        <v>98</v>
      </c>
      <c r="I1705">
        <v>0.25</v>
      </c>
      <c r="J1705">
        <v>0.5</v>
      </c>
      <c r="K1705" t="s">
        <v>93</v>
      </c>
      <c r="L1705" t="s">
        <v>99</v>
      </c>
      <c r="M1705" t="s">
        <v>95</v>
      </c>
      <c r="N1705" t="s">
        <v>96</v>
      </c>
      <c r="O1705" t="s">
        <v>97</v>
      </c>
    </row>
    <row r="1706" spans="1:15" x14ac:dyDescent="0.2">
      <c r="A1706">
        <v>375</v>
      </c>
      <c r="B1706">
        <v>376</v>
      </c>
      <c r="C1706">
        <v>375</v>
      </c>
      <c r="D1706">
        <v>374</v>
      </c>
      <c r="E1706" t="s">
        <v>57</v>
      </c>
      <c r="F1706" t="s">
        <v>74</v>
      </c>
      <c r="G1706">
        <v>3</v>
      </c>
      <c r="H1706" t="s">
        <v>100</v>
      </c>
      <c r="I1706">
        <v>0</v>
      </c>
      <c r="J1706">
        <v>1</v>
      </c>
      <c r="K1706" t="s">
        <v>101</v>
      </c>
      <c r="L1706" t="s">
        <v>102</v>
      </c>
      <c r="M1706" t="s">
        <v>103</v>
      </c>
      <c r="N1706" t="s">
        <v>96</v>
      </c>
      <c r="O1706" t="s">
        <v>97</v>
      </c>
    </row>
    <row r="1707" spans="1:15" x14ac:dyDescent="0.2">
      <c r="A1707">
        <v>375</v>
      </c>
      <c r="B1707">
        <v>376</v>
      </c>
      <c r="C1707">
        <v>375</v>
      </c>
      <c r="D1707">
        <v>374</v>
      </c>
      <c r="E1707" t="s">
        <v>57</v>
      </c>
      <c r="F1707" t="s">
        <v>74</v>
      </c>
      <c r="G1707">
        <v>4</v>
      </c>
      <c r="H1707" t="s">
        <v>104</v>
      </c>
      <c r="I1707">
        <v>0</v>
      </c>
      <c r="J1707">
        <v>1</v>
      </c>
      <c r="K1707" t="s">
        <v>101</v>
      </c>
      <c r="L1707" t="s">
        <v>105</v>
      </c>
      <c r="M1707" t="s">
        <v>106</v>
      </c>
      <c r="N1707" t="s">
        <v>107</v>
      </c>
      <c r="O1707" t="s">
        <v>97</v>
      </c>
    </row>
    <row r="1708" spans="1:15" x14ac:dyDescent="0.2">
      <c r="A1708">
        <v>375</v>
      </c>
      <c r="B1708">
        <v>376</v>
      </c>
      <c r="C1708">
        <v>375</v>
      </c>
      <c r="D1708">
        <v>374</v>
      </c>
      <c r="E1708" t="s">
        <v>57</v>
      </c>
      <c r="F1708" t="s">
        <v>74</v>
      </c>
      <c r="G1708">
        <v>5</v>
      </c>
      <c r="H1708" t="s">
        <v>108</v>
      </c>
      <c r="I1708">
        <v>0</v>
      </c>
      <c r="J1708">
        <v>1</v>
      </c>
      <c r="K1708" t="s">
        <v>101</v>
      </c>
      <c r="L1708" t="s">
        <v>109</v>
      </c>
      <c r="M1708" t="s">
        <v>110</v>
      </c>
      <c r="N1708" t="s">
        <v>107</v>
      </c>
      <c r="O1708" t="s">
        <v>97</v>
      </c>
    </row>
    <row r="1709" spans="1:15" x14ac:dyDescent="0.2">
      <c r="A1709">
        <v>375</v>
      </c>
      <c r="B1709">
        <v>376</v>
      </c>
      <c r="C1709">
        <v>375</v>
      </c>
      <c r="D1709">
        <v>374</v>
      </c>
      <c r="E1709" t="s">
        <v>57</v>
      </c>
      <c r="F1709" t="s">
        <v>74</v>
      </c>
      <c r="G1709">
        <v>9</v>
      </c>
      <c r="H1709" t="s">
        <v>111</v>
      </c>
      <c r="I1709">
        <v>0</v>
      </c>
      <c r="J1709">
        <v>0.5</v>
      </c>
      <c r="K1709" t="s">
        <v>112</v>
      </c>
      <c r="L1709" t="s">
        <v>113</v>
      </c>
      <c r="M1709" t="s">
        <v>114</v>
      </c>
      <c r="N1709" t="s">
        <v>96</v>
      </c>
      <c r="O1709" t="s">
        <v>97</v>
      </c>
    </row>
    <row r="1710" spans="1:15" x14ac:dyDescent="0.2">
      <c r="A1710">
        <v>375</v>
      </c>
      <c r="B1710">
        <v>376</v>
      </c>
      <c r="C1710">
        <v>375</v>
      </c>
      <c r="D1710">
        <v>374</v>
      </c>
      <c r="E1710" t="s">
        <v>57</v>
      </c>
      <c r="F1710" t="s">
        <v>74</v>
      </c>
      <c r="G1710">
        <v>10</v>
      </c>
      <c r="H1710" t="s">
        <v>115</v>
      </c>
      <c r="I1710">
        <v>0</v>
      </c>
      <c r="J1710">
        <v>0.5</v>
      </c>
      <c r="K1710" t="s">
        <v>112</v>
      </c>
      <c r="L1710" t="s">
        <v>116</v>
      </c>
      <c r="M1710" t="s">
        <v>117</v>
      </c>
      <c r="N1710" t="s">
        <v>96</v>
      </c>
      <c r="O1710" t="s">
        <v>97</v>
      </c>
    </row>
    <row r="1711" spans="1:15" x14ac:dyDescent="0.2">
      <c r="A1711">
        <v>375</v>
      </c>
      <c r="B1711">
        <v>376</v>
      </c>
      <c r="C1711">
        <v>375</v>
      </c>
      <c r="D1711">
        <v>374</v>
      </c>
      <c r="E1711" t="s">
        <v>57</v>
      </c>
      <c r="F1711" t="s">
        <v>74</v>
      </c>
      <c r="G1711">
        <v>11</v>
      </c>
      <c r="H1711" t="s">
        <v>118</v>
      </c>
      <c r="I1711">
        <v>0.5</v>
      </c>
      <c r="J1711">
        <v>1</v>
      </c>
      <c r="K1711" t="s">
        <v>112</v>
      </c>
      <c r="L1711" t="s">
        <v>119</v>
      </c>
      <c r="M1711" t="s">
        <v>120</v>
      </c>
      <c r="N1711" t="s">
        <v>107</v>
      </c>
      <c r="O1711" t="s">
        <v>97</v>
      </c>
    </row>
    <row r="1712" spans="1:15" x14ac:dyDescent="0.2">
      <c r="A1712">
        <v>375</v>
      </c>
      <c r="B1712">
        <v>376</v>
      </c>
      <c r="C1712">
        <v>375</v>
      </c>
      <c r="D1712">
        <v>374</v>
      </c>
      <c r="E1712" t="s">
        <v>57</v>
      </c>
      <c r="F1712" t="s">
        <v>74</v>
      </c>
      <c r="G1712">
        <v>12</v>
      </c>
      <c r="H1712" t="s">
        <v>121</v>
      </c>
      <c r="I1712">
        <v>0</v>
      </c>
      <c r="J1712">
        <v>0.5</v>
      </c>
      <c r="K1712" t="s">
        <v>122</v>
      </c>
      <c r="L1712" t="s">
        <v>113</v>
      </c>
      <c r="M1712" t="s">
        <v>123</v>
      </c>
      <c r="N1712" t="s">
        <v>96</v>
      </c>
      <c r="O1712" t="s">
        <v>97</v>
      </c>
    </row>
    <row r="1713" spans="1:15" x14ac:dyDescent="0.2">
      <c r="A1713">
        <v>375</v>
      </c>
      <c r="B1713">
        <v>376</v>
      </c>
      <c r="C1713">
        <v>375</v>
      </c>
      <c r="D1713">
        <v>374</v>
      </c>
      <c r="E1713" t="s">
        <v>57</v>
      </c>
      <c r="F1713" t="s">
        <v>74</v>
      </c>
      <c r="G1713">
        <v>13</v>
      </c>
      <c r="H1713" t="s">
        <v>124</v>
      </c>
      <c r="I1713">
        <v>0</v>
      </c>
      <c r="J1713">
        <v>0.5</v>
      </c>
      <c r="K1713" t="s">
        <v>122</v>
      </c>
      <c r="L1713" t="s">
        <v>125</v>
      </c>
      <c r="M1713" t="s">
        <v>126</v>
      </c>
      <c r="N1713" t="s">
        <v>96</v>
      </c>
      <c r="O1713" t="s">
        <v>97</v>
      </c>
    </row>
    <row r="1714" spans="1:15" x14ac:dyDescent="0.2">
      <c r="A1714">
        <v>375</v>
      </c>
      <c r="B1714">
        <v>376</v>
      </c>
      <c r="C1714">
        <v>375</v>
      </c>
      <c r="D1714">
        <v>374</v>
      </c>
      <c r="E1714" t="s">
        <v>57</v>
      </c>
      <c r="F1714" t="s">
        <v>74</v>
      </c>
      <c r="G1714">
        <v>14</v>
      </c>
      <c r="H1714" t="s">
        <v>127</v>
      </c>
      <c r="I1714">
        <v>0.5</v>
      </c>
      <c r="J1714">
        <v>1</v>
      </c>
      <c r="K1714" t="s">
        <v>122</v>
      </c>
      <c r="L1714" t="s">
        <v>119</v>
      </c>
      <c r="M1714" t="s">
        <v>128</v>
      </c>
      <c r="N1714" t="s">
        <v>107</v>
      </c>
      <c r="O1714" t="s">
        <v>97</v>
      </c>
    </row>
    <row r="1715" spans="1:15" x14ac:dyDescent="0.2">
      <c r="A1715">
        <v>375</v>
      </c>
      <c r="B1715">
        <v>376</v>
      </c>
      <c r="C1715">
        <v>375</v>
      </c>
      <c r="D1715">
        <v>374</v>
      </c>
      <c r="E1715" t="s">
        <v>57</v>
      </c>
      <c r="F1715" t="s">
        <v>74</v>
      </c>
      <c r="G1715">
        <v>15</v>
      </c>
      <c r="H1715" t="s">
        <v>129</v>
      </c>
      <c r="I1715">
        <v>0</v>
      </c>
      <c r="J1715">
        <v>1</v>
      </c>
      <c r="K1715" t="s">
        <v>130</v>
      </c>
      <c r="L1715" t="s">
        <v>131</v>
      </c>
      <c r="M1715" t="s">
        <v>132</v>
      </c>
      <c r="N1715" t="s">
        <v>107</v>
      </c>
      <c r="O1715" t="s">
        <v>97</v>
      </c>
    </row>
    <row r="1716" spans="1:15" x14ac:dyDescent="0.2">
      <c r="A1716">
        <v>375</v>
      </c>
      <c r="B1716">
        <v>376</v>
      </c>
      <c r="C1716">
        <v>375</v>
      </c>
      <c r="D1716">
        <v>374</v>
      </c>
      <c r="E1716" t="s">
        <v>57</v>
      </c>
      <c r="F1716" t="s">
        <v>74</v>
      </c>
      <c r="G1716">
        <v>16</v>
      </c>
      <c r="H1716" t="s">
        <v>133</v>
      </c>
      <c r="I1716">
        <v>0</v>
      </c>
      <c r="J1716">
        <v>0</v>
      </c>
      <c r="K1716" t="e">
        <v>#N/A</v>
      </c>
      <c r="L1716" t="e">
        <v>#N/A</v>
      </c>
      <c r="M1716" t="e">
        <v>#N/A</v>
      </c>
      <c r="N1716" t="e">
        <v>#N/A</v>
      </c>
      <c r="O1716" t="s">
        <v>97</v>
      </c>
    </row>
    <row r="1717" spans="1:15" x14ac:dyDescent="0.2">
      <c r="A1717">
        <v>375</v>
      </c>
      <c r="B1717">
        <v>376</v>
      </c>
      <c r="C1717">
        <v>375</v>
      </c>
      <c r="D1717">
        <v>374</v>
      </c>
      <c r="E1717" t="s">
        <v>57</v>
      </c>
      <c r="F1717" t="s">
        <v>74</v>
      </c>
      <c r="G1717">
        <v>17</v>
      </c>
      <c r="H1717" t="s">
        <v>134</v>
      </c>
      <c r="I1717">
        <v>0.5</v>
      </c>
      <c r="J1717">
        <v>1</v>
      </c>
      <c r="K1717" t="s">
        <v>112</v>
      </c>
      <c r="L1717" t="s">
        <v>135</v>
      </c>
      <c r="M1717" t="s">
        <v>136</v>
      </c>
      <c r="N1717" t="s">
        <v>107</v>
      </c>
      <c r="O1717" t="s">
        <v>97</v>
      </c>
    </row>
    <row r="1718" spans="1:15" x14ac:dyDescent="0.2">
      <c r="A1718">
        <v>375</v>
      </c>
      <c r="B1718">
        <v>376</v>
      </c>
      <c r="C1718">
        <v>375</v>
      </c>
      <c r="D1718">
        <v>374</v>
      </c>
      <c r="E1718" t="s">
        <v>57</v>
      </c>
      <c r="F1718" t="s">
        <v>74</v>
      </c>
      <c r="G1718">
        <v>18</v>
      </c>
      <c r="H1718" t="s">
        <v>137</v>
      </c>
      <c r="I1718">
        <v>1</v>
      </c>
      <c r="J1718">
        <v>1</v>
      </c>
      <c r="K1718" t="s">
        <v>112</v>
      </c>
      <c r="L1718" t="s">
        <v>138</v>
      </c>
      <c r="M1718" t="s">
        <v>139</v>
      </c>
      <c r="N1718" t="s">
        <v>107</v>
      </c>
      <c r="O1718" t="s">
        <v>97</v>
      </c>
    </row>
    <row r="1719" spans="1:15" x14ac:dyDescent="0.2">
      <c r="A1719">
        <v>375</v>
      </c>
      <c r="B1719">
        <v>376</v>
      </c>
      <c r="C1719">
        <v>375</v>
      </c>
      <c r="D1719">
        <v>374</v>
      </c>
      <c r="E1719" t="s">
        <v>57</v>
      </c>
      <c r="F1719" t="s">
        <v>74</v>
      </c>
      <c r="G1719">
        <v>19</v>
      </c>
      <c r="H1719" t="s">
        <v>140</v>
      </c>
      <c r="I1719">
        <v>0.5</v>
      </c>
      <c r="J1719">
        <v>1</v>
      </c>
      <c r="K1719" t="s">
        <v>122</v>
      </c>
      <c r="L1719" t="s">
        <v>141</v>
      </c>
      <c r="M1719" t="s">
        <v>142</v>
      </c>
      <c r="N1719" t="s">
        <v>107</v>
      </c>
      <c r="O1719" t="s">
        <v>97</v>
      </c>
    </row>
    <row r="1720" spans="1:15" x14ac:dyDescent="0.2">
      <c r="A1720">
        <v>375</v>
      </c>
      <c r="B1720">
        <v>376</v>
      </c>
      <c r="C1720">
        <v>375</v>
      </c>
      <c r="D1720">
        <v>374</v>
      </c>
      <c r="E1720" t="s">
        <v>57</v>
      </c>
      <c r="F1720" t="s">
        <v>74</v>
      </c>
      <c r="G1720">
        <v>20</v>
      </c>
      <c r="H1720" t="s">
        <v>143</v>
      </c>
      <c r="I1720">
        <v>1</v>
      </c>
      <c r="J1720">
        <v>1</v>
      </c>
      <c r="K1720" t="s">
        <v>122</v>
      </c>
      <c r="L1720" t="s">
        <v>144</v>
      </c>
      <c r="M1720" t="s">
        <v>145</v>
      </c>
      <c r="N1720" t="s">
        <v>107</v>
      </c>
      <c r="O1720" t="s">
        <v>97</v>
      </c>
    </row>
    <row r="1721" spans="1:15" x14ac:dyDescent="0.2">
      <c r="A1721">
        <v>375</v>
      </c>
      <c r="B1721">
        <v>376</v>
      </c>
      <c r="C1721">
        <v>375</v>
      </c>
      <c r="D1721">
        <v>374</v>
      </c>
      <c r="E1721" t="s">
        <v>57</v>
      </c>
      <c r="F1721" t="s">
        <v>74</v>
      </c>
      <c r="G1721">
        <v>21</v>
      </c>
      <c r="H1721" t="s">
        <v>146</v>
      </c>
      <c r="I1721">
        <v>1</v>
      </c>
      <c r="J1721">
        <v>1</v>
      </c>
      <c r="K1721" t="s">
        <v>147</v>
      </c>
      <c r="L1721" t="s">
        <v>148</v>
      </c>
      <c r="M1721" t="s">
        <v>149</v>
      </c>
      <c r="N1721" t="s">
        <v>96</v>
      </c>
      <c r="O1721" t="s">
        <v>97</v>
      </c>
    </row>
    <row r="1722" spans="1:15" x14ac:dyDescent="0.2">
      <c r="A1722">
        <v>375</v>
      </c>
      <c r="B1722">
        <v>376</v>
      </c>
      <c r="C1722">
        <v>375</v>
      </c>
      <c r="D1722">
        <v>374</v>
      </c>
      <c r="E1722" t="s">
        <v>57</v>
      </c>
      <c r="F1722" t="s">
        <v>74</v>
      </c>
      <c r="G1722">
        <v>22</v>
      </c>
      <c r="H1722" t="s">
        <v>150</v>
      </c>
      <c r="I1722">
        <v>0.5</v>
      </c>
      <c r="J1722">
        <v>1</v>
      </c>
      <c r="K1722" t="s">
        <v>147</v>
      </c>
      <c r="L1722" t="s">
        <v>151</v>
      </c>
      <c r="M1722" t="s">
        <v>149</v>
      </c>
      <c r="N1722" t="s">
        <v>107</v>
      </c>
      <c r="O1722" t="s">
        <v>97</v>
      </c>
    </row>
    <row r="1723" spans="1:15" x14ac:dyDescent="0.2">
      <c r="A1723">
        <v>375</v>
      </c>
      <c r="B1723">
        <v>376</v>
      </c>
      <c r="C1723">
        <v>375</v>
      </c>
      <c r="D1723">
        <v>374</v>
      </c>
      <c r="E1723" t="s">
        <v>57</v>
      </c>
      <c r="F1723" t="s">
        <v>74</v>
      </c>
      <c r="G1723">
        <v>23</v>
      </c>
      <c r="H1723" t="s">
        <v>152</v>
      </c>
      <c r="I1723">
        <v>0</v>
      </c>
      <c r="J1723">
        <v>0</v>
      </c>
      <c r="K1723" t="s">
        <v>153</v>
      </c>
      <c r="L1723" t="s">
        <v>154</v>
      </c>
      <c r="M1723" t="s">
        <v>155</v>
      </c>
      <c r="N1723" t="s">
        <v>107</v>
      </c>
      <c r="O1723" t="s">
        <v>97</v>
      </c>
    </row>
    <row r="1724" spans="1:15" x14ac:dyDescent="0.2">
      <c r="A1724">
        <v>375</v>
      </c>
      <c r="B1724">
        <v>376</v>
      </c>
      <c r="C1724">
        <v>375</v>
      </c>
      <c r="D1724">
        <v>374</v>
      </c>
      <c r="E1724" t="s">
        <v>57</v>
      </c>
      <c r="F1724" t="s">
        <v>74</v>
      </c>
      <c r="G1724">
        <v>24</v>
      </c>
      <c r="H1724" t="s">
        <v>156</v>
      </c>
      <c r="I1724">
        <v>0.5</v>
      </c>
      <c r="J1724">
        <v>0.5</v>
      </c>
      <c r="K1724" t="s">
        <v>122</v>
      </c>
      <c r="L1724" t="s">
        <v>157</v>
      </c>
      <c r="M1724" t="s">
        <v>158</v>
      </c>
      <c r="N1724" t="s">
        <v>107</v>
      </c>
      <c r="O1724" t="s">
        <v>97</v>
      </c>
    </row>
    <row r="1725" spans="1:15" x14ac:dyDescent="0.2">
      <c r="A1725">
        <v>375</v>
      </c>
      <c r="B1725">
        <v>376</v>
      </c>
      <c r="C1725">
        <v>375</v>
      </c>
      <c r="D1725">
        <v>374</v>
      </c>
      <c r="E1725" t="s">
        <v>57</v>
      </c>
      <c r="F1725" t="s">
        <v>74</v>
      </c>
      <c r="G1725">
        <v>25</v>
      </c>
      <c r="H1725" t="s">
        <v>156</v>
      </c>
      <c r="I1725">
        <v>0.5</v>
      </c>
      <c r="J1725">
        <v>0.5</v>
      </c>
      <c r="K1725" t="s">
        <v>122</v>
      </c>
      <c r="L1725" t="s">
        <v>157</v>
      </c>
      <c r="M1725" t="s">
        <v>158</v>
      </c>
      <c r="N1725" t="s">
        <v>107</v>
      </c>
      <c r="O1725" t="s">
        <v>97</v>
      </c>
    </row>
    <row r="1726" spans="1:15" x14ac:dyDescent="0.2">
      <c r="A1726">
        <v>375</v>
      </c>
      <c r="B1726">
        <v>376</v>
      </c>
      <c r="C1726">
        <v>375</v>
      </c>
      <c r="D1726">
        <v>374</v>
      </c>
      <c r="E1726" t="s">
        <v>57</v>
      </c>
      <c r="F1726" t="s">
        <v>74</v>
      </c>
      <c r="G1726">
        <v>26</v>
      </c>
      <c r="H1726" t="s">
        <v>152</v>
      </c>
      <c r="I1726">
        <v>0</v>
      </c>
      <c r="J1726">
        <v>0</v>
      </c>
      <c r="K1726" t="s">
        <v>153</v>
      </c>
      <c r="L1726" t="s">
        <v>154</v>
      </c>
      <c r="M1726" t="s">
        <v>155</v>
      </c>
      <c r="N1726" t="s">
        <v>107</v>
      </c>
      <c r="O1726" t="s">
        <v>97</v>
      </c>
    </row>
    <row r="1727" spans="1:15" x14ac:dyDescent="0.2">
      <c r="A1727">
        <v>375</v>
      </c>
      <c r="B1727">
        <v>376</v>
      </c>
      <c r="C1727">
        <v>375</v>
      </c>
      <c r="D1727">
        <v>374</v>
      </c>
      <c r="E1727" t="s">
        <v>57</v>
      </c>
      <c r="F1727" t="s">
        <v>74</v>
      </c>
      <c r="G1727">
        <v>27</v>
      </c>
      <c r="H1727" t="s">
        <v>159</v>
      </c>
      <c r="I1727">
        <v>0.5</v>
      </c>
      <c r="J1727">
        <v>0.5</v>
      </c>
      <c r="K1727" t="s">
        <v>122</v>
      </c>
      <c r="L1727" t="s">
        <v>160</v>
      </c>
      <c r="M1727" t="s">
        <v>161</v>
      </c>
      <c r="N1727" t="s">
        <v>107</v>
      </c>
      <c r="O1727" t="s">
        <v>97</v>
      </c>
    </row>
    <row r="1728" spans="1:15" x14ac:dyDescent="0.2">
      <c r="A1728">
        <v>375</v>
      </c>
      <c r="B1728">
        <v>376</v>
      </c>
      <c r="C1728">
        <v>375</v>
      </c>
      <c r="D1728">
        <v>374</v>
      </c>
      <c r="E1728" t="s">
        <v>57</v>
      </c>
      <c r="F1728" t="s">
        <v>74</v>
      </c>
      <c r="G1728">
        <v>28</v>
      </c>
      <c r="H1728" t="s">
        <v>159</v>
      </c>
      <c r="I1728">
        <v>0.5</v>
      </c>
      <c r="J1728">
        <v>0.5</v>
      </c>
      <c r="K1728" t="s">
        <v>122</v>
      </c>
      <c r="L1728" t="s">
        <v>160</v>
      </c>
      <c r="M1728" t="s">
        <v>161</v>
      </c>
      <c r="N1728" t="s">
        <v>107</v>
      </c>
      <c r="O1728" t="s">
        <v>97</v>
      </c>
    </row>
    <row r="1729" spans="1:15" x14ac:dyDescent="0.2">
      <c r="A1729">
        <v>375</v>
      </c>
      <c r="B1729">
        <v>376</v>
      </c>
      <c r="C1729">
        <v>375</v>
      </c>
      <c r="D1729">
        <v>374</v>
      </c>
      <c r="E1729" t="s">
        <v>57</v>
      </c>
      <c r="F1729" t="s">
        <v>74</v>
      </c>
      <c r="G1729">
        <v>29</v>
      </c>
      <c r="H1729" t="s">
        <v>152</v>
      </c>
      <c r="I1729">
        <v>0</v>
      </c>
      <c r="J1729">
        <v>0</v>
      </c>
      <c r="K1729" t="s">
        <v>153</v>
      </c>
      <c r="L1729" t="s">
        <v>154</v>
      </c>
      <c r="M1729" t="s">
        <v>155</v>
      </c>
      <c r="N1729" t="s">
        <v>107</v>
      </c>
      <c r="O1729" t="s">
        <v>97</v>
      </c>
    </row>
    <row r="1730" spans="1:15" x14ac:dyDescent="0.2">
      <c r="A1730">
        <v>375</v>
      </c>
      <c r="B1730">
        <v>376</v>
      </c>
      <c r="C1730">
        <v>375</v>
      </c>
      <c r="D1730">
        <v>374</v>
      </c>
      <c r="E1730" t="s">
        <v>57</v>
      </c>
      <c r="F1730" t="s">
        <v>74</v>
      </c>
      <c r="G1730">
        <v>30</v>
      </c>
      <c r="H1730" t="s">
        <v>162</v>
      </c>
      <c r="I1730">
        <v>0</v>
      </c>
      <c r="J1730">
        <v>1</v>
      </c>
      <c r="K1730" t="s">
        <v>112</v>
      </c>
      <c r="L1730" t="s">
        <v>163</v>
      </c>
      <c r="M1730" t="s">
        <v>164</v>
      </c>
      <c r="N1730" t="s">
        <v>107</v>
      </c>
      <c r="O1730" t="s">
        <v>97</v>
      </c>
    </row>
    <row r="1731" spans="1:15" x14ac:dyDescent="0.2">
      <c r="A1731">
        <v>375</v>
      </c>
      <c r="B1731">
        <v>376</v>
      </c>
      <c r="C1731">
        <v>375</v>
      </c>
      <c r="D1731">
        <v>374</v>
      </c>
      <c r="E1731" t="s">
        <v>57</v>
      </c>
      <c r="F1731" t="s">
        <v>74</v>
      </c>
      <c r="G1731">
        <v>31</v>
      </c>
      <c r="H1731" t="s">
        <v>162</v>
      </c>
      <c r="I1731">
        <v>0</v>
      </c>
      <c r="J1731">
        <v>0</v>
      </c>
      <c r="K1731" t="s">
        <v>112</v>
      </c>
      <c r="L1731" t="s">
        <v>163</v>
      </c>
      <c r="M1731" t="s">
        <v>164</v>
      </c>
      <c r="N1731" t="s">
        <v>107</v>
      </c>
      <c r="O1731" t="s">
        <v>97</v>
      </c>
    </row>
    <row r="1732" spans="1:15" x14ac:dyDescent="0.2">
      <c r="A1732">
        <v>375</v>
      </c>
      <c r="B1732">
        <v>376</v>
      </c>
      <c r="C1732">
        <v>375</v>
      </c>
      <c r="D1732">
        <v>374</v>
      </c>
      <c r="E1732" t="s">
        <v>57</v>
      </c>
      <c r="F1732" t="s">
        <v>74</v>
      </c>
      <c r="G1732">
        <v>32</v>
      </c>
      <c r="H1732" t="s">
        <v>162</v>
      </c>
      <c r="I1732">
        <v>0</v>
      </c>
      <c r="J1732">
        <v>0</v>
      </c>
      <c r="K1732" t="s">
        <v>112</v>
      </c>
      <c r="L1732" t="s">
        <v>163</v>
      </c>
      <c r="M1732" t="s">
        <v>164</v>
      </c>
      <c r="N1732" t="s">
        <v>107</v>
      </c>
      <c r="O1732" t="s">
        <v>97</v>
      </c>
    </row>
    <row r="1733" spans="1:15" x14ac:dyDescent="0.2">
      <c r="A1733">
        <v>375</v>
      </c>
      <c r="B1733">
        <v>376</v>
      </c>
      <c r="C1733">
        <v>375</v>
      </c>
      <c r="D1733">
        <v>374</v>
      </c>
      <c r="E1733" t="s">
        <v>57</v>
      </c>
      <c r="F1733" t="s">
        <v>74</v>
      </c>
      <c r="G1733">
        <v>33</v>
      </c>
      <c r="H1733" t="s">
        <v>152</v>
      </c>
      <c r="I1733">
        <v>0</v>
      </c>
      <c r="J1733">
        <v>1</v>
      </c>
      <c r="K1733" t="s">
        <v>153</v>
      </c>
      <c r="L1733" t="s">
        <v>154</v>
      </c>
      <c r="M1733" t="s">
        <v>155</v>
      </c>
      <c r="N1733" t="s">
        <v>107</v>
      </c>
      <c r="O1733" t="s">
        <v>97</v>
      </c>
    </row>
    <row r="1734" spans="1:15" x14ac:dyDescent="0.2">
      <c r="A1734">
        <v>375</v>
      </c>
      <c r="B1734">
        <v>376</v>
      </c>
      <c r="C1734">
        <v>375</v>
      </c>
      <c r="D1734">
        <v>374</v>
      </c>
      <c r="E1734" t="s">
        <v>57</v>
      </c>
      <c r="F1734" t="s">
        <v>74</v>
      </c>
      <c r="G1734">
        <v>34</v>
      </c>
      <c r="H1734" t="s">
        <v>152</v>
      </c>
      <c r="I1734">
        <v>0</v>
      </c>
      <c r="J1734">
        <v>0</v>
      </c>
      <c r="K1734" t="s">
        <v>153</v>
      </c>
      <c r="L1734" t="s">
        <v>154</v>
      </c>
      <c r="M1734" t="s">
        <v>155</v>
      </c>
      <c r="N1734" t="s">
        <v>107</v>
      </c>
      <c r="O1734" t="s">
        <v>97</v>
      </c>
    </row>
    <row r="1735" spans="1:15" x14ac:dyDescent="0.2">
      <c r="A1735">
        <v>375</v>
      </c>
      <c r="B1735">
        <v>376</v>
      </c>
      <c r="C1735">
        <v>375</v>
      </c>
      <c r="D1735">
        <v>374</v>
      </c>
      <c r="E1735" t="s">
        <v>57</v>
      </c>
      <c r="F1735" t="s">
        <v>74</v>
      </c>
      <c r="G1735">
        <v>35</v>
      </c>
      <c r="H1735" t="s">
        <v>165</v>
      </c>
      <c r="I1735">
        <v>0</v>
      </c>
      <c r="J1735">
        <v>1</v>
      </c>
      <c r="K1735" t="s">
        <v>166</v>
      </c>
      <c r="L1735" t="s">
        <v>167</v>
      </c>
      <c r="M1735" t="s">
        <v>168</v>
      </c>
      <c r="N1735" t="s">
        <v>107</v>
      </c>
      <c r="O1735" t="s">
        <v>97</v>
      </c>
    </row>
    <row r="1736" spans="1:15" x14ac:dyDescent="0.2">
      <c r="A1736">
        <v>375</v>
      </c>
      <c r="B1736">
        <v>376</v>
      </c>
      <c r="C1736">
        <v>375</v>
      </c>
      <c r="D1736">
        <v>374</v>
      </c>
      <c r="E1736" t="s">
        <v>57</v>
      </c>
      <c r="F1736" t="s">
        <v>74</v>
      </c>
      <c r="G1736">
        <v>36</v>
      </c>
      <c r="H1736" t="s">
        <v>169</v>
      </c>
      <c r="I1736">
        <v>0</v>
      </c>
      <c r="J1736">
        <v>0</v>
      </c>
      <c r="K1736" t="e">
        <v>#N/A</v>
      </c>
      <c r="L1736" t="e">
        <v>#N/A</v>
      </c>
      <c r="M1736" t="e">
        <v>#N/A</v>
      </c>
      <c r="N1736" t="e">
        <v>#N/A</v>
      </c>
      <c r="O1736" t="s">
        <v>97</v>
      </c>
    </row>
    <row r="1737" spans="1:15" x14ac:dyDescent="0.2">
      <c r="A1737">
        <v>375</v>
      </c>
      <c r="B1737">
        <v>376</v>
      </c>
      <c r="C1737">
        <v>375</v>
      </c>
      <c r="D1737">
        <v>374</v>
      </c>
      <c r="E1737" t="s">
        <v>57</v>
      </c>
      <c r="F1737" t="s">
        <v>74</v>
      </c>
      <c r="G1737">
        <v>38</v>
      </c>
      <c r="H1737" t="s">
        <v>170</v>
      </c>
      <c r="I1737">
        <v>0</v>
      </c>
      <c r="J1737">
        <v>0</v>
      </c>
      <c r="K1737" t="s">
        <v>112</v>
      </c>
      <c r="L1737" t="s">
        <v>171</v>
      </c>
      <c r="M1737" t="s">
        <v>172</v>
      </c>
      <c r="N1737" t="s">
        <v>96</v>
      </c>
      <c r="O1737" t="s">
        <v>97</v>
      </c>
    </row>
    <row r="1738" spans="1:15" x14ac:dyDescent="0.2">
      <c r="A1738">
        <v>375</v>
      </c>
      <c r="B1738">
        <v>376</v>
      </c>
      <c r="C1738">
        <v>375</v>
      </c>
      <c r="D1738">
        <v>374</v>
      </c>
      <c r="E1738" t="s">
        <v>57</v>
      </c>
      <c r="F1738" t="s">
        <v>74</v>
      </c>
      <c r="G1738">
        <v>39</v>
      </c>
      <c r="H1738" t="s">
        <v>170</v>
      </c>
      <c r="I1738">
        <v>0</v>
      </c>
      <c r="J1738">
        <v>0</v>
      </c>
      <c r="K1738" t="s">
        <v>112</v>
      </c>
      <c r="L1738" t="s">
        <v>171</v>
      </c>
      <c r="M1738" t="s">
        <v>172</v>
      </c>
      <c r="N1738" t="s">
        <v>96</v>
      </c>
      <c r="O1738" t="s">
        <v>97</v>
      </c>
    </row>
    <row r="1739" spans="1:15" x14ac:dyDescent="0.2">
      <c r="A1739">
        <v>375</v>
      </c>
      <c r="B1739">
        <v>376</v>
      </c>
      <c r="C1739">
        <v>375</v>
      </c>
      <c r="D1739">
        <v>374</v>
      </c>
      <c r="E1739" t="s">
        <v>57</v>
      </c>
      <c r="F1739" t="s">
        <v>74</v>
      </c>
      <c r="G1739">
        <v>40</v>
      </c>
      <c r="H1739" t="s">
        <v>170</v>
      </c>
      <c r="I1739">
        <v>0</v>
      </c>
      <c r="J1739">
        <v>0</v>
      </c>
      <c r="K1739" t="s">
        <v>112</v>
      </c>
      <c r="L1739" t="s">
        <v>171</v>
      </c>
      <c r="M1739" t="s">
        <v>172</v>
      </c>
      <c r="N1739" t="s">
        <v>96</v>
      </c>
      <c r="O1739" t="s">
        <v>97</v>
      </c>
    </row>
    <row r="1740" spans="1:15" x14ac:dyDescent="0.2">
      <c r="A1740">
        <v>375</v>
      </c>
      <c r="B1740">
        <v>376</v>
      </c>
      <c r="C1740">
        <v>375</v>
      </c>
      <c r="D1740">
        <v>374</v>
      </c>
      <c r="E1740" t="s">
        <v>57</v>
      </c>
      <c r="F1740" t="s">
        <v>74</v>
      </c>
      <c r="G1740">
        <v>41</v>
      </c>
      <c r="H1740" t="s">
        <v>173</v>
      </c>
      <c r="I1740">
        <v>0</v>
      </c>
      <c r="J1740">
        <v>0</v>
      </c>
      <c r="K1740" t="s">
        <v>166</v>
      </c>
      <c r="L1740" t="s">
        <v>174</v>
      </c>
      <c r="M1740" t="s">
        <v>175</v>
      </c>
      <c r="N1740" t="s">
        <v>107</v>
      </c>
      <c r="O1740" t="s">
        <v>97</v>
      </c>
    </row>
    <row r="1741" spans="1:15" x14ac:dyDescent="0.2">
      <c r="A1741">
        <v>375</v>
      </c>
      <c r="B1741">
        <v>376</v>
      </c>
      <c r="C1741">
        <v>375</v>
      </c>
      <c r="D1741">
        <v>374</v>
      </c>
      <c r="E1741" t="s">
        <v>57</v>
      </c>
      <c r="F1741" t="s">
        <v>74</v>
      </c>
      <c r="G1741">
        <v>42</v>
      </c>
      <c r="H1741" t="s">
        <v>176</v>
      </c>
      <c r="I1741">
        <v>0</v>
      </c>
      <c r="J1741" t="s">
        <v>198</v>
      </c>
      <c r="K1741" t="s">
        <v>153</v>
      </c>
      <c r="L1741" t="s">
        <v>177</v>
      </c>
      <c r="M1741" t="s">
        <v>178</v>
      </c>
      <c r="N1741" t="s">
        <v>107</v>
      </c>
      <c r="O1741" t="s">
        <v>97</v>
      </c>
    </row>
    <row r="1742" spans="1:15" x14ac:dyDescent="0.2">
      <c r="A1742">
        <v>375</v>
      </c>
      <c r="B1742">
        <v>376</v>
      </c>
      <c r="C1742">
        <v>375</v>
      </c>
      <c r="D1742">
        <v>374</v>
      </c>
      <c r="E1742" t="s">
        <v>57</v>
      </c>
      <c r="F1742" t="s">
        <v>74</v>
      </c>
      <c r="G1742">
        <v>43</v>
      </c>
      <c r="H1742" t="s">
        <v>179</v>
      </c>
      <c r="I1742">
        <v>0</v>
      </c>
      <c r="J1742">
        <v>0</v>
      </c>
      <c r="K1742" t="s">
        <v>166</v>
      </c>
      <c r="L1742" t="s">
        <v>180</v>
      </c>
      <c r="M1742" t="s">
        <v>181</v>
      </c>
      <c r="N1742" t="s">
        <v>107</v>
      </c>
      <c r="O1742" t="s">
        <v>97</v>
      </c>
    </row>
    <row r="1743" spans="1:15" x14ac:dyDescent="0.2">
      <c r="A1743">
        <v>375</v>
      </c>
      <c r="B1743">
        <v>376</v>
      </c>
      <c r="C1743">
        <v>375</v>
      </c>
      <c r="D1743">
        <v>374</v>
      </c>
      <c r="E1743" t="s">
        <v>57</v>
      </c>
      <c r="F1743" t="s">
        <v>74</v>
      </c>
      <c r="G1743">
        <v>44</v>
      </c>
      <c r="H1743" t="s">
        <v>182</v>
      </c>
      <c r="I1743">
        <v>0</v>
      </c>
      <c r="J1743">
        <v>1</v>
      </c>
      <c r="K1743" t="s">
        <v>166</v>
      </c>
      <c r="L1743" t="s">
        <v>183</v>
      </c>
      <c r="M1743" t="s">
        <v>184</v>
      </c>
      <c r="N1743" t="s">
        <v>107</v>
      </c>
      <c r="O1743" t="s">
        <v>97</v>
      </c>
    </row>
    <row r="1744" spans="1:15" x14ac:dyDescent="0.2">
      <c r="A1744">
        <v>375</v>
      </c>
      <c r="B1744">
        <v>376</v>
      </c>
      <c r="C1744">
        <v>375</v>
      </c>
      <c r="D1744">
        <v>374</v>
      </c>
      <c r="E1744" t="s">
        <v>57</v>
      </c>
      <c r="F1744" t="s">
        <v>74</v>
      </c>
      <c r="G1744">
        <v>45</v>
      </c>
      <c r="H1744" t="s">
        <v>185</v>
      </c>
      <c r="I1744">
        <v>1</v>
      </c>
      <c r="J1744">
        <v>1</v>
      </c>
      <c r="K1744" t="s">
        <v>166</v>
      </c>
      <c r="L1744" t="s">
        <v>186</v>
      </c>
      <c r="M1744" t="s">
        <v>139</v>
      </c>
      <c r="N1744" t="s">
        <v>107</v>
      </c>
      <c r="O1744" t="s">
        <v>97</v>
      </c>
    </row>
    <row r="1745" spans="1:15" x14ac:dyDescent="0.2">
      <c r="A1745">
        <v>375</v>
      </c>
      <c r="B1745">
        <v>376</v>
      </c>
      <c r="C1745">
        <v>375</v>
      </c>
      <c r="D1745">
        <v>374</v>
      </c>
      <c r="E1745" t="s">
        <v>57</v>
      </c>
      <c r="F1745" t="s">
        <v>74</v>
      </c>
      <c r="G1745">
        <v>47</v>
      </c>
      <c r="H1745" t="s">
        <v>187</v>
      </c>
      <c r="I1745">
        <v>0</v>
      </c>
      <c r="J1745">
        <v>0.2</v>
      </c>
      <c r="K1745" t="s">
        <v>93</v>
      </c>
      <c r="L1745" t="s">
        <v>188</v>
      </c>
      <c r="M1745" t="s">
        <v>95</v>
      </c>
      <c r="N1745" t="s">
        <v>96</v>
      </c>
      <c r="O1745" t="s">
        <v>97</v>
      </c>
    </row>
    <row r="1746" spans="1:15" x14ac:dyDescent="0.2">
      <c r="A1746">
        <v>375</v>
      </c>
      <c r="B1746">
        <v>376</v>
      </c>
      <c r="C1746">
        <v>375</v>
      </c>
      <c r="D1746">
        <v>374</v>
      </c>
      <c r="E1746" t="s">
        <v>57</v>
      </c>
      <c r="F1746" t="s">
        <v>74</v>
      </c>
      <c r="G1746">
        <v>48</v>
      </c>
      <c r="H1746" t="s">
        <v>189</v>
      </c>
      <c r="I1746">
        <v>0</v>
      </c>
      <c r="J1746">
        <v>0.2</v>
      </c>
      <c r="K1746" t="s">
        <v>93</v>
      </c>
      <c r="L1746" t="s">
        <v>190</v>
      </c>
      <c r="M1746" t="s">
        <v>95</v>
      </c>
      <c r="N1746" t="s">
        <v>96</v>
      </c>
      <c r="O1746" t="s">
        <v>97</v>
      </c>
    </row>
    <row r="1747" spans="1:15" x14ac:dyDescent="0.2">
      <c r="A1747">
        <v>375</v>
      </c>
      <c r="B1747">
        <v>376</v>
      </c>
      <c r="C1747">
        <v>375</v>
      </c>
      <c r="D1747">
        <v>374</v>
      </c>
      <c r="E1747" t="s">
        <v>57</v>
      </c>
      <c r="F1747" t="s">
        <v>74</v>
      </c>
      <c r="G1747">
        <v>49</v>
      </c>
      <c r="H1747" t="s">
        <v>191</v>
      </c>
      <c r="I1747">
        <v>0.2</v>
      </c>
      <c r="J1747">
        <v>0.2</v>
      </c>
      <c r="K1747" t="s">
        <v>93</v>
      </c>
      <c r="L1747" t="s">
        <v>192</v>
      </c>
      <c r="M1747" t="s">
        <v>95</v>
      </c>
      <c r="N1747" t="s">
        <v>96</v>
      </c>
      <c r="O1747" t="s">
        <v>97</v>
      </c>
    </row>
    <row r="1748" spans="1:15" x14ac:dyDescent="0.2">
      <c r="A1748">
        <v>375</v>
      </c>
      <c r="B1748">
        <v>376</v>
      </c>
      <c r="C1748">
        <v>375</v>
      </c>
      <c r="D1748">
        <v>374</v>
      </c>
      <c r="E1748" t="s">
        <v>57</v>
      </c>
      <c r="F1748" t="s">
        <v>74</v>
      </c>
      <c r="G1748">
        <v>50</v>
      </c>
      <c r="H1748" t="s">
        <v>193</v>
      </c>
      <c r="I1748">
        <v>0.1</v>
      </c>
      <c r="J1748">
        <v>0.1</v>
      </c>
      <c r="K1748" t="s">
        <v>93</v>
      </c>
      <c r="L1748" t="s">
        <v>194</v>
      </c>
      <c r="M1748" t="s">
        <v>95</v>
      </c>
      <c r="N1748" t="s">
        <v>96</v>
      </c>
      <c r="O1748" t="s">
        <v>97</v>
      </c>
    </row>
    <row r="1749" spans="1:15" x14ac:dyDescent="0.2">
      <c r="A1749">
        <v>375</v>
      </c>
      <c r="B1749">
        <v>376</v>
      </c>
      <c r="C1749">
        <v>375</v>
      </c>
      <c r="D1749">
        <v>374</v>
      </c>
      <c r="E1749" t="s">
        <v>57</v>
      </c>
      <c r="F1749" t="s">
        <v>74</v>
      </c>
      <c r="G1749">
        <v>51</v>
      </c>
      <c r="H1749" t="s">
        <v>193</v>
      </c>
      <c r="I1749">
        <v>0.1</v>
      </c>
      <c r="J1749">
        <v>0.1</v>
      </c>
      <c r="K1749" t="s">
        <v>93</v>
      </c>
      <c r="L1749" t="s">
        <v>194</v>
      </c>
      <c r="M1749" t="s">
        <v>95</v>
      </c>
      <c r="N1749" t="s">
        <v>96</v>
      </c>
      <c r="O1749" t="s">
        <v>97</v>
      </c>
    </row>
    <row r="1750" spans="1:15" x14ac:dyDescent="0.2">
      <c r="A1750">
        <v>375</v>
      </c>
      <c r="B1750">
        <v>376</v>
      </c>
      <c r="C1750">
        <v>375</v>
      </c>
      <c r="D1750">
        <v>374</v>
      </c>
      <c r="E1750" t="s">
        <v>57</v>
      </c>
      <c r="F1750" t="s">
        <v>74</v>
      </c>
      <c r="G1750">
        <v>97</v>
      </c>
      <c r="H1750" t="s">
        <v>152</v>
      </c>
      <c r="I1750">
        <v>0.25</v>
      </c>
      <c r="J1750">
        <v>0.25</v>
      </c>
      <c r="K1750" t="s">
        <v>153</v>
      </c>
      <c r="L1750" t="s">
        <v>154</v>
      </c>
      <c r="M1750" t="s">
        <v>155</v>
      </c>
      <c r="N1750" t="s">
        <v>107</v>
      </c>
      <c r="O1750" t="s">
        <v>97</v>
      </c>
    </row>
    <row r="1751" spans="1:15" x14ac:dyDescent="0.2">
      <c r="A1751">
        <v>375</v>
      </c>
      <c r="B1751">
        <v>376</v>
      </c>
      <c r="C1751">
        <v>375</v>
      </c>
      <c r="D1751">
        <v>374</v>
      </c>
      <c r="E1751" t="s">
        <v>57</v>
      </c>
      <c r="F1751" t="s">
        <v>74</v>
      </c>
      <c r="G1751">
        <v>96</v>
      </c>
      <c r="H1751" t="s">
        <v>152</v>
      </c>
      <c r="I1751">
        <v>0</v>
      </c>
      <c r="J1751">
        <v>0</v>
      </c>
      <c r="K1751" t="s">
        <v>153</v>
      </c>
      <c r="L1751" t="s">
        <v>154</v>
      </c>
      <c r="M1751" t="s">
        <v>155</v>
      </c>
      <c r="N1751" t="s">
        <v>107</v>
      </c>
      <c r="O1751" t="s">
        <v>97</v>
      </c>
    </row>
    <row r="1752" spans="1:15" x14ac:dyDescent="0.2">
      <c r="A1752">
        <v>375</v>
      </c>
      <c r="B1752">
        <v>376</v>
      </c>
      <c r="C1752">
        <v>375</v>
      </c>
      <c r="D1752">
        <v>374</v>
      </c>
      <c r="E1752" t="s">
        <v>57</v>
      </c>
      <c r="F1752" t="s">
        <v>74</v>
      </c>
      <c r="G1752">
        <v>99</v>
      </c>
      <c r="H1752" t="s">
        <v>152</v>
      </c>
      <c r="I1752">
        <v>0</v>
      </c>
      <c r="J1752">
        <v>0</v>
      </c>
      <c r="K1752" t="s">
        <v>153</v>
      </c>
      <c r="L1752" t="s">
        <v>154</v>
      </c>
      <c r="M1752" t="s">
        <v>155</v>
      </c>
      <c r="N1752" t="s">
        <v>107</v>
      </c>
      <c r="O1752" t="s">
        <v>97</v>
      </c>
    </row>
    <row r="1753" spans="1:15" x14ac:dyDescent="0.2">
      <c r="A1753">
        <v>375</v>
      </c>
      <c r="B1753">
        <v>376</v>
      </c>
      <c r="C1753">
        <v>375</v>
      </c>
      <c r="D1753">
        <v>374</v>
      </c>
      <c r="E1753" t="s">
        <v>57</v>
      </c>
      <c r="F1753" t="s">
        <v>74</v>
      </c>
      <c r="G1753">
        <v>98</v>
      </c>
      <c r="H1753" t="s">
        <v>204</v>
      </c>
      <c r="I1753">
        <v>0</v>
      </c>
      <c r="J1753">
        <v>1</v>
      </c>
      <c r="K1753" t="s">
        <v>122</v>
      </c>
      <c r="L1753" t="s">
        <v>205</v>
      </c>
      <c r="M1753" t="s">
        <v>206</v>
      </c>
      <c r="N1753" t="s">
        <v>207</v>
      </c>
      <c r="O1753" t="s">
        <v>97</v>
      </c>
    </row>
    <row r="1754" spans="1:15" x14ac:dyDescent="0.2">
      <c r="A1754">
        <v>370</v>
      </c>
      <c r="B1754">
        <v>371</v>
      </c>
      <c r="C1754">
        <v>370</v>
      </c>
      <c r="D1754">
        <v>369</v>
      </c>
      <c r="E1754" t="s">
        <v>57</v>
      </c>
      <c r="F1754" t="s">
        <v>73</v>
      </c>
      <c r="G1754">
        <v>1</v>
      </c>
      <c r="H1754" t="s">
        <v>92</v>
      </c>
      <c r="I1754">
        <v>0</v>
      </c>
      <c r="J1754">
        <v>0.2</v>
      </c>
      <c r="K1754" t="s">
        <v>93</v>
      </c>
      <c r="L1754" t="s">
        <v>94</v>
      </c>
      <c r="M1754" t="s">
        <v>95</v>
      </c>
      <c r="N1754" t="s">
        <v>96</v>
      </c>
      <c r="O1754" t="s">
        <v>97</v>
      </c>
    </row>
    <row r="1755" spans="1:15" x14ac:dyDescent="0.2">
      <c r="A1755">
        <v>370</v>
      </c>
      <c r="B1755">
        <v>371</v>
      </c>
      <c r="C1755">
        <v>370</v>
      </c>
      <c r="D1755">
        <v>369</v>
      </c>
      <c r="E1755" t="s">
        <v>57</v>
      </c>
      <c r="F1755" t="s">
        <v>73</v>
      </c>
      <c r="G1755">
        <v>2</v>
      </c>
      <c r="H1755" t="s">
        <v>98</v>
      </c>
      <c r="I1755">
        <v>0.25</v>
      </c>
      <c r="J1755">
        <v>0.5</v>
      </c>
      <c r="K1755" t="s">
        <v>93</v>
      </c>
      <c r="L1755" t="s">
        <v>99</v>
      </c>
      <c r="M1755" t="s">
        <v>95</v>
      </c>
      <c r="N1755" t="s">
        <v>96</v>
      </c>
      <c r="O1755" t="s">
        <v>97</v>
      </c>
    </row>
    <row r="1756" spans="1:15" x14ac:dyDescent="0.2">
      <c r="A1756">
        <v>370</v>
      </c>
      <c r="B1756">
        <v>371</v>
      </c>
      <c r="C1756">
        <v>370</v>
      </c>
      <c r="D1756">
        <v>369</v>
      </c>
      <c r="E1756" t="s">
        <v>57</v>
      </c>
      <c r="F1756" t="s">
        <v>73</v>
      </c>
      <c r="G1756">
        <v>3</v>
      </c>
      <c r="H1756" t="s">
        <v>100</v>
      </c>
      <c r="I1756">
        <v>0</v>
      </c>
      <c r="J1756">
        <v>1</v>
      </c>
      <c r="K1756" t="s">
        <v>101</v>
      </c>
      <c r="L1756" t="s">
        <v>102</v>
      </c>
      <c r="M1756" t="s">
        <v>103</v>
      </c>
      <c r="N1756" t="s">
        <v>96</v>
      </c>
      <c r="O1756" t="s">
        <v>97</v>
      </c>
    </row>
    <row r="1757" spans="1:15" x14ac:dyDescent="0.2">
      <c r="A1757">
        <v>370</v>
      </c>
      <c r="B1757">
        <v>371</v>
      </c>
      <c r="C1757">
        <v>370</v>
      </c>
      <c r="D1757">
        <v>369</v>
      </c>
      <c r="E1757" t="s">
        <v>57</v>
      </c>
      <c r="F1757" t="s">
        <v>73</v>
      </c>
      <c r="G1757">
        <v>4</v>
      </c>
      <c r="H1757" t="s">
        <v>104</v>
      </c>
      <c r="I1757">
        <v>0.5</v>
      </c>
      <c r="J1757">
        <v>1</v>
      </c>
      <c r="K1757" t="s">
        <v>101</v>
      </c>
      <c r="L1757" t="s">
        <v>105</v>
      </c>
      <c r="M1757" t="s">
        <v>106</v>
      </c>
      <c r="N1757" t="s">
        <v>107</v>
      </c>
      <c r="O1757" t="s">
        <v>97</v>
      </c>
    </row>
    <row r="1758" spans="1:15" x14ac:dyDescent="0.2">
      <c r="A1758">
        <v>370</v>
      </c>
      <c r="B1758">
        <v>371</v>
      </c>
      <c r="C1758">
        <v>370</v>
      </c>
      <c r="D1758">
        <v>369</v>
      </c>
      <c r="E1758" t="s">
        <v>57</v>
      </c>
      <c r="F1758" t="s">
        <v>73</v>
      </c>
      <c r="G1758">
        <v>5</v>
      </c>
      <c r="H1758" t="s">
        <v>108</v>
      </c>
      <c r="I1758">
        <v>0.5</v>
      </c>
      <c r="J1758">
        <v>1</v>
      </c>
      <c r="K1758" t="s">
        <v>101</v>
      </c>
      <c r="L1758" t="s">
        <v>109</v>
      </c>
      <c r="M1758" t="s">
        <v>110</v>
      </c>
      <c r="N1758" t="s">
        <v>107</v>
      </c>
      <c r="O1758" t="s">
        <v>97</v>
      </c>
    </row>
    <row r="1759" spans="1:15" x14ac:dyDescent="0.2">
      <c r="A1759">
        <v>370</v>
      </c>
      <c r="B1759">
        <v>371</v>
      </c>
      <c r="C1759">
        <v>370</v>
      </c>
      <c r="D1759">
        <v>369</v>
      </c>
      <c r="E1759" t="s">
        <v>57</v>
      </c>
      <c r="F1759" t="s">
        <v>73</v>
      </c>
      <c r="G1759">
        <v>9</v>
      </c>
      <c r="H1759" t="s">
        <v>111</v>
      </c>
      <c r="I1759">
        <v>0</v>
      </c>
      <c r="J1759" t="s">
        <v>195</v>
      </c>
      <c r="K1759" t="s">
        <v>112</v>
      </c>
      <c r="L1759" t="s">
        <v>113</v>
      </c>
      <c r="M1759" t="s">
        <v>114</v>
      </c>
      <c r="N1759" t="s">
        <v>96</v>
      </c>
      <c r="O1759" t="s">
        <v>97</v>
      </c>
    </row>
    <row r="1760" spans="1:15" x14ac:dyDescent="0.2">
      <c r="A1760">
        <v>370</v>
      </c>
      <c r="B1760">
        <v>371</v>
      </c>
      <c r="C1760">
        <v>370</v>
      </c>
      <c r="D1760">
        <v>369</v>
      </c>
      <c r="E1760" t="s">
        <v>57</v>
      </c>
      <c r="F1760" t="s">
        <v>73</v>
      </c>
      <c r="G1760">
        <v>10</v>
      </c>
      <c r="H1760" t="s">
        <v>115</v>
      </c>
      <c r="I1760">
        <v>0</v>
      </c>
      <c r="J1760">
        <v>0.5</v>
      </c>
      <c r="K1760" t="s">
        <v>112</v>
      </c>
      <c r="L1760" t="s">
        <v>116</v>
      </c>
      <c r="M1760" t="s">
        <v>117</v>
      </c>
      <c r="N1760" t="s">
        <v>96</v>
      </c>
      <c r="O1760" t="s">
        <v>97</v>
      </c>
    </row>
    <row r="1761" spans="1:15" x14ac:dyDescent="0.2">
      <c r="A1761">
        <v>370</v>
      </c>
      <c r="B1761">
        <v>371</v>
      </c>
      <c r="C1761">
        <v>370</v>
      </c>
      <c r="D1761">
        <v>369</v>
      </c>
      <c r="E1761" t="s">
        <v>57</v>
      </c>
      <c r="F1761" t="s">
        <v>73</v>
      </c>
      <c r="G1761">
        <v>11</v>
      </c>
      <c r="H1761" t="s">
        <v>118</v>
      </c>
      <c r="I1761">
        <v>0.5</v>
      </c>
      <c r="J1761">
        <v>1</v>
      </c>
      <c r="K1761" t="s">
        <v>112</v>
      </c>
      <c r="L1761" t="s">
        <v>119</v>
      </c>
      <c r="M1761" t="s">
        <v>120</v>
      </c>
      <c r="N1761" t="s">
        <v>107</v>
      </c>
      <c r="O1761" t="s">
        <v>97</v>
      </c>
    </row>
    <row r="1762" spans="1:15" x14ac:dyDescent="0.2">
      <c r="A1762">
        <v>370</v>
      </c>
      <c r="B1762">
        <v>371</v>
      </c>
      <c r="C1762">
        <v>370</v>
      </c>
      <c r="D1762">
        <v>369</v>
      </c>
      <c r="E1762" t="s">
        <v>57</v>
      </c>
      <c r="F1762" t="s">
        <v>73</v>
      </c>
      <c r="G1762">
        <v>12</v>
      </c>
      <c r="H1762" t="s">
        <v>121</v>
      </c>
      <c r="I1762">
        <v>0</v>
      </c>
      <c r="J1762" t="s">
        <v>195</v>
      </c>
      <c r="K1762" t="s">
        <v>122</v>
      </c>
      <c r="L1762" t="s">
        <v>113</v>
      </c>
      <c r="M1762" t="s">
        <v>123</v>
      </c>
      <c r="N1762" t="s">
        <v>96</v>
      </c>
      <c r="O1762" t="s">
        <v>97</v>
      </c>
    </row>
    <row r="1763" spans="1:15" x14ac:dyDescent="0.2">
      <c r="A1763">
        <v>370</v>
      </c>
      <c r="B1763">
        <v>371</v>
      </c>
      <c r="C1763">
        <v>370</v>
      </c>
      <c r="D1763">
        <v>369</v>
      </c>
      <c r="E1763" t="s">
        <v>57</v>
      </c>
      <c r="F1763" t="s">
        <v>73</v>
      </c>
      <c r="G1763">
        <v>13</v>
      </c>
      <c r="H1763" t="s">
        <v>124</v>
      </c>
      <c r="I1763">
        <v>0</v>
      </c>
      <c r="J1763">
        <v>0.5</v>
      </c>
      <c r="K1763" t="s">
        <v>122</v>
      </c>
      <c r="L1763" t="s">
        <v>125</v>
      </c>
      <c r="M1763" t="s">
        <v>126</v>
      </c>
      <c r="N1763" t="s">
        <v>96</v>
      </c>
      <c r="O1763" t="s">
        <v>97</v>
      </c>
    </row>
    <row r="1764" spans="1:15" x14ac:dyDescent="0.2">
      <c r="A1764">
        <v>370</v>
      </c>
      <c r="B1764">
        <v>371</v>
      </c>
      <c r="C1764">
        <v>370</v>
      </c>
      <c r="D1764">
        <v>369</v>
      </c>
      <c r="E1764" t="s">
        <v>57</v>
      </c>
      <c r="F1764" t="s">
        <v>73</v>
      </c>
      <c r="G1764">
        <v>14</v>
      </c>
      <c r="H1764" t="s">
        <v>127</v>
      </c>
      <c r="I1764">
        <v>0.5</v>
      </c>
      <c r="J1764">
        <v>1</v>
      </c>
      <c r="K1764" t="s">
        <v>122</v>
      </c>
      <c r="L1764" t="s">
        <v>119</v>
      </c>
      <c r="M1764" t="s">
        <v>128</v>
      </c>
      <c r="N1764" t="s">
        <v>107</v>
      </c>
      <c r="O1764" t="s">
        <v>97</v>
      </c>
    </row>
    <row r="1765" spans="1:15" x14ac:dyDescent="0.2">
      <c r="A1765">
        <v>370</v>
      </c>
      <c r="B1765">
        <v>371</v>
      </c>
      <c r="C1765">
        <v>370</v>
      </c>
      <c r="D1765">
        <v>369</v>
      </c>
      <c r="E1765" t="s">
        <v>57</v>
      </c>
      <c r="F1765" t="s">
        <v>73</v>
      </c>
      <c r="G1765">
        <v>15</v>
      </c>
      <c r="H1765" t="s">
        <v>129</v>
      </c>
      <c r="I1765">
        <v>0</v>
      </c>
      <c r="J1765">
        <v>1</v>
      </c>
      <c r="K1765" t="s">
        <v>130</v>
      </c>
      <c r="L1765" t="s">
        <v>131</v>
      </c>
      <c r="M1765" t="s">
        <v>132</v>
      </c>
      <c r="N1765" t="s">
        <v>107</v>
      </c>
      <c r="O1765" t="s">
        <v>97</v>
      </c>
    </row>
    <row r="1766" spans="1:15" x14ac:dyDescent="0.2">
      <c r="A1766">
        <v>370</v>
      </c>
      <c r="B1766">
        <v>371</v>
      </c>
      <c r="C1766">
        <v>370</v>
      </c>
      <c r="D1766">
        <v>369</v>
      </c>
      <c r="E1766" t="s">
        <v>57</v>
      </c>
      <c r="F1766" t="s">
        <v>73</v>
      </c>
      <c r="G1766">
        <v>16</v>
      </c>
      <c r="H1766" t="s">
        <v>133</v>
      </c>
      <c r="I1766">
        <v>0</v>
      </c>
      <c r="J1766">
        <v>0</v>
      </c>
      <c r="K1766" t="e">
        <v>#N/A</v>
      </c>
      <c r="L1766" t="e">
        <v>#N/A</v>
      </c>
      <c r="M1766" t="e">
        <v>#N/A</v>
      </c>
      <c r="N1766" t="e">
        <v>#N/A</v>
      </c>
      <c r="O1766" t="s">
        <v>97</v>
      </c>
    </row>
    <row r="1767" spans="1:15" x14ac:dyDescent="0.2">
      <c r="A1767">
        <v>370</v>
      </c>
      <c r="B1767">
        <v>371</v>
      </c>
      <c r="C1767">
        <v>370</v>
      </c>
      <c r="D1767">
        <v>369</v>
      </c>
      <c r="E1767" t="s">
        <v>57</v>
      </c>
      <c r="F1767" t="s">
        <v>73</v>
      </c>
      <c r="G1767">
        <v>17</v>
      </c>
      <c r="H1767" t="s">
        <v>134</v>
      </c>
      <c r="I1767">
        <v>0</v>
      </c>
      <c r="J1767">
        <v>1</v>
      </c>
      <c r="K1767" t="s">
        <v>112</v>
      </c>
      <c r="L1767" t="s">
        <v>135</v>
      </c>
      <c r="M1767" t="s">
        <v>136</v>
      </c>
      <c r="N1767" t="s">
        <v>107</v>
      </c>
      <c r="O1767" t="s">
        <v>97</v>
      </c>
    </row>
    <row r="1768" spans="1:15" x14ac:dyDescent="0.2">
      <c r="A1768">
        <v>370</v>
      </c>
      <c r="B1768">
        <v>371</v>
      </c>
      <c r="C1768">
        <v>370</v>
      </c>
      <c r="D1768">
        <v>369</v>
      </c>
      <c r="E1768" t="s">
        <v>57</v>
      </c>
      <c r="F1768" t="s">
        <v>73</v>
      </c>
      <c r="G1768">
        <v>18</v>
      </c>
      <c r="H1768" t="s">
        <v>137</v>
      </c>
      <c r="I1768">
        <v>1</v>
      </c>
      <c r="J1768">
        <v>1</v>
      </c>
      <c r="K1768" t="s">
        <v>112</v>
      </c>
      <c r="L1768" t="s">
        <v>138</v>
      </c>
      <c r="M1768" t="s">
        <v>139</v>
      </c>
      <c r="N1768" t="s">
        <v>107</v>
      </c>
      <c r="O1768" t="s">
        <v>97</v>
      </c>
    </row>
    <row r="1769" spans="1:15" x14ac:dyDescent="0.2">
      <c r="A1769">
        <v>370</v>
      </c>
      <c r="B1769">
        <v>371</v>
      </c>
      <c r="C1769">
        <v>370</v>
      </c>
      <c r="D1769">
        <v>369</v>
      </c>
      <c r="E1769" t="s">
        <v>57</v>
      </c>
      <c r="F1769" t="s">
        <v>73</v>
      </c>
      <c r="G1769">
        <v>19</v>
      </c>
      <c r="H1769" t="s">
        <v>140</v>
      </c>
      <c r="I1769">
        <v>0.5</v>
      </c>
      <c r="J1769">
        <v>1</v>
      </c>
      <c r="K1769" t="s">
        <v>122</v>
      </c>
      <c r="L1769" t="s">
        <v>141</v>
      </c>
      <c r="M1769" t="s">
        <v>142</v>
      </c>
      <c r="N1769" t="s">
        <v>107</v>
      </c>
      <c r="O1769" t="s">
        <v>97</v>
      </c>
    </row>
    <row r="1770" spans="1:15" x14ac:dyDescent="0.2">
      <c r="A1770">
        <v>370</v>
      </c>
      <c r="B1770">
        <v>371</v>
      </c>
      <c r="C1770">
        <v>370</v>
      </c>
      <c r="D1770">
        <v>369</v>
      </c>
      <c r="E1770" t="s">
        <v>57</v>
      </c>
      <c r="F1770" t="s">
        <v>73</v>
      </c>
      <c r="G1770">
        <v>20</v>
      </c>
      <c r="H1770" t="s">
        <v>143</v>
      </c>
      <c r="I1770">
        <v>1</v>
      </c>
      <c r="J1770">
        <v>1</v>
      </c>
      <c r="K1770" t="s">
        <v>122</v>
      </c>
      <c r="L1770" t="s">
        <v>144</v>
      </c>
      <c r="M1770" t="s">
        <v>145</v>
      </c>
      <c r="N1770" t="s">
        <v>107</v>
      </c>
      <c r="O1770" t="s">
        <v>97</v>
      </c>
    </row>
    <row r="1771" spans="1:15" x14ac:dyDescent="0.2">
      <c r="A1771">
        <v>370</v>
      </c>
      <c r="B1771">
        <v>371</v>
      </c>
      <c r="C1771">
        <v>370</v>
      </c>
      <c r="D1771">
        <v>369</v>
      </c>
      <c r="E1771" t="s">
        <v>57</v>
      </c>
      <c r="F1771" t="s">
        <v>73</v>
      </c>
      <c r="G1771">
        <v>21</v>
      </c>
      <c r="H1771" t="s">
        <v>146</v>
      </c>
      <c r="I1771">
        <v>1</v>
      </c>
      <c r="J1771">
        <v>1</v>
      </c>
      <c r="K1771" t="s">
        <v>147</v>
      </c>
      <c r="L1771" t="s">
        <v>148</v>
      </c>
      <c r="M1771" t="s">
        <v>149</v>
      </c>
      <c r="N1771" t="s">
        <v>96</v>
      </c>
      <c r="O1771" t="s">
        <v>97</v>
      </c>
    </row>
    <row r="1772" spans="1:15" x14ac:dyDescent="0.2">
      <c r="A1772">
        <v>370</v>
      </c>
      <c r="B1772">
        <v>371</v>
      </c>
      <c r="C1772">
        <v>370</v>
      </c>
      <c r="D1772">
        <v>369</v>
      </c>
      <c r="E1772" t="s">
        <v>57</v>
      </c>
      <c r="F1772" t="s">
        <v>73</v>
      </c>
      <c r="G1772">
        <v>22</v>
      </c>
      <c r="H1772" t="s">
        <v>150</v>
      </c>
      <c r="I1772">
        <v>1</v>
      </c>
      <c r="J1772">
        <v>1</v>
      </c>
      <c r="K1772" t="s">
        <v>147</v>
      </c>
      <c r="L1772" t="s">
        <v>151</v>
      </c>
      <c r="M1772" t="s">
        <v>149</v>
      </c>
      <c r="N1772" t="s">
        <v>107</v>
      </c>
      <c r="O1772" t="s">
        <v>97</v>
      </c>
    </row>
    <row r="1773" spans="1:15" x14ac:dyDescent="0.2">
      <c r="A1773">
        <v>370</v>
      </c>
      <c r="B1773">
        <v>371</v>
      </c>
      <c r="C1773">
        <v>370</v>
      </c>
      <c r="D1773">
        <v>369</v>
      </c>
      <c r="E1773" t="s">
        <v>57</v>
      </c>
      <c r="F1773" t="s">
        <v>73</v>
      </c>
      <c r="G1773">
        <v>23</v>
      </c>
      <c r="H1773" t="s">
        <v>152</v>
      </c>
      <c r="I1773">
        <v>0</v>
      </c>
      <c r="J1773">
        <v>0</v>
      </c>
      <c r="K1773" t="s">
        <v>153</v>
      </c>
      <c r="L1773" t="s">
        <v>154</v>
      </c>
      <c r="M1773" t="s">
        <v>155</v>
      </c>
      <c r="N1773" t="s">
        <v>107</v>
      </c>
      <c r="O1773" t="s">
        <v>97</v>
      </c>
    </row>
    <row r="1774" spans="1:15" x14ac:dyDescent="0.2">
      <c r="A1774">
        <v>370</v>
      </c>
      <c r="B1774">
        <v>371</v>
      </c>
      <c r="C1774">
        <v>370</v>
      </c>
      <c r="D1774">
        <v>369</v>
      </c>
      <c r="E1774" t="s">
        <v>57</v>
      </c>
      <c r="F1774" t="s">
        <v>73</v>
      </c>
      <c r="G1774">
        <v>24</v>
      </c>
      <c r="H1774" t="s">
        <v>156</v>
      </c>
      <c r="I1774">
        <v>0</v>
      </c>
      <c r="J1774">
        <v>0.5</v>
      </c>
      <c r="K1774" t="s">
        <v>122</v>
      </c>
      <c r="L1774" t="s">
        <v>157</v>
      </c>
      <c r="M1774" t="s">
        <v>158</v>
      </c>
      <c r="N1774" t="s">
        <v>107</v>
      </c>
      <c r="O1774" t="s">
        <v>97</v>
      </c>
    </row>
    <row r="1775" spans="1:15" x14ac:dyDescent="0.2">
      <c r="A1775">
        <v>370</v>
      </c>
      <c r="B1775">
        <v>371</v>
      </c>
      <c r="C1775">
        <v>370</v>
      </c>
      <c r="D1775">
        <v>369</v>
      </c>
      <c r="E1775" t="s">
        <v>57</v>
      </c>
      <c r="F1775" t="s">
        <v>73</v>
      </c>
      <c r="G1775">
        <v>25</v>
      </c>
      <c r="H1775" t="s">
        <v>156</v>
      </c>
      <c r="I1775">
        <v>0</v>
      </c>
      <c r="J1775">
        <v>0.5</v>
      </c>
      <c r="K1775" t="s">
        <v>122</v>
      </c>
      <c r="L1775" t="s">
        <v>157</v>
      </c>
      <c r="M1775" t="s">
        <v>158</v>
      </c>
      <c r="N1775" t="s">
        <v>107</v>
      </c>
      <c r="O1775" t="s">
        <v>97</v>
      </c>
    </row>
    <row r="1776" spans="1:15" x14ac:dyDescent="0.2">
      <c r="A1776">
        <v>370</v>
      </c>
      <c r="B1776">
        <v>371</v>
      </c>
      <c r="C1776">
        <v>370</v>
      </c>
      <c r="D1776">
        <v>369</v>
      </c>
      <c r="E1776" t="s">
        <v>57</v>
      </c>
      <c r="F1776" t="s">
        <v>73</v>
      </c>
      <c r="G1776">
        <v>26</v>
      </c>
      <c r="H1776" t="s">
        <v>152</v>
      </c>
      <c r="I1776">
        <v>0</v>
      </c>
      <c r="J1776">
        <v>0</v>
      </c>
      <c r="K1776" t="s">
        <v>153</v>
      </c>
      <c r="L1776" t="s">
        <v>154</v>
      </c>
      <c r="M1776" t="s">
        <v>155</v>
      </c>
      <c r="N1776" t="s">
        <v>107</v>
      </c>
      <c r="O1776" t="s">
        <v>97</v>
      </c>
    </row>
    <row r="1777" spans="1:15" x14ac:dyDescent="0.2">
      <c r="A1777">
        <v>370</v>
      </c>
      <c r="B1777">
        <v>371</v>
      </c>
      <c r="C1777">
        <v>370</v>
      </c>
      <c r="D1777">
        <v>369</v>
      </c>
      <c r="E1777" t="s">
        <v>57</v>
      </c>
      <c r="F1777" t="s">
        <v>73</v>
      </c>
      <c r="G1777">
        <v>27</v>
      </c>
      <c r="H1777" t="s">
        <v>159</v>
      </c>
      <c r="I1777">
        <v>0</v>
      </c>
      <c r="J1777">
        <v>0.5</v>
      </c>
      <c r="K1777" t="s">
        <v>122</v>
      </c>
      <c r="L1777" t="s">
        <v>160</v>
      </c>
      <c r="M1777" t="s">
        <v>161</v>
      </c>
      <c r="N1777" t="s">
        <v>107</v>
      </c>
      <c r="O1777" t="s">
        <v>97</v>
      </c>
    </row>
    <row r="1778" spans="1:15" x14ac:dyDescent="0.2">
      <c r="A1778">
        <v>370</v>
      </c>
      <c r="B1778">
        <v>371</v>
      </c>
      <c r="C1778">
        <v>370</v>
      </c>
      <c r="D1778">
        <v>369</v>
      </c>
      <c r="E1778" t="s">
        <v>57</v>
      </c>
      <c r="F1778" t="s">
        <v>73</v>
      </c>
      <c r="G1778">
        <v>28</v>
      </c>
      <c r="H1778" t="s">
        <v>159</v>
      </c>
      <c r="I1778">
        <v>0</v>
      </c>
      <c r="J1778">
        <v>0.5</v>
      </c>
      <c r="K1778" t="s">
        <v>122</v>
      </c>
      <c r="L1778" t="s">
        <v>160</v>
      </c>
      <c r="M1778" t="s">
        <v>161</v>
      </c>
      <c r="N1778" t="s">
        <v>107</v>
      </c>
      <c r="O1778" t="s">
        <v>97</v>
      </c>
    </row>
    <row r="1779" spans="1:15" x14ac:dyDescent="0.2">
      <c r="A1779">
        <v>370</v>
      </c>
      <c r="B1779">
        <v>371</v>
      </c>
      <c r="C1779">
        <v>370</v>
      </c>
      <c r="D1779">
        <v>369</v>
      </c>
      <c r="E1779" t="s">
        <v>57</v>
      </c>
      <c r="F1779" t="s">
        <v>73</v>
      </c>
      <c r="G1779">
        <v>29</v>
      </c>
      <c r="H1779" t="s">
        <v>152</v>
      </c>
      <c r="I1779">
        <v>0</v>
      </c>
      <c r="J1779">
        <v>0</v>
      </c>
      <c r="K1779" t="s">
        <v>153</v>
      </c>
      <c r="L1779" t="s">
        <v>154</v>
      </c>
      <c r="M1779" t="s">
        <v>155</v>
      </c>
      <c r="N1779" t="s">
        <v>107</v>
      </c>
      <c r="O1779" t="s">
        <v>97</v>
      </c>
    </row>
    <row r="1780" spans="1:15" x14ac:dyDescent="0.2">
      <c r="A1780">
        <v>370</v>
      </c>
      <c r="B1780">
        <v>371</v>
      </c>
      <c r="C1780">
        <v>370</v>
      </c>
      <c r="D1780">
        <v>369</v>
      </c>
      <c r="E1780" t="s">
        <v>57</v>
      </c>
      <c r="F1780" t="s">
        <v>73</v>
      </c>
      <c r="G1780">
        <v>30</v>
      </c>
      <c r="H1780" t="s">
        <v>162</v>
      </c>
      <c r="I1780">
        <v>0</v>
      </c>
      <c r="J1780">
        <v>1</v>
      </c>
      <c r="K1780" t="s">
        <v>112</v>
      </c>
      <c r="L1780" t="s">
        <v>163</v>
      </c>
      <c r="M1780" t="s">
        <v>164</v>
      </c>
      <c r="N1780" t="s">
        <v>107</v>
      </c>
      <c r="O1780" t="s">
        <v>97</v>
      </c>
    </row>
    <row r="1781" spans="1:15" x14ac:dyDescent="0.2">
      <c r="A1781">
        <v>370</v>
      </c>
      <c r="B1781">
        <v>371</v>
      </c>
      <c r="C1781">
        <v>370</v>
      </c>
      <c r="D1781">
        <v>369</v>
      </c>
      <c r="E1781" t="s">
        <v>57</v>
      </c>
      <c r="F1781" t="s">
        <v>73</v>
      </c>
      <c r="G1781">
        <v>31</v>
      </c>
      <c r="H1781" t="s">
        <v>162</v>
      </c>
      <c r="I1781">
        <v>0</v>
      </c>
      <c r="J1781">
        <v>0</v>
      </c>
      <c r="K1781" t="s">
        <v>112</v>
      </c>
      <c r="L1781" t="s">
        <v>163</v>
      </c>
      <c r="M1781" t="s">
        <v>164</v>
      </c>
      <c r="N1781" t="s">
        <v>107</v>
      </c>
      <c r="O1781" t="s">
        <v>97</v>
      </c>
    </row>
    <row r="1782" spans="1:15" x14ac:dyDescent="0.2">
      <c r="A1782">
        <v>370</v>
      </c>
      <c r="B1782">
        <v>371</v>
      </c>
      <c r="C1782">
        <v>370</v>
      </c>
      <c r="D1782">
        <v>369</v>
      </c>
      <c r="E1782" t="s">
        <v>57</v>
      </c>
      <c r="F1782" t="s">
        <v>73</v>
      </c>
      <c r="G1782">
        <v>32</v>
      </c>
      <c r="H1782" t="s">
        <v>162</v>
      </c>
      <c r="I1782">
        <v>0</v>
      </c>
      <c r="J1782">
        <v>0</v>
      </c>
      <c r="K1782" t="s">
        <v>112</v>
      </c>
      <c r="L1782" t="s">
        <v>163</v>
      </c>
      <c r="M1782" t="s">
        <v>164</v>
      </c>
      <c r="N1782" t="s">
        <v>107</v>
      </c>
      <c r="O1782" t="s">
        <v>97</v>
      </c>
    </row>
    <row r="1783" spans="1:15" x14ac:dyDescent="0.2">
      <c r="A1783">
        <v>370</v>
      </c>
      <c r="B1783">
        <v>371</v>
      </c>
      <c r="C1783">
        <v>370</v>
      </c>
      <c r="D1783">
        <v>369</v>
      </c>
      <c r="E1783" t="s">
        <v>57</v>
      </c>
      <c r="F1783" t="s">
        <v>73</v>
      </c>
      <c r="G1783">
        <v>33</v>
      </c>
      <c r="H1783" t="s">
        <v>152</v>
      </c>
      <c r="I1783">
        <v>0</v>
      </c>
      <c r="J1783">
        <v>1</v>
      </c>
      <c r="K1783" t="s">
        <v>153</v>
      </c>
      <c r="L1783" t="s">
        <v>154</v>
      </c>
      <c r="M1783" t="s">
        <v>155</v>
      </c>
      <c r="N1783" t="s">
        <v>107</v>
      </c>
      <c r="O1783" t="s">
        <v>97</v>
      </c>
    </row>
    <row r="1784" spans="1:15" x14ac:dyDescent="0.2">
      <c r="A1784">
        <v>370</v>
      </c>
      <c r="B1784">
        <v>371</v>
      </c>
      <c r="C1784">
        <v>370</v>
      </c>
      <c r="D1784">
        <v>369</v>
      </c>
      <c r="E1784" t="s">
        <v>57</v>
      </c>
      <c r="F1784" t="s">
        <v>73</v>
      </c>
      <c r="G1784">
        <v>34</v>
      </c>
      <c r="H1784" t="s">
        <v>152</v>
      </c>
      <c r="I1784">
        <v>0</v>
      </c>
      <c r="J1784">
        <v>0</v>
      </c>
      <c r="K1784" t="s">
        <v>153</v>
      </c>
      <c r="L1784" t="s">
        <v>154</v>
      </c>
      <c r="M1784" t="s">
        <v>155</v>
      </c>
      <c r="N1784" t="s">
        <v>107</v>
      </c>
      <c r="O1784" t="s">
        <v>97</v>
      </c>
    </row>
    <row r="1785" spans="1:15" x14ac:dyDescent="0.2">
      <c r="A1785">
        <v>370</v>
      </c>
      <c r="B1785">
        <v>371</v>
      </c>
      <c r="C1785">
        <v>370</v>
      </c>
      <c r="D1785">
        <v>369</v>
      </c>
      <c r="E1785" t="s">
        <v>57</v>
      </c>
      <c r="F1785" t="s">
        <v>73</v>
      </c>
      <c r="G1785">
        <v>35</v>
      </c>
      <c r="H1785" t="s">
        <v>165</v>
      </c>
      <c r="I1785">
        <v>0</v>
      </c>
      <c r="J1785">
        <v>1</v>
      </c>
      <c r="K1785" t="s">
        <v>166</v>
      </c>
      <c r="L1785" t="s">
        <v>167</v>
      </c>
      <c r="M1785" t="s">
        <v>168</v>
      </c>
      <c r="N1785" t="s">
        <v>107</v>
      </c>
      <c r="O1785" t="s">
        <v>97</v>
      </c>
    </row>
    <row r="1786" spans="1:15" x14ac:dyDescent="0.2">
      <c r="A1786">
        <v>370</v>
      </c>
      <c r="B1786">
        <v>371</v>
      </c>
      <c r="C1786">
        <v>370</v>
      </c>
      <c r="D1786">
        <v>369</v>
      </c>
      <c r="E1786" t="s">
        <v>57</v>
      </c>
      <c r="F1786" t="s">
        <v>73</v>
      </c>
      <c r="G1786">
        <v>36</v>
      </c>
      <c r="H1786" t="s">
        <v>169</v>
      </c>
      <c r="I1786">
        <v>0</v>
      </c>
      <c r="J1786">
        <v>0</v>
      </c>
      <c r="K1786" t="e">
        <v>#N/A</v>
      </c>
      <c r="L1786" t="e">
        <v>#N/A</v>
      </c>
      <c r="M1786" t="e">
        <v>#N/A</v>
      </c>
      <c r="N1786" t="e">
        <v>#N/A</v>
      </c>
      <c r="O1786" t="s">
        <v>97</v>
      </c>
    </row>
    <row r="1787" spans="1:15" x14ac:dyDescent="0.2">
      <c r="A1787">
        <v>370</v>
      </c>
      <c r="B1787">
        <v>371</v>
      </c>
      <c r="C1787">
        <v>370</v>
      </c>
      <c r="D1787">
        <v>369</v>
      </c>
      <c r="E1787" t="s">
        <v>57</v>
      </c>
      <c r="F1787" t="s">
        <v>73</v>
      </c>
      <c r="G1787">
        <v>38</v>
      </c>
      <c r="H1787" t="s">
        <v>170</v>
      </c>
      <c r="I1787">
        <v>0</v>
      </c>
      <c r="J1787">
        <v>0</v>
      </c>
      <c r="K1787" t="s">
        <v>112</v>
      </c>
      <c r="L1787" t="s">
        <v>171</v>
      </c>
      <c r="M1787" t="s">
        <v>172</v>
      </c>
      <c r="N1787" t="s">
        <v>96</v>
      </c>
      <c r="O1787" t="s">
        <v>97</v>
      </c>
    </row>
    <row r="1788" spans="1:15" x14ac:dyDescent="0.2">
      <c r="A1788">
        <v>370</v>
      </c>
      <c r="B1788">
        <v>371</v>
      </c>
      <c r="C1788">
        <v>370</v>
      </c>
      <c r="D1788">
        <v>369</v>
      </c>
      <c r="E1788" t="s">
        <v>57</v>
      </c>
      <c r="F1788" t="s">
        <v>73</v>
      </c>
      <c r="G1788">
        <v>39</v>
      </c>
      <c r="H1788" t="s">
        <v>170</v>
      </c>
      <c r="I1788">
        <v>0</v>
      </c>
      <c r="J1788">
        <v>0</v>
      </c>
      <c r="K1788" t="s">
        <v>112</v>
      </c>
      <c r="L1788" t="s">
        <v>171</v>
      </c>
      <c r="M1788" t="s">
        <v>172</v>
      </c>
      <c r="N1788" t="s">
        <v>96</v>
      </c>
      <c r="O1788" t="s">
        <v>97</v>
      </c>
    </row>
    <row r="1789" spans="1:15" x14ac:dyDescent="0.2">
      <c r="A1789">
        <v>370</v>
      </c>
      <c r="B1789">
        <v>371</v>
      </c>
      <c r="C1789">
        <v>370</v>
      </c>
      <c r="D1789">
        <v>369</v>
      </c>
      <c r="E1789" t="s">
        <v>57</v>
      </c>
      <c r="F1789" t="s">
        <v>73</v>
      </c>
      <c r="G1789">
        <v>40</v>
      </c>
      <c r="H1789" t="s">
        <v>170</v>
      </c>
      <c r="I1789">
        <v>0</v>
      </c>
      <c r="J1789">
        <v>0</v>
      </c>
      <c r="K1789" t="s">
        <v>112</v>
      </c>
      <c r="L1789" t="s">
        <v>171</v>
      </c>
      <c r="M1789" t="s">
        <v>172</v>
      </c>
      <c r="N1789" t="s">
        <v>96</v>
      </c>
      <c r="O1789" t="s">
        <v>97</v>
      </c>
    </row>
    <row r="1790" spans="1:15" x14ac:dyDescent="0.2">
      <c r="A1790">
        <v>370</v>
      </c>
      <c r="B1790">
        <v>371</v>
      </c>
      <c r="C1790">
        <v>370</v>
      </c>
      <c r="D1790">
        <v>369</v>
      </c>
      <c r="E1790" t="s">
        <v>57</v>
      </c>
      <c r="F1790" t="s">
        <v>73</v>
      </c>
      <c r="G1790">
        <v>41</v>
      </c>
      <c r="H1790" t="s">
        <v>173</v>
      </c>
      <c r="I1790">
        <v>0</v>
      </c>
      <c r="J1790">
        <v>0</v>
      </c>
      <c r="K1790" t="s">
        <v>166</v>
      </c>
      <c r="L1790" t="s">
        <v>174</v>
      </c>
      <c r="M1790" t="s">
        <v>175</v>
      </c>
      <c r="N1790" t="s">
        <v>107</v>
      </c>
      <c r="O1790" t="s">
        <v>97</v>
      </c>
    </row>
    <row r="1791" spans="1:15" x14ac:dyDescent="0.2">
      <c r="A1791">
        <v>370</v>
      </c>
      <c r="B1791">
        <v>371</v>
      </c>
      <c r="C1791">
        <v>370</v>
      </c>
      <c r="D1791">
        <v>369</v>
      </c>
      <c r="E1791" t="s">
        <v>57</v>
      </c>
      <c r="F1791" t="s">
        <v>73</v>
      </c>
      <c r="G1791">
        <v>42</v>
      </c>
      <c r="H1791" t="s">
        <v>176</v>
      </c>
      <c r="I1791">
        <v>0</v>
      </c>
      <c r="J1791" t="s">
        <v>198</v>
      </c>
      <c r="K1791" t="s">
        <v>153</v>
      </c>
      <c r="L1791" t="s">
        <v>177</v>
      </c>
      <c r="M1791" t="s">
        <v>178</v>
      </c>
      <c r="N1791" t="s">
        <v>107</v>
      </c>
      <c r="O1791" t="s">
        <v>97</v>
      </c>
    </row>
    <row r="1792" spans="1:15" x14ac:dyDescent="0.2">
      <c r="A1792">
        <v>370</v>
      </c>
      <c r="B1792">
        <v>371</v>
      </c>
      <c r="C1792">
        <v>370</v>
      </c>
      <c r="D1792">
        <v>369</v>
      </c>
      <c r="E1792" t="s">
        <v>57</v>
      </c>
      <c r="F1792" t="s">
        <v>73</v>
      </c>
      <c r="G1792">
        <v>43</v>
      </c>
      <c r="H1792" t="s">
        <v>179</v>
      </c>
      <c r="I1792">
        <v>0</v>
      </c>
      <c r="J1792">
        <v>0</v>
      </c>
      <c r="K1792" t="s">
        <v>166</v>
      </c>
      <c r="L1792" t="s">
        <v>180</v>
      </c>
      <c r="M1792" t="s">
        <v>181</v>
      </c>
      <c r="N1792" t="s">
        <v>107</v>
      </c>
      <c r="O1792" t="s">
        <v>97</v>
      </c>
    </row>
    <row r="1793" spans="1:15" x14ac:dyDescent="0.2">
      <c r="A1793">
        <v>370</v>
      </c>
      <c r="B1793">
        <v>371</v>
      </c>
      <c r="C1793">
        <v>370</v>
      </c>
      <c r="D1793">
        <v>369</v>
      </c>
      <c r="E1793" t="s">
        <v>57</v>
      </c>
      <c r="F1793" t="s">
        <v>73</v>
      </c>
      <c r="G1793">
        <v>44</v>
      </c>
      <c r="H1793" t="s">
        <v>182</v>
      </c>
      <c r="I1793">
        <v>1</v>
      </c>
      <c r="J1793">
        <v>1</v>
      </c>
      <c r="K1793" t="s">
        <v>166</v>
      </c>
      <c r="L1793" t="s">
        <v>183</v>
      </c>
      <c r="M1793" t="s">
        <v>184</v>
      </c>
      <c r="N1793" t="s">
        <v>107</v>
      </c>
      <c r="O1793" t="s">
        <v>97</v>
      </c>
    </row>
    <row r="1794" spans="1:15" x14ac:dyDescent="0.2">
      <c r="A1794">
        <v>370</v>
      </c>
      <c r="B1794">
        <v>371</v>
      </c>
      <c r="C1794">
        <v>370</v>
      </c>
      <c r="D1794">
        <v>369</v>
      </c>
      <c r="E1794" t="s">
        <v>57</v>
      </c>
      <c r="F1794" t="s">
        <v>73</v>
      </c>
      <c r="G1794">
        <v>45</v>
      </c>
      <c r="H1794" t="s">
        <v>185</v>
      </c>
      <c r="I1794">
        <v>0</v>
      </c>
      <c r="J1794">
        <v>1</v>
      </c>
      <c r="K1794" t="s">
        <v>166</v>
      </c>
      <c r="L1794" t="s">
        <v>186</v>
      </c>
      <c r="M1794" t="s">
        <v>139</v>
      </c>
      <c r="N1794" t="s">
        <v>107</v>
      </c>
      <c r="O1794" t="s">
        <v>97</v>
      </c>
    </row>
    <row r="1795" spans="1:15" x14ac:dyDescent="0.2">
      <c r="A1795">
        <v>370</v>
      </c>
      <c r="B1795">
        <v>371</v>
      </c>
      <c r="C1795">
        <v>370</v>
      </c>
      <c r="D1795">
        <v>369</v>
      </c>
      <c r="E1795" t="s">
        <v>57</v>
      </c>
      <c r="F1795" t="s">
        <v>73</v>
      </c>
      <c r="G1795">
        <v>47</v>
      </c>
      <c r="H1795" t="s">
        <v>187</v>
      </c>
      <c r="I1795">
        <v>0</v>
      </c>
      <c r="J1795">
        <v>0.2</v>
      </c>
      <c r="K1795" t="s">
        <v>93</v>
      </c>
      <c r="L1795" t="s">
        <v>188</v>
      </c>
      <c r="M1795" t="s">
        <v>95</v>
      </c>
      <c r="N1795" t="s">
        <v>96</v>
      </c>
      <c r="O1795" t="s">
        <v>97</v>
      </c>
    </row>
    <row r="1796" spans="1:15" x14ac:dyDescent="0.2">
      <c r="A1796">
        <v>370</v>
      </c>
      <c r="B1796">
        <v>371</v>
      </c>
      <c r="C1796">
        <v>370</v>
      </c>
      <c r="D1796">
        <v>369</v>
      </c>
      <c r="E1796" t="s">
        <v>57</v>
      </c>
      <c r="F1796" t="s">
        <v>73</v>
      </c>
      <c r="G1796">
        <v>48</v>
      </c>
      <c r="H1796" t="s">
        <v>189</v>
      </c>
      <c r="I1796">
        <v>0.2</v>
      </c>
      <c r="J1796">
        <v>0.2</v>
      </c>
      <c r="K1796" t="s">
        <v>93</v>
      </c>
      <c r="L1796" t="s">
        <v>190</v>
      </c>
      <c r="M1796" t="s">
        <v>95</v>
      </c>
      <c r="N1796" t="s">
        <v>96</v>
      </c>
      <c r="O1796" t="s">
        <v>97</v>
      </c>
    </row>
    <row r="1797" spans="1:15" x14ac:dyDescent="0.2">
      <c r="A1797">
        <v>370</v>
      </c>
      <c r="B1797">
        <v>371</v>
      </c>
      <c r="C1797">
        <v>370</v>
      </c>
      <c r="D1797">
        <v>369</v>
      </c>
      <c r="E1797" t="s">
        <v>57</v>
      </c>
      <c r="F1797" t="s">
        <v>73</v>
      </c>
      <c r="G1797">
        <v>49</v>
      </c>
      <c r="H1797" t="s">
        <v>191</v>
      </c>
      <c r="I1797">
        <v>0.2</v>
      </c>
      <c r="J1797">
        <v>0.2</v>
      </c>
      <c r="K1797" t="s">
        <v>93</v>
      </c>
      <c r="L1797" t="s">
        <v>192</v>
      </c>
      <c r="M1797" t="s">
        <v>95</v>
      </c>
      <c r="N1797" t="s">
        <v>96</v>
      </c>
      <c r="O1797" t="s">
        <v>97</v>
      </c>
    </row>
    <row r="1798" spans="1:15" x14ac:dyDescent="0.2">
      <c r="A1798">
        <v>370</v>
      </c>
      <c r="B1798">
        <v>371</v>
      </c>
      <c r="C1798">
        <v>370</v>
      </c>
      <c r="D1798">
        <v>369</v>
      </c>
      <c r="E1798" t="s">
        <v>57</v>
      </c>
      <c r="F1798" t="s">
        <v>73</v>
      </c>
      <c r="G1798">
        <v>50</v>
      </c>
      <c r="H1798" t="s">
        <v>193</v>
      </c>
      <c r="I1798">
        <v>0.1</v>
      </c>
      <c r="J1798">
        <v>0.1</v>
      </c>
      <c r="K1798" t="s">
        <v>93</v>
      </c>
      <c r="L1798" t="s">
        <v>194</v>
      </c>
      <c r="M1798" t="s">
        <v>95</v>
      </c>
      <c r="N1798" t="s">
        <v>96</v>
      </c>
      <c r="O1798" t="s">
        <v>97</v>
      </c>
    </row>
    <row r="1799" spans="1:15" x14ac:dyDescent="0.2">
      <c r="A1799">
        <v>370</v>
      </c>
      <c r="B1799">
        <v>371</v>
      </c>
      <c r="C1799">
        <v>370</v>
      </c>
      <c r="D1799">
        <v>369</v>
      </c>
      <c r="E1799" t="s">
        <v>57</v>
      </c>
      <c r="F1799" t="s">
        <v>73</v>
      </c>
      <c r="G1799">
        <v>51</v>
      </c>
      <c r="H1799" t="s">
        <v>193</v>
      </c>
      <c r="I1799">
        <v>0.1</v>
      </c>
      <c r="J1799">
        <v>0.1</v>
      </c>
      <c r="K1799" t="s">
        <v>93</v>
      </c>
      <c r="L1799" t="s">
        <v>194</v>
      </c>
      <c r="M1799" t="s">
        <v>95</v>
      </c>
      <c r="N1799" t="s">
        <v>96</v>
      </c>
      <c r="O1799" t="s">
        <v>97</v>
      </c>
    </row>
    <row r="1800" spans="1:15" x14ac:dyDescent="0.2">
      <c r="A1800">
        <v>370</v>
      </c>
      <c r="B1800">
        <v>371</v>
      </c>
      <c r="C1800">
        <v>370</v>
      </c>
      <c r="D1800">
        <v>369</v>
      </c>
      <c r="E1800" t="s">
        <v>57</v>
      </c>
      <c r="F1800" t="s">
        <v>73</v>
      </c>
      <c r="G1800">
        <v>97</v>
      </c>
      <c r="H1800" t="s">
        <v>152</v>
      </c>
      <c r="I1800">
        <v>0.25</v>
      </c>
      <c r="J1800">
        <v>0.25</v>
      </c>
      <c r="K1800" t="s">
        <v>153</v>
      </c>
      <c r="L1800" t="s">
        <v>154</v>
      </c>
      <c r="M1800" t="s">
        <v>155</v>
      </c>
      <c r="N1800" t="s">
        <v>107</v>
      </c>
      <c r="O1800" t="s">
        <v>97</v>
      </c>
    </row>
    <row r="1801" spans="1:15" x14ac:dyDescent="0.2">
      <c r="A1801">
        <v>370</v>
      </c>
      <c r="B1801">
        <v>371</v>
      </c>
      <c r="C1801">
        <v>370</v>
      </c>
      <c r="D1801">
        <v>369</v>
      </c>
      <c r="E1801" t="s">
        <v>57</v>
      </c>
      <c r="F1801" t="s">
        <v>73</v>
      </c>
      <c r="G1801">
        <v>96</v>
      </c>
      <c r="H1801" t="s">
        <v>152</v>
      </c>
      <c r="I1801">
        <v>0</v>
      </c>
      <c r="J1801">
        <v>0</v>
      </c>
      <c r="K1801" t="s">
        <v>153</v>
      </c>
      <c r="L1801" t="s">
        <v>154</v>
      </c>
      <c r="M1801" t="s">
        <v>155</v>
      </c>
      <c r="N1801" t="s">
        <v>107</v>
      </c>
      <c r="O1801" t="s">
        <v>97</v>
      </c>
    </row>
    <row r="1802" spans="1:15" x14ac:dyDescent="0.2">
      <c r="A1802">
        <v>370</v>
      </c>
      <c r="B1802">
        <v>371</v>
      </c>
      <c r="C1802">
        <v>370</v>
      </c>
      <c r="D1802">
        <v>369</v>
      </c>
      <c r="E1802" t="s">
        <v>57</v>
      </c>
      <c r="F1802" t="s">
        <v>73</v>
      </c>
      <c r="G1802">
        <v>99</v>
      </c>
      <c r="H1802" t="s">
        <v>152</v>
      </c>
      <c r="I1802">
        <v>0</v>
      </c>
      <c r="J1802">
        <v>0</v>
      </c>
      <c r="K1802" t="s">
        <v>153</v>
      </c>
      <c r="L1802" t="s">
        <v>154</v>
      </c>
      <c r="M1802" t="s">
        <v>155</v>
      </c>
      <c r="N1802" t="s">
        <v>107</v>
      </c>
      <c r="O1802" t="s">
        <v>97</v>
      </c>
    </row>
    <row r="1803" spans="1:15" x14ac:dyDescent="0.2">
      <c r="A1803">
        <v>370</v>
      </c>
      <c r="B1803">
        <v>371</v>
      </c>
      <c r="C1803">
        <v>370</v>
      </c>
      <c r="D1803">
        <v>369</v>
      </c>
      <c r="E1803" t="s">
        <v>57</v>
      </c>
      <c r="F1803" t="s">
        <v>73</v>
      </c>
      <c r="G1803">
        <v>98</v>
      </c>
      <c r="H1803" t="s">
        <v>204</v>
      </c>
      <c r="I1803">
        <v>0</v>
      </c>
      <c r="J1803">
        <v>1</v>
      </c>
      <c r="K1803" t="s">
        <v>122</v>
      </c>
      <c r="L1803" t="s">
        <v>205</v>
      </c>
      <c r="M1803" t="s">
        <v>206</v>
      </c>
      <c r="N1803" t="s">
        <v>207</v>
      </c>
      <c r="O1803" t="s">
        <v>97</v>
      </c>
    </row>
    <row r="1804" spans="1:15" x14ac:dyDescent="0.2">
      <c r="A1804">
        <v>365</v>
      </c>
      <c r="B1804">
        <v>366</v>
      </c>
      <c r="C1804">
        <v>365</v>
      </c>
      <c r="D1804">
        <v>364</v>
      </c>
      <c r="E1804" t="s">
        <v>57</v>
      </c>
      <c r="F1804" t="s">
        <v>72</v>
      </c>
      <c r="G1804">
        <v>1</v>
      </c>
      <c r="H1804" t="s">
        <v>92</v>
      </c>
      <c r="I1804">
        <v>0.2</v>
      </c>
      <c r="J1804">
        <v>0.2</v>
      </c>
      <c r="K1804" t="s">
        <v>93</v>
      </c>
      <c r="L1804" t="s">
        <v>94</v>
      </c>
      <c r="M1804" t="s">
        <v>95</v>
      </c>
      <c r="N1804" t="s">
        <v>96</v>
      </c>
      <c r="O1804" t="s">
        <v>97</v>
      </c>
    </row>
    <row r="1805" spans="1:15" x14ac:dyDescent="0.2">
      <c r="A1805">
        <v>365</v>
      </c>
      <c r="B1805">
        <v>366</v>
      </c>
      <c r="C1805">
        <v>365</v>
      </c>
      <c r="D1805">
        <v>364</v>
      </c>
      <c r="E1805" t="s">
        <v>57</v>
      </c>
      <c r="F1805" t="s">
        <v>72</v>
      </c>
      <c r="G1805">
        <v>2</v>
      </c>
      <c r="H1805" t="s">
        <v>98</v>
      </c>
      <c r="I1805">
        <v>0.5</v>
      </c>
      <c r="J1805">
        <v>0.5</v>
      </c>
      <c r="K1805" t="s">
        <v>93</v>
      </c>
      <c r="L1805" t="s">
        <v>99</v>
      </c>
      <c r="M1805" t="s">
        <v>95</v>
      </c>
      <c r="N1805" t="s">
        <v>96</v>
      </c>
      <c r="O1805" t="s">
        <v>97</v>
      </c>
    </row>
    <row r="1806" spans="1:15" x14ac:dyDescent="0.2">
      <c r="A1806">
        <v>365</v>
      </c>
      <c r="B1806">
        <v>366</v>
      </c>
      <c r="C1806">
        <v>365</v>
      </c>
      <c r="D1806">
        <v>364</v>
      </c>
      <c r="E1806" t="s">
        <v>57</v>
      </c>
      <c r="F1806" t="s">
        <v>72</v>
      </c>
      <c r="G1806">
        <v>3</v>
      </c>
      <c r="H1806" t="s">
        <v>100</v>
      </c>
      <c r="I1806">
        <v>0.5</v>
      </c>
      <c r="J1806">
        <v>1</v>
      </c>
      <c r="K1806" t="s">
        <v>101</v>
      </c>
      <c r="L1806" t="s">
        <v>102</v>
      </c>
      <c r="M1806" t="s">
        <v>103</v>
      </c>
      <c r="N1806" t="s">
        <v>96</v>
      </c>
      <c r="O1806" t="s">
        <v>97</v>
      </c>
    </row>
    <row r="1807" spans="1:15" x14ac:dyDescent="0.2">
      <c r="A1807">
        <v>365</v>
      </c>
      <c r="B1807">
        <v>366</v>
      </c>
      <c r="C1807">
        <v>365</v>
      </c>
      <c r="D1807">
        <v>364</v>
      </c>
      <c r="E1807" t="s">
        <v>57</v>
      </c>
      <c r="F1807" t="s">
        <v>72</v>
      </c>
      <c r="G1807">
        <v>4</v>
      </c>
      <c r="H1807" t="s">
        <v>104</v>
      </c>
      <c r="I1807">
        <v>0</v>
      </c>
      <c r="J1807">
        <v>1</v>
      </c>
      <c r="K1807" t="s">
        <v>101</v>
      </c>
      <c r="L1807" t="s">
        <v>105</v>
      </c>
      <c r="M1807" t="s">
        <v>106</v>
      </c>
      <c r="N1807" t="s">
        <v>107</v>
      </c>
      <c r="O1807" t="s">
        <v>97</v>
      </c>
    </row>
    <row r="1808" spans="1:15" x14ac:dyDescent="0.2">
      <c r="A1808">
        <v>365</v>
      </c>
      <c r="B1808">
        <v>366</v>
      </c>
      <c r="C1808">
        <v>365</v>
      </c>
      <c r="D1808">
        <v>364</v>
      </c>
      <c r="E1808" t="s">
        <v>57</v>
      </c>
      <c r="F1808" t="s">
        <v>72</v>
      </c>
      <c r="G1808">
        <v>5</v>
      </c>
      <c r="H1808" t="s">
        <v>108</v>
      </c>
      <c r="I1808">
        <v>0.5</v>
      </c>
      <c r="J1808">
        <v>1</v>
      </c>
      <c r="K1808" t="s">
        <v>101</v>
      </c>
      <c r="L1808" t="s">
        <v>109</v>
      </c>
      <c r="M1808" t="s">
        <v>110</v>
      </c>
      <c r="N1808" t="s">
        <v>107</v>
      </c>
      <c r="O1808" t="s">
        <v>97</v>
      </c>
    </row>
    <row r="1809" spans="1:15" x14ac:dyDescent="0.2">
      <c r="A1809">
        <v>365</v>
      </c>
      <c r="B1809">
        <v>366</v>
      </c>
      <c r="C1809">
        <v>365</v>
      </c>
      <c r="D1809">
        <v>364</v>
      </c>
      <c r="E1809" t="s">
        <v>57</v>
      </c>
      <c r="F1809" t="s">
        <v>72</v>
      </c>
      <c r="G1809">
        <v>9</v>
      </c>
      <c r="H1809" t="s">
        <v>111</v>
      </c>
      <c r="I1809">
        <v>0</v>
      </c>
      <c r="J1809">
        <v>0.5</v>
      </c>
      <c r="K1809" t="s">
        <v>112</v>
      </c>
      <c r="L1809" t="s">
        <v>113</v>
      </c>
      <c r="M1809" t="s">
        <v>114</v>
      </c>
      <c r="N1809" t="s">
        <v>96</v>
      </c>
      <c r="O1809" t="s">
        <v>97</v>
      </c>
    </row>
    <row r="1810" spans="1:15" x14ac:dyDescent="0.2">
      <c r="A1810">
        <v>365</v>
      </c>
      <c r="B1810">
        <v>366</v>
      </c>
      <c r="C1810">
        <v>365</v>
      </c>
      <c r="D1810">
        <v>364</v>
      </c>
      <c r="E1810" t="s">
        <v>57</v>
      </c>
      <c r="F1810" t="s">
        <v>72</v>
      </c>
      <c r="G1810">
        <v>10</v>
      </c>
      <c r="H1810" t="s">
        <v>115</v>
      </c>
      <c r="I1810">
        <v>0</v>
      </c>
      <c r="J1810">
        <v>0.5</v>
      </c>
      <c r="K1810" t="s">
        <v>112</v>
      </c>
      <c r="L1810" t="s">
        <v>116</v>
      </c>
      <c r="M1810" t="s">
        <v>117</v>
      </c>
      <c r="N1810" t="s">
        <v>96</v>
      </c>
      <c r="O1810" t="s">
        <v>97</v>
      </c>
    </row>
    <row r="1811" spans="1:15" x14ac:dyDescent="0.2">
      <c r="A1811">
        <v>365</v>
      </c>
      <c r="B1811">
        <v>366</v>
      </c>
      <c r="C1811">
        <v>365</v>
      </c>
      <c r="D1811">
        <v>364</v>
      </c>
      <c r="E1811" t="s">
        <v>57</v>
      </c>
      <c r="F1811" t="s">
        <v>72</v>
      </c>
      <c r="G1811">
        <v>11</v>
      </c>
      <c r="H1811" t="s">
        <v>118</v>
      </c>
      <c r="I1811">
        <v>0.5</v>
      </c>
      <c r="J1811">
        <v>1</v>
      </c>
      <c r="K1811" t="s">
        <v>112</v>
      </c>
      <c r="L1811" t="s">
        <v>119</v>
      </c>
      <c r="M1811" t="s">
        <v>120</v>
      </c>
      <c r="N1811" t="s">
        <v>107</v>
      </c>
      <c r="O1811" t="s">
        <v>97</v>
      </c>
    </row>
    <row r="1812" spans="1:15" x14ac:dyDescent="0.2">
      <c r="A1812">
        <v>365</v>
      </c>
      <c r="B1812">
        <v>366</v>
      </c>
      <c r="C1812">
        <v>365</v>
      </c>
      <c r="D1812">
        <v>364</v>
      </c>
      <c r="E1812" t="s">
        <v>57</v>
      </c>
      <c r="F1812" t="s">
        <v>72</v>
      </c>
      <c r="G1812">
        <v>12</v>
      </c>
      <c r="H1812" t="s">
        <v>121</v>
      </c>
      <c r="I1812">
        <v>0</v>
      </c>
      <c r="J1812">
        <v>0.5</v>
      </c>
      <c r="K1812" t="s">
        <v>122</v>
      </c>
      <c r="L1812" t="s">
        <v>113</v>
      </c>
      <c r="M1812" t="s">
        <v>123</v>
      </c>
      <c r="N1812" t="s">
        <v>96</v>
      </c>
      <c r="O1812" t="s">
        <v>97</v>
      </c>
    </row>
    <row r="1813" spans="1:15" x14ac:dyDescent="0.2">
      <c r="A1813">
        <v>365</v>
      </c>
      <c r="B1813">
        <v>366</v>
      </c>
      <c r="C1813">
        <v>365</v>
      </c>
      <c r="D1813">
        <v>364</v>
      </c>
      <c r="E1813" t="s">
        <v>57</v>
      </c>
      <c r="F1813" t="s">
        <v>72</v>
      </c>
      <c r="G1813">
        <v>13</v>
      </c>
      <c r="H1813" t="s">
        <v>124</v>
      </c>
      <c r="I1813">
        <v>0</v>
      </c>
      <c r="J1813">
        <v>0.5</v>
      </c>
      <c r="K1813" t="s">
        <v>122</v>
      </c>
      <c r="L1813" t="s">
        <v>125</v>
      </c>
      <c r="M1813" t="s">
        <v>126</v>
      </c>
      <c r="N1813" t="s">
        <v>96</v>
      </c>
      <c r="O1813" t="s">
        <v>97</v>
      </c>
    </row>
    <row r="1814" spans="1:15" x14ac:dyDescent="0.2">
      <c r="A1814">
        <v>365</v>
      </c>
      <c r="B1814">
        <v>366</v>
      </c>
      <c r="C1814">
        <v>365</v>
      </c>
      <c r="D1814">
        <v>364</v>
      </c>
      <c r="E1814" t="s">
        <v>57</v>
      </c>
      <c r="F1814" t="s">
        <v>72</v>
      </c>
      <c r="G1814">
        <v>14</v>
      </c>
      <c r="H1814" t="s">
        <v>127</v>
      </c>
      <c r="I1814">
        <v>0.5</v>
      </c>
      <c r="J1814">
        <v>1</v>
      </c>
      <c r="K1814" t="s">
        <v>122</v>
      </c>
      <c r="L1814" t="s">
        <v>119</v>
      </c>
      <c r="M1814" t="s">
        <v>128</v>
      </c>
      <c r="N1814" t="s">
        <v>107</v>
      </c>
      <c r="O1814" t="s">
        <v>97</v>
      </c>
    </row>
    <row r="1815" spans="1:15" x14ac:dyDescent="0.2">
      <c r="A1815">
        <v>365</v>
      </c>
      <c r="B1815">
        <v>366</v>
      </c>
      <c r="C1815">
        <v>365</v>
      </c>
      <c r="D1815">
        <v>364</v>
      </c>
      <c r="E1815" t="s">
        <v>57</v>
      </c>
      <c r="F1815" t="s">
        <v>72</v>
      </c>
      <c r="G1815">
        <v>15</v>
      </c>
      <c r="H1815" t="s">
        <v>129</v>
      </c>
      <c r="I1815">
        <v>0</v>
      </c>
      <c r="J1815">
        <v>1</v>
      </c>
      <c r="K1815" t="s">
        <v>130</v>
      </c>
      <c r="L1815" t="s">
        <v>131</v>
      </c>
      <c r="M1815" t="s">
        <v>132</v>
      </c>
      <c r="N1815" t="s">
        <v>107</v>
      </c>
      <c r="O1815" t="s">
        <v>97</v>
      </c>
    </row>
    <row r="1816" spans="1:15" x14ac:dyDescent="0.2">
      <c r="A1816">
        <v>365</v>
      </c>
      <c r="B1816">
        <v>366</v>
      </c>
      <c r="C1816">
        <v>365</v>
      </c>
      <c r="D1816">
        <v>364</v>
      </c>
      <c r="E1816" t="s">
        <v>57</v>
      </c>
      <c r="F1816" t="s">
        <v>72</v>
      </c>
      <c r="G1816">
        <v>16</v>
      </c>
      <c r="H1816" t="s">
        <v>133</v>
      </c>
      <c r="I1816">
        <v>0</v>
      </c>
      <c r="J1816">
        <v>0</v>
      </c>
      <c r="K1816" t="e">
        <v>#N/A</v>
      </c>
      <c r="L1816" t="e">
        <v>#N/A</v>
      </c>
      <c r="M1816" t="e">
        <v>#N/A</v>
      </c>
      <c r="N1816" t="e">
        <v>#N/A</v>
      </c>
      <c r="O1816" t="s">
        <v>97</v>
      </c>
    </row>
    <row r="1817" spans="1:15" x14ac:dyDescent="0.2">
      <c r="A1817">
        <v>365</v>
      </c>
      <c r="B1817">
        <v>366</v>
      </c>
      <c r="C1817">
        <v>365</v>
      </c>
      <c r="D1817">
        <v>364</v>
      </c>
      <c r="E1817" t="s">
        <v>57</v>
      </c>
      <c r="F1817" t="s">
        <v>72</v>
      </c>
      <c r="G1817">
        <v>17</v>
      </c>
      <c r="H1817" t="s">
        <v>134</v>
      </c>
      <c r="I1817">
        <v>0.5</v>
      </c>
      <c r="J1817">
        <v>1</v>
      </c>
      <c r="K1817" t="s">
        <v>112</v>
      </c>
      <c r="L1817" t="s">
        <v>135</v>
      </c>
      <c r="M1817" t="s">
        <v>136</v>
      </c>
      <c r="N1817" t="s">
        <v>107</v>
      </c>
      <c r="O1817" t="s">
        <v>97</v>
      </c>
    </row>
    <row r="1818" spans="1:15" x14ac:dyDescent="0.2">
      <c r="A1818">
        <v>365</v>
      </c>
      <c r="B1818">
        <v>366</v>
      </c>
      <c r="C1818">
        <v>365</v>
      </c>
      <c r="D1818">
        <v>364</v>
      </c>
      <c r="E1818" t="s">
        <v>57</v>
      </c>
      <c r="F1818" t="s">
        <v>72</v>
      </c>
      <c r="G1818">
        <v>18</v>
      </c>
      <c r="H1818" t="s">
        <v>137</v>
      </c>
      <c r="I1818">
        <v>1</v>
      </c>
      <c r="J1818">
        <v>1</v>
      </c>
      <c r="K1818" t="s">
        <v>112</v>
      </c>
      <c r="L1818" t="s">
        <v>138</v>
      </c>
      <c r="M1818" t="s">
        <v>139</v>
      </c>
      <c r="N1818" t="s">
        <v>107</v>
      </c>
      <c r="O1818" t="s">
        <v>97</v>
      </c>
    </row>
    <row r="1819" spans="1:15" x14ac:dyDescent="0.2">
      <c r="A1819">
        <v>365</v>
      </c>
      <c r="B1819">
        <v>366</v>
      </c>
      <c r="C1819">
        <v>365</v>
      </c>
      <c r="D1819">
        <v>364</v>
      </c>
      <c r="E1819" t="s">
        <v>57</v>
      </c>
      <c r="F1819" t="s">
        <v>72</v>
      </c>
      <c r="G1819">
        <v>19</v>
      </c>
      <c r="H1819" t="s">
        <v>140</v>
      </c>
      <c r="I1819">
        <v>0.5</v>
      </c>
      <c r="J1819">
        <v>1</v>
      </c>
      <c r="K1819" t="s">
        <v>122</v>
      </c>
      <c r="L1819" t="s">
        <v>141</v>
      </c>
      <c r="M1819" t="s">
        <v>142</v>
      </c>
      <c r="N1819" t="s">
        <v>107</v>
      </c>
      <c r="O1819" t="s">
        <v>97</v>
      </c>
    </row>
    <row r="1820" spans="1:15" x14ac:dyDescent="0.2">
      <c r="A1820">
        <v>365</v>
      </c>
      <c r="B1820">
        <v>366</v>
      </c>
      <c r="C1820">
        <v>365</v>
      </c>
      <c r="D1820">
        <v>364</v>
      </c>
      <c r="E1820" t="s">
        <v>57</v>
      </c>
      <c r="F1820" t="s">
        <v>72</v>
      </c>
      <c r="G1820">
        <v>20</v>
      </c>
      <c r="H1820" t="s">
        <v>143</v>
      </c>
      <c r="I1820">
        <v>1</v>
      </c>
      <c r="J1820">
        <v>1</v>
      </c>
      <c r="K1820" t="s">
        <v>122</v>
      </c>
      <c r="L1820" t="s">
        <v>144</v>
      </c>
      <c r="M1820" t="s">
        <v>145</v>
      </c>
      <c r="N1820" t="s">
        <v>107</v>
      </c>
      <c r="O1820" t="s">
        <v>97</v>
      </c>
    </row>
    <row r="1821" spans="1:15" x14ac:dyDescent="0.2">
      <c r="A1821">
        <v>365</v>
      </c>
      <c r="B1821">
        <v>366</v>
      </c>
      <c r="C1821">
        <v>365</v>
      </c>
      <c r="D1821">
        <v>364</v>
      </c>
      <c r="E1821" t="s">
        <v>57</v>
      </c>
      <c r="F1821" t="s">
        <v>72</v>
      </c>
      <c r="G1821">
        <v>21</v>
      </c>
      <c r="H1821" t="s">
        <v>146</v>
      </c>
      <c r="I1821">
        <v>1</v>
      </c>
      <c r="J1821">
        <v>1</v>
      </c>
      <c r="K1821" t="s">
        <v>147</v>
      </c>
      <c r="L1821" t="s">
        <v>148</v>
      </c>
      <c r="M1821" t="s">
        <v>149</v>
      </c>
      <c r="N1821" t="s">
        <v>96</v>
      </c>
      <c r="O1821" t="s">
        <v>97</v>
      </c>
    </row>
    <row r="1822" spans="1:15" x14ac:dyDescent="0.2">
      <c r="A1822">
        <v>365</v>
      </c>
      <c r="B1822">
        <v>366</v>
      </c>
      <c r="C1822">
        <v>365</v>
      </c>
      <c r="D1822">
        <v>364</v>
      </c>
      <c r="E1822" t="s">
        <v>57</v>
      </c>
      <c r="F1822" t="s">
        <v>72</v>
      </c>
      <c r="G1822">
        <v>22</v>
      </c>
      <c r="H1822" t="s">
        <v>150</v>
      </c>
      <c r="I1822">
        <v>0</v>
      </c>
      <c r="J1822">
        <v>1</v>
      </c>
      <c r="K1822" t="s">
        <v>147</v>
      </c>
      <c r="L1822" t="s">
        <v>151</v>
      </c>
      <c r="M1822" t="s">
        <v>149</v>
      </c>
      <c r="N1822" t="s">
        <v>107</v>
      </c>
      <c r="O1822" t="s">
        <v>97</v>
      </c>
    </row>
    <row r="1823" spans="1:15" x14ac:dyDescent="0.2">
      <c r="A1823">
        <v>365</v>
      </c>
      <c r="B1823">
        <v>366</v>
      </c>
      <c r="C1823">
        <v>365</v>
      </c>
      <c r="D1823">
        <v>364</v>
      </c>
      <c r="E1823" t="s">
        <v>57</v>
      </c>
      <c r="F1823" t="s">
        <v>72</v>
      </c>
      <c r="G1823">
        <v>23</v>
      </c>
      <c r="H1823" t="s">
        <v>152</v>
      </c>
      <c r="I1823">
        <v>0</v>
      </c>
      <c r="J1823">
        <v>0</v>
      </c>
      <c r="K1823" t="s">
        <v>153</v>
      </c>
      <c r="L1823" t="s">
        <v>154</v>
      </c>
      <c r="M1823" t="s">
        <v>155</v>
      </c>
      <c r="N1823" t="s">
        <v>107</v>
      </c>
      <c r="O1823" t="s">
        <v>97</v>
      </c>
    </row>
    <row r="1824" spans="1:15" x14ac:dyDescent="0.2">
      <c r="A1824">
        <v>365</v>
      </c>
      <c r="B1824">
        <v>366</v>
      </c>
      <c r="C1824">
        <v>365</v>
      </c>
      <c r="D1824">
        <v>364</v>
      </c>
      <c r="E1824" t="s">
        <v>57</v>
      </c>
      <c r="F1824" t="s">
        <v>72</v>
      </c>
      <c r="G1824">
        <v>24</v>
      </c>
      <c r="H1824" t="s">
        <v>156</v>
      </c>
      <c r="I1824">
        <v>0</v>
      </c>
      <c r="J1824">
        <v>0.5</v>
      </c>
      <c r="K1824" t="s">
        <v>122</v>
      </c>
      <c r="L1824" t="s">
        <v>157</v>
      </c>
      <c r="M1824" t="s">
        <v>158</v>
      </c>
      <c r="N1824" t="s">
        <v>107</v>
      </c>
      <c r="O1824" t="s">
        <v>97</v>
      </c>
    </row>
    <row r="1825" spans="1:15" x14ac:dyDescent="0.2">
      <c r="A1825">
        <v>365</v>
      </c>
      <c r="B1825">
        <v>366</v>
      </c>
      <c r="C1825">
        <v>365</v>
      </c>
      <c r="D1825">
        <v>364</v>
      </c>
      <c r="E1825" t="s">
        <v>57</v>
      </c>
      <c r="F1825" t="s">
        <v>72</v>
      </c>
      <c r="G1825">
        <v>25</v>
      </c>
      <c r="H1825" t="s">
        <v>156</v>
      </c>
      <c r="I1825">
        <v>0</v>
      </c>
      <c r="J1825">
        <v>0.5</v>
      </c>
      <c r="K1825" t="s">
        <v>122</v>
      </c>
      <c r="L1825" t="s">
        <v>157</v>
      </c>
      <c r="M1825" t="s">
        <v>158</v>
      </c>
      <c r="N1825" t="s">
        <v>107</v>
      </c>
      <c r="O1825" t="s">
        <v>97</v>
      </c>
    </row>
    <row r="1826" spans="1:15" x14ac:dyDescent="0.2">
      <c r="A1826">
        <v>365</v>
      </c>
      <c r="B1826">
        <v>366</v>
      </c>
      <c r="C1826">
        <v>365</v>
      </c>
      <c r="D1826">
        <v>364</v>
      </c>
      <c r="E1826" t="s">
        <v>57</v>
      </c>
      <c r="F1826" t="s">
        <v>72</v>
      </c>
      <c r="G1826">
        <v>26</v>
      </c>
      <c r="H1826" t="s">
        <v>152</v>
      </c>
      <c r="I1826">
        <v>0</v>
      </c>
      <c r="J1826">
        <v>0</v>
      </c>
      <c r="K1826" t="s">
        <v>153</v>
      </c>
      <c r="L1826" t="s">
        <v>154</v>
      </c>
      <c r="M1826" t="s">
        <v>155</v>
      </c>
      <c r="N1826" t="s">
        <v>107</v>
      </c>
      <c r="O1826" t="s">
        <v>97</v>
      </c>
    </row>
    <row r="1827" spans="1:15" x14ac:dyDescent="0.2">
      <c r="A1827">
        <v>365</v>
      </c>
      <c r="B1827">
        <v>366</v>
      </c>
      <c r="C1827">
        <v>365</v>
      </c>
      <c r="D1827">
        <v>364</v>
      </c>
      <c r="E1827" t="s">
        <v>57</v>
      </c>
      <c r="F1827" t="s">
        <v>72</v>
      </c>
      <c r="G1827">
        <v>27</v>
      </c>
      <c r="H1827" t="s">
        <v>159</v>
      </c>
      <c r="I1827">
        <v>0</v>
      </c>
      <c r="J1827">
        <v>0.5</v>
      </c>
      <c r="K1827" t="s">
        <v>122</v>
      </c>
      <c r="L1827" t="s">
        <v>160</v>
      </c>
      <c r="M1827" t="s">
        <v>161</v>
      </c>
      <c r="N1827" t="s">
        <v>107</v>
      </c>
      <c r="O1827" t="s">
        <v>97</v>
      </c>
    </row>
    <row r="1828" spans="1:15" x14ac:dyDescent="0.2">
      <c r="A1828">
        <v>365</v>
      </c>
      <c r="B1828">
        <v>366</v>
      </c>
      <c r="C1828">
        <v>365</v>
      </c>
      <c r="D1828">
        <v>364</v>
      </c>
      <c r="E1828" t="s">
        <v>57</v>
      </c>
      <c r="F1828" t="s">
        <v>72</v>
      </c>
      <c r="G1828">
        <v>28</v>
      </c>
      <c r="H1828" t="s">
        <v>159</v>
      </c>
      <c r="I1828">
        <v>0</v>
      </c>
      <c r="J1828">
        <v>0.5</v>
      </c>
      <c r="K1828" t="s">
        <v>122</v>
      </c>
      <c r="L1828" t="s">
        <v>160</v>
      </c>
      <c r="M1828" t="s">
        <v>161</v>
      </c>
      <c r="N1828" t="s">
        <v>107</v>
      </c>
      <c r="O1828" t="s">
        <v>97</v>
      </c>
    </row>
    <row r="1829" spans="1:15" x14ac:dyDescent="0.2">
      <c r="A1829">
        <v>365</v>
      </c>
      <c r="B1829">
        <v>366</v>
      </c>
      <c r="C1829">
        <v>365</v>
      </c>
      <c r="D1829">
        <v>364</v>
      </c>
      <c r="E1829" t="s">
        <v>57</v>
      </c>
      <c r="F1829" t="s">
        <v>72</v>
      </c>
      <c r="G1829">
        <v>29</v>
      </c>
      <c r="H1829" t="s">
        <v>152</v>
      </c>
      <c r="I1829">
        <v>0</v>
      </c>
      <c r="J1829">
        <v>0</v>
      </c>
      <c r="K1829" t="s">
        <v>153</v>
      </c>
      <c r="L1829" t="s">
        <v>154</v>
      </c>
      <c r="M1829" t="s">
        <v>155</v>
      </c>
      <c r="N1829" t="s">
        <v>107</v>
      </c>
      <c r="O1829" t="s">
        <v>97</v>
      </c>
    </row>
    <row r="1830" spans="1:15" x14ac:dyDescent="0.2">
      <c r="A1830">
        <v>365</v>
      </c>
      <c r="B1830">
        <v>366</v>
      </c>
      <c r="C1830">
        <v>365</v>
      </c>
      <c r="D1830">
        <v>364</v>
      </c>
      <c r="E1830" t="s">
        <v>57</v>
      </c>
      <c r="F1830" t="s">
        <v>72</v>
      </c>
      <c r="G1830">
        <v>30</v>
      </c>
      <c r="H1830" t="s">
        <v>162</v>
      </c>
      <c r="I1830">
        <v>0</v>
      </c>
      <c r="J1830">
        <v>1</v>
      </c>
      <c r="K1830" t="s">
        <v>112</v>
      </c>
      <c r="L1830" t="s">
        <v>163</v>
      </c>
      <c r="M1830" t="s">
        <v>164</v>
      </c>
      <c r="N1830" t="s">
        <v>107</v>
      </c>
      <c r="O1830" t="s">
        <v>97</v>
      </c>
    </row>
    <row r="1831" spans="1:15" x14ac:dyDescent="0.2">
      <c r="A1831">
        <v>365</v>
      </c>
      <c r="B1831">
        <v>366</v>
      </c>
      <c r="C1831">
        <v>365</v>
      </c>
      <c r="D1831">
        <v>364</v>
      </c>
      <c r="E1831" t="s">
        <v>57</v>
      </c>
      <c r="F1831" t="s">
        <v>72</v>
      </c>
      <c r="G1831">
        <v>31</v>
      </c>
      <c r="H1831" t="s">
        <v>162</v>
      </c>
      <c r="I1831">
        <v>0</v>
      </c>
      <c r="J1831">
        <v>0</v>
      </c>
      <c r="K1831" t="s">
        <v>112</v>
      </c>
      <c r="L1831" t="s">
        <v>163</v>
      </c>
      <c r="M1831" t="s">
        <v>164</v>
      </c>
      <c r="N1831" t="s">
        <v>107</v>
      </c>
      <c r="O1831" t="s">
        <v>97</v>
      </c>
    </row>
    <row r="1832" spans="1:15" x14ac:dyDescent="0.2">
      <c r="A1832">
        <v>365</v>
      </c>
      <c r="B1832">
        <v>366</v>
      </c>
      <c r="C1832">
        <v>365</v>
      </c>
      <c r="D1832">
        <v>364</v>
      </c>
      <c r="E1832" t="s">
        <v>57</v>
      </c>
      <c r="F1832" t="s">
        <v>72</v>
      </c>
      <c r="G1832">
        <v>32</v>
      </c>
      <c r="H1832" t="s">
        <v>162</v>
      </c>
      <c r="I1832">
        <v>0</v>
      </c>
      <c r="J1832">
        <v>0</v>
      </c>
      <c r="K1832" t="s">
        <v>112</v>
      </c>
      <c r="L1832" t="s">
        <v>163</v>
      </c>
      <c r="M1832" t="s">
        <v>164</v>
      </c>
      <c r="N1832" t="s">
        <v>107</v>
      </c>
      <c r="O1832" t="s">
        <v>97</v>
      </c>
    </row>
    <row r="1833" spans="1:15" x14ac:dyDescent="0.2">
      <c r="A1833">
        <v>365</v>
      </c>
      <c r="B1833">
        <v>366</v>
      </c>
      <c r="C1833">
        <v>365</v>
      </c>
      <c r="D1833">
        <v>364</v>
      </c>
      <c r="E1833" t="s">
        <v>57</v>
      </c>
      <c r="F1833" t="s">
        <v>72</v>
      </c>
      <c r="G1833">
        <v>33</v>
      </c>
      <c r="H1833" t="s">
        <v>152</v>
      </c>
      <c r="I1833">
        <v>0</v>
      </c>
      <c r="J1833">
        <v>1</v>
      </c>
      <c r="K1833" t="s">
        <v>153</v>
      </c>
      <c r="L1833" t="s">
        <v>154</v>
      </c>
      <c r="M1833" t="s">
        <v>155</v>
      </c>
      <c r="N1833" t="s">
        <v>107</v>
      </c>
      <c r="O1833" t="s">
        <v>97</v>
      </c>
    </row>
    <row r="1834" spans="1:15" x14ac:dyDescent="0.2">
      <c r="A1834">
        <v>365</v>
      </c>
      <c r="B1834">
        <v>366</v>
      </c>
      <c r="C1834">
        <v>365</v>
      </c>
      <c r="D1834">
        <v>364</v>
      </c>
      <c r="E1834" t="s">
        <v>57</v>
      </c>
      <c r="F1834" t="s">
        <v>72</v>
      </c>
      <c r="G1834">
        <v>34</v>
      </c>
      <c r="H1834" t="s">
        <v>152</v>
      </c>
      <c r="I1834">
        <v>0</v>
      </c>
      <c r="J1834">
        <v>0</v>
      </c>
      <c r="K1834" t="s">
        <v>153</v>
      </c>
      <c r="L1834" t="s">
        <v>154</v>
      </c>
      <c r="M1834" t="s">
        <v>155</v>
      </c>
      <c r="N1834" t="s">
        <v>107</v>
      </c>
      <c r="O1834" t="s">
        <v>97</v>
      </c>
    </row>
    <row r="1835" spans="1:15" x14ac:dyDescent="0.2">
      <c r="A1835">
        <v>365</v>
      </c>
      <c r="B1835">
        <v>366</v>
      </c>
      <c r="C1835">
        <v>365</v>
      </c>
      <c r="D1835">
        <v>364</v>
      </c>
      <c r="E1835" t="s">
        <v>57</v>
      </c>
      <c r="F1835" t="s">
        <v>72</v>
      </c>
      <c r="G1835">
        <v>35</v>
      </c>
      <c r="H1835" t="s">
        <v>165</v>
      </c>
      <c r="I1835">
        <v>0</v>
      </c>
      <c r="J1835">
        <v>1</v>
      </c>
      <c r="K1835" t="s">
        <v>166</v>
      </c>
      <c r="L1835" t="s">
        <v>167</v>
      </c>
      <c r="M1835" t="s">
        <v>168</v>
      </c>
      <c r="N1835" t="s">
        <v>107</v>
      </c>
      <c r="O1835" t="s">
        <v>97</v>
      </c>
    </row>
    <row r="1836" spans="1:15" x14ac:dyDescent="0.2">
      <c r="A1836">
        <v>365</v>
      </c>
      <c r="B1836">
        <v>366</v>
      </c>
      <c r="C1836">
        <v>365</v>
      </c>
      <c r="D1836">
        <v>364</v>
      </c>
      <c r="E1836" t="s">
        <v>57</v>
      </c>
      <c r="F1836" t="s">
        <v>72</v>
      </c>
      <c r="G1836">
        <v>36</v>
      </c>
      <c r="H1836" t="s">
        <v>169</v>
      </c>
      <c r="I1836">
        <v>0</v>
      </c>
      <c r="J1836">
        <v>0</v>
      </c>
      <c r="K1836" t="e">
        <v>#N/A</v>
      </c>
      <c r="L1836" t="e">
        <v>#N/A</v>
      </c>
      <c r="M1836" t="e">
        <v>#N/A</v>
      </c>
      <c r="N1836" t="e">
        <v>#N/A</v>
      </c>
      <c r="O1836" t="s">
        <v>97</v>
      </c>
    </row>
    <row r="1837" spans="1:15" x14ac:dyDescent="0.2">
      <c r="A1837">
        <v>365</v>
      </c>
      <c r="B1837">
        <v>366</v>
      </c>
      <c r="C1837">
        <v>365</v>
      </c>
      <c r="D1837">
        <v>364</v>
      </c>
      <c r="E1837" t="s">
        <v>57</v>
      </c>
      <c r="F1837" t="s">
        <v>72</v>
      </c>
      <c r="G1837">
        <v>38</v>
      </c>
      <c r="H1837" t="s">
        <v>170</v>
      </c>
      <c r="I1837">
        <v>0</v>
      </c>
      <c r="J1837">
        <v>0</v>
      </c>
      <c r="K1837" t="s">
        <v>112</v>
      </c>
      <c r="L1837" t="s">
        <v>171</v>
      </c>
      <c r="M1837" t="s">
        <v>172</v>
      </c>
      <c r="N1837" t="s">
        <v>96</v>
      </c>
      <c r="O1837" t="s">
        <v>97</v>
      </c>
    </row>
    <row r="1838" spans="1:15" x14ac:dyDescent="0.2">
      <c r="A1838">
        <v>365</v>
      </c>
      <c r="B1838">
        <v>366</v>
      </c>
      <c r="C1838">
        <v>365</v>
      </c>
      <c r="D1838">
        <v>364</v>
      </c>
      <c r="E1838" t="s">
        <v>57</v>
      </c>
      <c r="F1838" t="s">
        <v>72</v>
      </c>
      <c r="G1838">
        <v>39</v>
      </c>
      <c r="H1838" t="s">
        <v>170</v>
      </c>
      <c r="I1838">
        <v>0</v>
      </c>
      <c r="J1838">
        <v>0</v>
      </c>
      <c r="K1838" t="s">
        <v>112</v>
      </c>
      <c r="L1838" t="s">
        <v>171</v>
      </c>
      <c r="M1838" t="s">
        <v>172</v>
      </c>
      <c r="N1838" t="s">
        <v>96</v>
      </c>
      <c r="O1838" t="s">
        <v>97</v>
      </c>
    </row>
    <row r="1839" spans="1:15" x14ac:dyDescent="0.2">
      <c r="A1839">
        <v>365</v>
      </c>
      <c r="B1839">
        <v>366</v>
      </c>
      <c r="C1839">
        <v>365</v>
      </c>
      <c r="D1839">
        <v>364</v>
      </c>
      <c r="E1839" t="s">
        <v>57</v>
      </c>
      <c r="F1839" t="s">
        <v>72</v>
      </c>
      <c r="G1839">
        <v>40</v>
      </c>
      <c r="H1839" t="s">
        <v>170</v>
      </c>
      <c r="I1839">
        <v>0</v>
      </c>
      <c r="J1839">
        <v>0</v>
      </c>
      <c r="K1839" t="s">
        <v>112</v>
      </c>
      <c r="L1839" t="s">
        <v>171</v>
      </c>
      <c r="M1839" t="s">
        <v>172</v>
      </c>
      <c r="N1839" t="s">
        <v>96</v>
      </c>
      <c r="O1839" t="s">
        <v>97</v>
      </c>
    </row>
    <row r="1840" spans="1:15" x14ac:dyDescent="0.2">
      <c r="A1840">
        <v>365</v>
      </c>
      <c r="B1840">
        <v>366</v>
      </c>
      <c r="C1840">
        <v>365</v>
      </c>
      <c r="D1840">
        <v>364</v>
      </c>
      <c r="E1840" t="s">
        <v>57</v>
      </c>
      <c r="F1840" t="s">
        <v>72</v>
      </c>
      <c r="G1840">
        <v>41</v>
      </c>
      <c r="H1840" t="s">
        <v>173</v>
      </c>
      <c r="I1840">
        <v>0</v>
      </c>
      <c r="J1840">
        <v>0</v>
      </c>
      <c r="K1840" t="s">
        <v>166</v>
      </c>
      <c r="L1840" t="s">
        <v>174</v>
      </c>
      <c r="M1840" t="s">
        <v>175</v>
      </c>
      <c r="N1840" t="s">
        <v>107</v>
      </c>
      <c r="O1840" t="s">
        <v>97</v>
      </c>
    </row>
    <row r="1841" spans="1:15" x14ac:dyDescent="0.2">
      <c r="A1841">
        <v>365</v>
      </c>
      <c r="B1841">
        <v>366</v>
      </c>
      <c r="C1841">
        <v>365</v>
      </c>
      <c r="D1841">
        <v>364</v>
      </c>
      <c r="E1841" t="s">
        <v>57</v>
      </c>
      <c r="F1841" t="s">
        <v>72</v>
      </c>
      <c r="G1841">
        <v>42</v>
      </c>
      <c r="H1841" t="s">
        <v>176</v>
      </c>
      <c r="I1841">
        <v>0</v>
      </c>
      <c r="J1841" t="s">
        <v>198</v>
      </c>
      <c r="K1841" t="s">
        <v>153</v>
      </c>
      <c r="L1841" t="s">
        <v>177</v>
      </c>
      <c r="M1841" t="s">
        <v>178</v>
      </c>
      <c r="N1841" t="s">
        <v>107</v>
      </c>
      <c r="O1841" t="s">
        <v>97</v>
      </c>
    </row>
    <row r="1842" spans="1:15" x14ac:dyDescent="0.2">
      <c r="A1842">
        <v>365</v>
      </c>
      <c r="B1842">
        <v>366</v>
      </c>
      <c r="C1842">
        <v>365</v>
      </c>
      <c r="D1842">
        <v>364</v>
      </c>
      <c r="E1842" t="s">
        <v>57</v>
      </c>
      <c r="F1842" t="s">
        <v>72</v>
      </c>
      <c r="G1842">
        <v>43</v>
      </c>
      <c r="H1842" t="s">
        <v>179</v>
      </c>
      <c r="I1842">
        <v>0</v>
      </c>
      <c r="J1842">
        <v>0</v>
      </c>
      <c r="K1842" t="s">
        <v>166</v>
      </c>
      <c r="L1842" t="s">
        <v>180</v>
      </c>
      <c r="M1842" t="s">
        <v>181</v>
      </c>
      <c r="N1842" t="s">
        <v>107</v>
      </c>
      <c r="O1842" t="s">
        <v>97</v>
      </c>
    </row>
    <row r="1843" spans="1:15" x14ac:dyDescent="0.2">
      <c r="A1843">
        <v>365</v>
      </c>
      <c r="B1843">
        <v>366</v>
      </c>
      <c r="C1843">
        <v>365</v>
      </c>
      <c r="D1843">
        <v>364</v>
      </c>
      <c r="E1843" t="s">
        <v>57</v>
      </c>
      <c r="F1843" t="s">
        <v>72</v>
      </c>
      <c r="G1843">
        <v>44</v>
      </c>
      <c r="H1843" t="s">
        <v>182</v>
      </c>
      <c r="I1843">
        <v>0</v>
      </c>
      <c r="J1843">
        <v>1</v>
      </c>
      <c r="K1843" t="s">
        <v>166</v>
      </c>
      <c r="L1843" t="s">
        <v>183</v>
      </c>
      <c r="M1843" t="s">
        <v>184</v>
      </c>
      <c r="N1843" t="s">
        <v>107</v>
      </c>
      <c r="O1843" t="s">
        <v>97</v>
      </c>
    </row>
    <row r="1844" spans="1:15" x14ac:dyDescent="0.2">
      <c r="A1844">
        <v>365</v>
      </c>
      <c r="B1844">
        <v>366</v>
      </c>
      <c r="C1844">
        <v>365</v>
      </c>
      <c r="D1844">
        <v>364</v>
      </c>
      <c r="E1844" t="s">
        <v>57</v>
      </c>
      <c r="F1844" t="s">
        <v>72</v>
      </c>
      <c r="G1844">
        <v>45</v>
      </c>
      <c r="H1844" t="s">
        <v>185</v>
      </c>
      <c r="I1844">
        <v>1</v>
      </c>
      <c r="J1844">
        <v>1</v>
      </c>
      <c r="K1844" t="s">
        <v>166</v>
      </c>
      <c r="L1844" t="s">
        <v>186</v>
      </c>
      <c r="M1844" t="s">
        <v>139</v>
      </c>
      <c r="N1844" t="s">
        <v>107</v>
      </c>
      <c r="O1844" t="s">
        <v>97</v>
      </c>
    </row>
    <row r="1845" spans="1:15" x14ac:dyDescent="0.2">
      <c r="A1845">
        <v>365</v>
      </c>
      <c r="B1845">
        <v>366</v>
      </c>
      <c r="C1845">
        <v>365</v>
      </c>
      <c r="D1845">
        <v>364</v>
      </c>
      <c r="E1845" t="s">
        <v>57</v>
      </c>
      <c r="F1845" t="s">
        <v>72</v>
      </c>
      <c r="G1845">
        <v>47</v>
      </c>
      <c r="H1845" t="s">
        <v>187</v>
      </c>
      <c r="I1845">
        <v>0.2</v>
      </c>
      <c r="J1845">
        <v>0.2</v>
      </c>
      <c r="K1845" t="s">
        <v>93</v>
      </c>
      <c r="L1845" t="s">
        <v>188</v>
      </c>
      <c r="M1845" t="s">
        <v>95</v>
      </c>
      <c r="N1845" t="s">
        <v>96</v>
      </c>
      <c r="O1845" t="s">
        <v>97</v>
      </c>
    </row>
    <row r="1846" spans="1:15" x14ac:dyDescent="0.2">
      <c r="A1846">
        <v>365</v>
      </c>
      <c r="B1846">
        <v>366</v>
      </c>
      <c r="C1846">
        <v>365</v>
      </c>
      <c r="D1846">
        <v>364</v>
      </c>
      <c r="E1846" t="s">
        <v>57</v>
      </c>
      <c r="F1846" t="s">
        <v>72</v>
      </c>
      <c r="G1846">
        <v>48</v>
      </c>
      <c r="H1846" t="s">
        <v>189</v>
      </c>
      <c r="I1846">
        <v>0.2</v>
      </c>
      <c r="J1846">
        <v>0.2</v>
      </c>
      <c r="K1846" t="s">
        <v>93</v>
      </c>
      <c r="L1846" t="s">
        <v>190</v>
      </c>
      <c r="M1846" t="s">
        <v>95</v>
      </c>
      <c r="N1846" t="s">
        <v>96</v>
      </c>
      <c r="O1846" t="s">
        <v>97</v>
      </c>
    </row>
    <row r="1847" spans="1:15" x14ac:dyDescent="0.2">
      <c r="A1847">
        <v>365</v>
      </c>
      <c r="B1847">
        <v>366</v>
      </c>
      <c r="C1847">
        <v>365</v>
      </c>
      <c r="D1847">
        <v>364</v>
      </c>
      <c r="E1847" t="s">
        <v>57</v>
      </c>
      <c r="F1847" t="s">
        <v>72</v>
      </c>
      <c r="G1847">
        <v>49</v>
      </c>
      <c r="H1847" t="s">
        <v>191</v>
      </c>
      <c r="I1847">
        <v>0.2</v>
      </c>
      <c r="J1847">
        <v>0.2</v>
      </c>
      <c r="K1847" t="s">
        <v>93</v>
      </c>
      <c r="L1847" t="s">
        <v>192</v>
      </c>
      <c r="M1847" t="s">
        <v>95</v>
      </c>
      <c r="N1847" t="s">
        <v>96</v>
      </c>
      <c r="O1847" t="s">
        <v>97</v>
      </c>
    </row>
    <row r="1848" spans="1:15" x14ac:dyDescent="0.2">
      <c r="A1848">
        <v>365</v>
      </c>
      <c r="B1848">
        <v>366</v>
      </c>
      <c r="C1848">
        <v>365</v>
      </c>
      <c r="D1848">
        <v>364</v>
      </c>
      <c r="E1848" t="s">
        <v>57</v>
      </c>
      <c r="F1848" t="s">
        <v>72</v>
      </c>
      <c r="G1848">
        <v>50</v>
      </c>
      <c r="H1848" t="s">
        <v>193</v>
      </c>
      <c r="I1848">
        <v>0.1</v>
      </c>
      <c r="J1848">
        <v>0.1</v>
      </c>
      <c r="K1848" t="s">
        <v>93</v>
      </c>
      <c r="L1848" t="s">
        <v>194</v>
      </c>
      <c r="M1848" t="s">
        <v>95</v>
      </c>
      <c r="N1848" t="s">
        <v>96</v>
      </c>
      <c r="O1848" t="s">
        <v>97</v>
      </c>
    </row>
    <row r="1849" spans="1:15" x14ac:dyDescent="0.2">
      <c r="A1849">
        <v>365</v>
      </c>
      <c r="B1849">
        <v>366</v>
      </c>
      <c r="C1849">
        <v>365</v>
      </c>
      <c r="D1849">
        <v>364</v>
      </c>
      <c r="E1849" t="s">
        <v>57</v>
      </c>
      <c r="F1849" t="s">
        <v>72</v>
      </c>
      <c r="G1849">
        <v>51</v>
      </c>
      <c r="H1849" t="s">
        <v>193</v>
      </c>
      <c r="I1849">
        <v>0.1</v>
      </c>
      <c r="J1849">
        <v>0.1</v>
      </c>
      <c r="K1849" t="s">
        <v>93</v>
      </c>
      <c r="L1849" t="s">
        <v>194</v>
      </c>
      <c r="M1849" t="s">
        <v>95</v>
      </c>
      <c r="N1849" t="s">
        <v>96</v>
      </c>
      <c r="O1849" t="s">
        <v>97</v>
      </c>
    </row>
    <row r="1850" spans="1:15" x14ac:dyDescent="0.2">
      <c r="A1850">
        <v>365</v>
      </c>
      <c r="B1850">
        <v>366</v>
      </c>
      <c r="C1850">
        <v>365</v>
      </c>
      <c r="D1850">
        <v>364</v>
      </c>
      <c r="E1850" t="s">
        <v>57</v>
      </c>
      <c r="F1850" t="s">
        <v>72</v>
      </c>
      <c r="G1850">
        <v>97</v>
      </c>
      <c r="H1850" t="s">
        <v>152</v>
      </c>
      <c r="I1850">
        <v>0.25</v>
      </c>
      <c r="J1850">
        <v>0.25</v>
      </c>
      <c r="K1850" t="s">
        <v>153</v>
      </c>
      <c r="L1850" t="s">
        <v>154</v>
      </c>
      <c r="M1850" t="s">
        <v>155</v>
      </c>
      <c r="N1850" t="s">
        <v>107</v>
      </c>
      <c r="O1850" t="s">
        <v>97</v>
      </c>
    </row>
    <row r="1851" spans="1:15" x14ac:dyDescent="0.2">
      <c r="A1851">
        <v>365</v>
      </c>
      <c r="B1851">
        <v>366</v>
      </c>
      <c r="C1851">
        <v>365</v>
      </c>
      <c r="D1851">
        <v>364</v>
      </c>
      <c r="E1851" t="s">
        <v>57</v>
      </c>
      <c r="F1851" t="s">
        <v>72</v>
      </c>
      <c r="G1851">
        <v>96</v>
      </c>
      <c r="H1851" t="s">
        <v>152</v>
      </c>
      <c r="I1851">
        <v>0</v>
      </c>
      <c r="J1851">
        <v>0</v>
      </c>
      <c r="K1851" t="s">
        <v>153</v>
      </c>
      <c r="L1851" t="s">
        <v>154</v>
      </c>
      <c r="M1851" t="s">
        <v>155</v>
      </c>
      <c r="N1851" t="s">
        <v>107</v>
      </c>
      <c r="O1851" t="s">
        <v>97</v>
      </c>
    </row>
    <row r="1852" spans="1:15" x14ac:dyDescent="0.2">
      <c r="A1852">
        <v>365</v>
      </c>
      <c r="B1852">
        <v>366</v>
      </c>
      <c r="C1852">
        <v>365</v>
      </c>
      <c r="D1852">
        <v>364</v>
      </c>
      <c r="E1852" t="s">
        <v>57</v>
      </c>
      <c r="F1852" t="s">
        <v>72</v>
      </c>
      <c r="G1852">
        <v>99</v>
      </c>
      <c r="H1852" t="s">
        <v>152</v>
      </c>
      <c r="I1852">
        <v>0</v>
      </c>
      <c r="J1852">
        <v>0</v>
      </c>
      <c r="K1852" t="s">
        <v>153</v>
      </c>
      <c r="L1852" t="s">
        <v>154</v>
      </c>
      <c r="M1852" t="s">
        <v>155</v>
      </c>
      <c r="N1852" t="s">
        <v>107</v>
      </c>
      <c r="O1852" t="s">
        <v>97</v>
      </c>
    </row>
    <row r="1853" spans="1:15" x14ac:dyDescent="0.2">
      <c r="A1853">
        <v>365</v>
      </c>
      <c r="B1853">
        <v>366</v>
      </c>
      <c r="C1853">
        <v>365</v>
      </c>
      <c r="D1853">
        <v>364</v>
      </c>
      <c r="E1853" t="s">
        <v>57</v>
      </c>
      <c r="F1853" t="s">
        <v>72</v>
      </c>
      <c r="G1853">
        <v>98</v>
      </c>
      <c r="H1853" t="s">
        <v>204</v>
      </c>
      <c r="I1853">
        <v>0</v>
      </c>
      <c r="J1853">
        <v>1</v>
      </c>
      <c r="K1853" t="s">
        <v>122</v>
      </c>
      <c r="L1853" t="s">
        <v>205</v>
      </c>
      <c r="M1853" t="s">
        <v>206</v>
      </c>
      <c r="N1853" t="s">
        <v>207</v>
      </c>
      <c r="O1853" t="s">
        <v>97</v>
      </c>
    </row>
    <row r="1854" spans="1:15" x14ac:dyDescent="0.2">
      <c r="A1854">
        <v>350</v>
      </c>
      <c r="B1854">
        <v>351</v>
      </c>
      <c r="C1854">
        <v>350</v>
      </c>
      <c r="D1854">
        <v>349</v>
      </c>
      <c r="E1854" t="s">
        <v>57</v>
      </c>
      <c r="F1854" t="s">
        <v>70</v>
      </c>
      <c r="G1854">
        <v>1</v>
      </c>
      <c r="H1854" t="s">
        <v>92</v>
      </c>
      <c r="I1854">
        <v>0</v>
      </c>
      <c r="J1854">
        <v>0.2</v>
      </c>
      <c r="K1854" t="s">
        <v>93</v>
      </c>
      <c r="L1854" t="s">
        <v>94</v>
      </c>
      <c r="M1854" t="s">
        <v>95</v>
      </c>
      <c r="N1854" t="s">
        <v>96</v>
      </c>
      <c r="O1854" t="s">
        <v>97</v>
      </c>
    </row>
    <row r="1855" spans="1:15" x14ac:dyDescent="0.2">
      <c r="A1855">
        <v>350</v>
      </c>
      <c r="B1855">
        <v>351</v>
      </c>
      <c r="C1855">
        <v>350</v>
      </c>
      <c r="D1855">
        <v>349</v>
      </c>
      <c r="E1855" t="s">
        <v>57</v>
      </c>
      <c r="F1855" t="s">
        <v>70</v>
      </c>
      <c r="G1855">
        <v>2</v>
      </c>
      <c r="H1855" t="s">
        <v>98</v>
      </c>
      <c r="I1855">
        <v>0.25</v>
      </c>
      <c r="J1855">
        <v>0.5</v>
      </c>
      <c r="K1855" t="s">
        <v>93</v>
      </c>
      <c r="L1855" t="s">
        <v>99</v>
      </c>
      <c r="M1855" t="s">
        <v>95</v>
      </c>
      <c r="N1855" t="s">
        <v>96</v>
      </c>
      <c r="O1855" t="s">
        <v>97</v>
      </c>
    </row>
    <row r="1856" spans="1:15" x14ac:dyDescent="0.2">
      <c r="A1856">
        <v>350</v>
      </c>
      <c r="B1856">
        <v>351</v>
      </c>
      <c r="C1856">
        <v>350</v>
      </c>
      <c r="D1856">
        <v>349</v>
      </c>
      <c r="E1856" t="s">
        <v>57</v>
      </c>
      <c r="F1856" t="s">
        <v>70</v>
      </c>
      <c r="G1856">
        <v>3</v>
      </c>
      <c r="H1856" t="s">
        <v>100</v>
      </c>
      <c r="I1856">
        <v>0</v>
      </c>
      <c r="J1856">
        <v>1</v>
      </c>
      <c r="K1856" t="s">
        <v>101</v>
      </c>
      <c r="L1856" t="s">
        <v>102</v>
      </c>
      <c r="M1856" t="s">
        <v>103</v>
      </c>
      <c r="N1856" t="s">
        <v>96</v>
      </c>
      <c r="O1856" t="s">
        <v>97</v>
      </c>
    </row>
    <row r="1857" spans="1:15" x14ac:dyDescent="0.2">
      <c r="A1857">
        <v>350</v>
      </c>
      <c r="B1857">
        <v>351</v>
      </c>
      <c r="C1857">
        <v>350</v>
      </c>
      <c r="D1857">
        <v>349</v>
      </c>
      <c r="E1857" t="s">
        <v>57</v>
      </c>
      <c r="F1857" t="s">
        <v>70</v>
      </c>
      <c r="G1857">
        <v>4</v>
      </c>
      <c r="H1857" t="s">
        <v>104</v>
      </c>
      <c r="I1857">
        <v>0</v>
      </c>
      <c r="J1857">
        <v>1</v>
      </c>
      <c r="K1857" t="s">
        <v>101</v>
      </c>
      <c r="L1857" t="s">
        <v>105</v>
      </c>
      <c r="M1857" t="s">
        <v>106</v>
      </c>
      <c r="N1857" t="s">
        <v>107</v>
      </c>
      <c r="O1857" t="s">
        <v>97</v>
      </c>
    </row>
    <row r="1858" spans="1:15" x14ac:dyDescent="0.2">
      <c r="A1858">
        <v>350</v>
      </c>
      <c r="B1858">
        <v>351</v>
      </c>
      <c r="C1858">
        <v>350</v>
      </c>
      <c r="D1858">
        <v>349</v>
      </c>
      <c r="E1858" t="s">
        <v>57</v>
      </c>
      <c r="F1858" t="s">
        <v>70</v>
      </c>
      <c r="G1858">
        <v>5</v>
      </c>
      <c r="H1858" t="s">
        <v>108</v>
      </c>
      <c r="I1858">
        <v>0.5</v>
      </c>
      <c r="J1858">
        <v>1</v>
      </c>
      <c r="K1858" t="s">
        <v>101</v>
      </c>
      <c r="L1858" t="s">
        <v>109</v>
      </c>
      <c r="M1858" t="s">
        <v>110</v>
      </c>
      <c r="N1858" t="s">
        <v>107</v>
      </c>
      <c r="O1858" t="s">
        <v>97</v>
      </c>
    </row>
    <row r="1859" spans="1:15" x14ac:dyDescent="0.2">
      <c r="A1859">
        <v>350</v>
      </c>
      <c r="B1859">
        <v>351</v>
      </c>
      <c r="C1859">
        <v>350</v>
      </c>
      <c r="D1859">
        <v>349</v>
      </c>
      <c r="E1859" t="s">
        <v>57</v>
      </c>
      <c r="F1859" t="s">
        <v>70</v>
      </c>
      <c r="G1859">
        <v>9</v>
      </c>
      <c r="H1859" t="s">
        <v>111</v>
      </c>
      <c r="I1859">
        <v>0.5</v>
      </c>
      <c r="J1859">
        <v>0.5</v>
      </c>
      <c r="K1859" t="s">
        <v>112</v>
      </c>
      <c r="L1859" t="s">
        <v>113</v>
      </c>
      <c r="M1859" t="s">
        <v>114</v>
      </c>
      <c r="N1859" t="s">
        <v>96</v>
      </c>
      <c r="O1859" t="s">
        <v>97</v>
      </c>
    </row>
    <row r="1860" spans="1:15" x14ac:dyDescent="0.2">
      <c r="A1860">
        <v>350</v>
      </c>
      <c r="B1860">
        <v>351</v>
      </c>
      <c r="C1860">
        <v>350</v>
      </c>
      <c r="D1860">
        <v>349</v>
      </c>
      <c r="E1860" t="s">
        <v>57</v>
      </c>
      <c r="F1860" t="s">
        <v>70</v>
      </c>
      <c r="G1860">
        <v>10</v>
      </c>
      <c r="H1860" t="s">
        <v>115</v>
      </c>
      <c r="I1860">
        <v>0.25</v>
      </c>
      <c r="J1860">
        <v>0.5</v>
      </c>
      <c r="K1860" t="s">
        <v>112</v>
      </c>
      <c r="L1860" t="s">
        <v>116</v>
      </c>
      <c r="M1860" t="s">
        <v>117</v>
      </c>
      <c r="N1860" t="s">
        <v>96</v>
      </c>
      <c r="O1860" t="s">
        <v>97</v>
      </c>
    </row>
    <row r="1861" spans="1:15" x14ac:dyDescent="0.2">
      <c r="A1861">
        <v>350</v>
      </c>
      <c r="B1861">
        <v>351</v>
      </c>
      <c r="C1861">
        <v>350</v>
      </c>
      <c r="D1861">
        <v>349</v>
      </c>
      <c r="E1861" t="s">
        <v>57</v>
      </c>
      <c r="F1861" t="s">
        <v>70</v>
      </c>
      <c r="G1861">
        <v>11</v>
      </c>
      <c r="H1861" t="s">
        <v>118</v>
      </c>
      <c r="I1861">
        <v>1</v>
      </c>
      <c r="J1861">
        <v>1</v>
      </c>
      <c r="K1861" t="s">
        <v>112</v>
      </c>
      <c r="L1861" t="s">
        <v>119</v>
      </c>
      <c r="M1861" t="s">
        <v>120</v>
      </c>
      <c r="N1861" t="s">
        <v>107</v>
      </c>
      <c r="O1861" t="s">
        <v>97</v>
      </c>
    </row>
    <row r="1862" spans="1:15" x14ac:dyDescent="0.2">
      <c r="A1862">
        <v>350</v>
      </c>
      <c r="B1862">
        <v>351</v>
      </c>
      <c r="C1862">
        <v>350</v>
      </c>
      <c r="D1862">
        <v>349</v>
      </c>
      <c r="E1862" t="s">
        <v>57</v>
      </c>
      <c r="F1862" t="s">
        <v>70</v>
      </c>
      <c r="G1862">
        <v>12</v>
      </c>
      <c r="H1862" t="s">
        <v>121</v>
      </c>
      <c r="I1862">
        <v>0.25</v>
      </c>
      <c r="J1862">
        <v>0.5</v>
      </c>
      <c r="K1862" t="s">
        <v>122</v>
      </c>
      <c r="L1862" t="s">
        <v>113</v>
      </c>
      <c r="M1862" t="s">
        <v>123</v>
      </c>
      <c r="N1862" t="s">
        <v>96</v>
      </c>
      <c r="O1862" t="s">
        <v>97</v>
      </c>
    </row>
    <row r="1863" spans="1:15" x14ac:dyDescent="0.2">
      <c r="A1863">
        <v>350</v>
      </c>
      <c r="B1863">
        <v>351</v>
      </c>
      <c r="C1863">
        <v>350</v>
      </c>
      <c r="D1863">
        <v>349</v>
      </c>
      <c r="E1863" t="s">
        <v>57</v>
      </c>
      <c r="F1863" t="s">
        <v>70</v>
      </c>
      <c r="G1863">
        <v>13</v>
      </c>
      <c r="H1863" t="s">
        <v>124</v>
      </c>
      <c r="I1863">
        <v>0.25</v>
      </c>
      <c r="J1863">
        <v>0.5</v>
      </c>
      <c r="K1863" t="s">
        <v>122</v>
      </c>
      <c r="L1863" t="s">
        <v>125</v>
      </c>
      <c r="M1863" t="s">
        <v>126</v>
      </c>
      <c r="N1863" t="s">
        <v>96</v>
      </c>
      <c r="O1863" t="s">
        <v>97</v>
      </c>
    </row>
    <row r="1864" spans="1:15" x14ac:dyDescent="0.2">
      <c r="A1864">
        <v>350</v>
      </c>
      <c r="B1864">
        <v>351</v>
      </c>
      <c r="C1864">
        <v>350</v>
      </c>
      <c r="D1864">
        <v>349</v>
      </c>
      <c r="E1864" t="s">
        <v>57</v>
      </c>
      <c r="F1864" t="s">
        <v>70</v>
      </c>
      <c r="G1864">
        <v>14</v>
      </c>
      <c r="H1864" t="s">
        <v>127</v>
      </c>
      <c r="I1864">
        <v>0.5</v>
      </c>
      <c r="J1864">
        <v>1</v>
      </c>
      <c r="K1864" t="s">
        <v>122</v>
      </c>
      <c r="L1864" t="s">
        <v>119</v>
      </c>
      <c r="M1864" t="s">
        <v>128</v>
      </c>
      <c r="N1864" t="s">
        <v>107</v>
      </c>
      <c r="O1864" t="s">
        <v>97</v>
      </c>
    </row>
    <row r="1865" spans="1:15" x14ac:dyDescent="0.2">
      <c r="A1865">
        <v>350</v>
      </c>
      <c r="B1865">
        <v>351</v>
      </c>
      <c r="C1865">
        <v>350</v>
      </c>
      <c r="D1865">
        <v>349</v>
      </c>
      <c r="E1865" t="s">
        <v>57</v>
      </c>
      <c r="F1865" t="s">
        <v>70</v>
      </c>
      <c r="G1865">
        <v>15</v>
      </c>
      <c r="H1865" t="s">
        <v>129</v>
      </c>
      <c r="I1865">
        <v>1</v>
      </c>
      <c r="J1865">
        <v>1</v>
      </c>
      <c r="K1865" t="s">
        <v>130</v>
      </c>
      <c r="L1865" t="s">
        <v>131</v>
      </c>
      <c r="M1865" t="s">
        <v>132</v>
      </c>
      <c r="N1865" t="s">
        <v>107</v>
      </c>
      <c r="O1865" t="s">
        <v>97</v>
      </c>
    </row>
    <row r="1866" spans="1:15" x14ac:dyDescent="0.2">
      <c r="A1866">
        <v>350</v>
      </c>
      <c r="B1866">
        <v>351</v>
      </c>
      <c r="C1866">
        <v>350</v>
      </c>
      <c r="D1866">
        <v>349</v>
      </c>
      <c r="E1866" t="s">
        <v>57</v>
      </c>
      <c r="F1866" t="s">
        <v>70</v>
      </c>
      <c r="G1866">
        <v>16</v>
      </c>
      <c r="H1866" t="s">
        <v>133</v>
      </c>
      <c r="I1866">
        <v>0</v>
      </c>
      <c r="J1866">
        <v>0</v>
      </c>
      <c r="K1866" t="e">
        <v>#N/A</v>
      </c>
      <c r="L1866" t="e">
        <v>#N/A</v>
      </c>
      <c r="M1866" t="e">
        <v>#N/A</v>
      </c>
      <c r="N1866" t="e">
        <v>#N/A</v>
      </c>
      <c r="O1866" t="s">
        <v>97</v>
      </c>
    </row>
    <row r="1867" spans="1:15" x14ac:dyDescent="0.2">
      <c r="A1867">
        <v>350</v>
      </c>
      <c r="B1867">
        <v>351</v>
      </c>
      <c r="C1867">
        <v>350</v>
      </c>
      <c r="D1867">
        <v>349</v>
      </c>
      <c r="E1867" t="s">
        <v>57</v>
      </c>
      <c r="F1867" t="s">
        <v>70</v>
      </c>
      <c r="G1867">
        <v>17</v>
      </c>
      <c r="H1867" t="s">
        <v>134</v>
      </c>
      <c r="I1867">
        <v>1</v>
      </c>
      <c r="J1867">
        <v>1</v>
      </c>
      <c r="K1867" t="s">
        <v>112</v>
      </c>
      <c r="L1867" t="s">
        <v>135</v>
      </c>
      <c r="M1867" t="s">
        <v>136</v>
      </c>
      <c r="N1867" t="s">
        <v>107</v>
      </c>
      <c r="O1867" t="s">
        <v>97</v>
      </c>
    </row>
    <row r="1868" spans="1:15" x14ac:dyDescent="0.2">
      <c r="A1868">
        <v>350</v>
      </c>
      <c r="B1868">
        <v>351</v>
      </c>
      <c r="C1868">
        <v>350</v>
      </c>
      <c r="D1868">
        <v>349</v>
      </c>
      <c r="E1868" t="s">
        <v>57</v>
      </c>
      <c r="F1868" t="s">
        <v>70</v>
      </c>
      <c r="G1868">
        <v>18</v>
      </c>
      <c r="H1868" t="s">
        <v>137</v>
      </c>
      <c r="I1868">
        <v>1</v>
      </c>
      <c r="J1868">
        <v>1</v>
      </c>
      <c r="K1868" t="s">
        <v>112</v>
      </c>
      <c r="L1868" t="s">
        <v>138</v>
      </c>
      <c r="M1868" t="s">
        <v>139</v>
      </c>
      <c r="N1868" t="s">
        <v>107</v>
      </c>
      <c r="O1868" t="s">
        <v>97</v>
      </c>
    </row>
    <row r="1869" spans="1:15" x14ac:dyDescent="0.2">
      <c r="A1869">
        <v>350</v>
      </c>
      <c r="B1869">
        <v>351</v>
      </c>
      <c r="C1869">
        <v>350</v>
      </c>
      <c r="D1869">
        <v>349</v>
      </c>
      <c r="E1869" t="s">
        <v>57</v>
      </c>
      <c r="F1869" t="s">
        <v>70</v>
      </c>
      <c r="G1869">
        <v>19</v>
      </c>
      <c r="H1869" t="s">
        <v>140</v>
      </c>
      <c r="I1869">
        <v>1</v>
      </c>
      <c r="J1869">
        <v>1</v>
      </c>
      <c r="K1869" t="s">
        <v>122</v>
      </c>
      <c r="L1869" t="s">
        <v>141</v>
      </c>
      <c r="M1869" t="s">
        <v>142</v>
      </c>
      <c r="N1869" t="s">
        <v>107</v>
      </c>
      <c r="O1869" t="s">
        <v>97</v>
      </c>
    </row>
    <row r="1870" spans="1:15" x14ac:dyDescent="0.2">
      <c r="A1870">
        <v>350</v>
      </c>
      <c r="B1870">
        <v>351</v>
      </c>
      <c r="C1870">
        <v>350</v>
      </c>
      <c r="D1870">
        <v>349</v>
      </c>
      <c r="E1870" t="s">
        <v>57</v>
      </c>
      <c r="F1870" t="s">
        <v>70</v>
      </c>
      <c r="G1870">
        <v>20</v>
      </c>
      <c r="H1870" t="s">
        <v>143</v>
      </c>
      <c r="I1870">
        <v>1</v>
      </c>
      <c r="J1870">
        <v>1</v>
      </c>
      <c r="K1870" t="s">
        <v>122</v>
      </c>
      <c r="L1870" t="s">
        <v>144</v>
      </c>
      <c r="M1870" t="s">
        <v>145</v>
      </c>
      <c r="N1870" t="s">
        <v>107</v>
      </c>
      <c r="O1870" t="s">
        <v>97</v>
      </c>
    </row>
    <row r="1871" spans="1:15" x14ac:dyDescent="0.2">
      <c r="A1871">
        <v>350</v>
      </c>
      <c r="B1871">
        <v>351</v>
      </c>
      <c r="C1871">
        <v>350</v>
      </c>
      <c r="D1871">
        <v>349</v>
      </c>
      <c r="E1871" t="s">
        <v>57</v>
      </c>
      <c r="F1871" t="s">
        <v>70</v>
      </c>
      <c r="G1871">
        <v>21</v>
      </c>
      <c r="H1871" t="s">
        <v>146</v>
      </c>
      <c r="I1871">
        <v>1</v>
      </c>
      <c r="J1871">
        <v>1</v>
      </c>
      <c r="K1871" t="s">
        <v>147</v>
      </c>
      <c r="L1871" t="s">
        <v>148</v>
      </c>
      <c r="M1871" t="s">
        <v>149</v>
      </c>
      <c r="N1871" t="s">
        <v>96</v>
      </c>
      <c r="O1871" t="s">
        <v>97</v>
      </c>
    </row>
    <row r="1872" spans="1:15" x14ac:dyDescent="0.2">
      <c r="A1872">
        <v>350</v>
      </c>
      <c r="B1872">
        <v>351</v>
      </c>
      <c r="C1872">
        <v>350</v>
      </c>
      <c r="D1872">
        <v>349</v>
      </c>
      <c r="E1872" t="s">
        <v>57</v>
      </c>
      <c r="F1872" t="s">
        <v>70</v>
      </c>
      <c r="G1872">
        <v>22</v>
      </c>
      <c r="H1872" t="s">
        <v>150</v>
      </c>
      <c r="I1872">
        <v>1</v>
      </c>
      <c r="J1872">
        <v>1</v>
      </c>
      <c r="K1872" t="s">
        <v>147</v>
      </c>
      <c r="L1872" t="s">
        <v>151</v>
      </c>
      <c r="M1872" t="s">
        <v>149</v>
      </c>
      <c r="N1872" t="s">
        <v>107</v>
      </c>
      <c r="O1872" t="s">
        <v>97</v>
      </c>
    </row>
    <row r="1873" spans="1:15" x14ac:dyDescent="0.2">
      <c r="A1873">
        <v>350</v>
      </c>
      <c r="B1873">
        <v>351</v>
      </c>
      <c r="C1873">
        <v>350</v>
      </c>
      <c r="D1873">
        <v>349</v>
      </c>
      <c r="E1873" t="s">
        <v>57</v>
      </c>
      <c r="F1873" t="s">
        <v>70</v>
      </c>
      <c r="G1873">
        <v>23</v>
      </c>
      <c r="H1873" t="s">
        <v>152</v>
      </c>
      <c r="I1873">
        <v>0</v>
      </c>
      <c r="J1873">
        <v>0</v>
      </c>
      <c r="K1873" t="s">
        <v>153</v>
      </c>
      <c r="L1873" t="s">
        <v>154</v>
      </c>
      <c r="M1873" t="s">
        <v>155</v>
      </c>
      <c r="N1873" t="s">
        <v>107</v>
      </c>
      <c r="O1873" t="s">
        <v>97</v>
      </c>
    </row>
    <row r="1874" spans="1:15" x14ac:dyDescent="0.2">
      <c r="A1874">
        <v>350</v>
      </c>
      <c r="B1874">
        <v>351</v>
      </c>
      <c r="C1874">
        <v>350</v>
      </c>
      <c r="D1874">
        <v>349</v>
      </c>
      <c r="E1874" t="s">
        <v>57</v>
      </c>
      <c r="F1874" t="s">
        <v>70</v>
      </c>
      <c r="G1874">
        <v>24</v>
      </c>
      <c r="H1874" t="s">
        <v>156</v>
      </c>
      <c r="I1874">
        <v>0.5</v>
      </c>
      <c r="J1874">
        <v>0.5</v>
      </c>
      <c r="K1874" t="s">
        <v>122</v>
      </c>
      <c r="L1874" t="s">
        <v>157</v>
      </c>
      <c r="M1874" t="s">
        <v>158</v>
      </c>
      <c r="N1874" t="s">
        <v>107</v>
      </c>
      <c r="O1874" t="s">
        <v>97</v>
      </c>
    </row>
    <row r="1875" spans="1:15" x14ac:dyDescent="0.2">
      <c r="A1875">
        <v>350</v>
      </c>
      <c r="B1875">
        <v>351</v>
      </c>
      <c r="C1875">
        <v>350</v>
      </c>
      <c r="D1875">
        <v>349</v>
      </c>
      <c r="E1875" t="s">
        <v>57</v>
      </c>
      <c r="F1875" t="s">
        <v>70</v>
      </c>
      <c r="G1875">
        <v>25</v>
      </c>
      <c r="H1875" t="s">
        <v>156</v>
      </c>
      <c r="I1875">
        <v>0.5</v>
      </c>
      <c r="J1875">
        <v>0.5</v>
      </c>
      <c r="K1875" t="s">
        <v>122</v>
      </c>
      <c r="L1875" t="s">
        <v>157</v>
      </c>
      <c r="M1875" t="s">
        <v>158</v>
      </c>
      <c r="N1875" t="s">
        <v>107</v>
      </c>
      <c r="O1875" t="s">
        <v>97</v>
      </c>
    </row>
    <row r="1876" spans="1:15" x14ac:dyDescent="0.2">
      <c r="A1876">
        <v>350</v>
      </c>
      <c r="B1876">
        <v>351</v>
      </c>
      <c r="C1876">
        <v>350</v>
      </c>
      <c r="D1876">
        <v>349</v>
      </c>
      <c r="E1876" t="s">
        <v>57</v>
      </c>
      <c r="F1876" t="s">
        <v>70</v>
      </c>
      <c r="G1876">
        <v>26</v>
      </c>
      <c r="H1876" t="s">
        <v>152</v>
      </c>
      <c r="I1876">
        <v>0</v>
      </c>
      <c r="J1876">
        <v>0</v>
      </c>
      <c r="K1876" t="s">
        <v>153</v>
      </c>
      <c r="L1876" t="s">
        <v>154</v>
      </c>
      <c r="M1876" t="s">
        <v>155</v>
      </c>
      <c r="N1876" t="s">
        <v>107</v>
      </c>
      <c r="O1876" t="s">
        <v>97</v>
      </c>
    </row>
    <row r="1877" spans="1:15" x14ac:dyDescent="0.2">
      <c r="A1877">
        <v>350</v>
      </c>
      <c r="B1877">
        <v>351</v>
      </c>
      <c r="C1877">
        <v>350</v>
      </c>
      <c r="D1877">
        <v>349</v>
      </c>
      <c r="E1877" t="s">
        <v>57</v>
      </c>
      <c r="F1877" t="s">
        <v>70</v>
      </c>
      <c r="G1877">
        <v>27</v>
      </c>
      <c r="H1877" t="s">
        <v>159</v>
      </c>
      <c r="I1877">
        <v>0.5</v>
      </c>
      <c r="J1877">
        <v>0.5</v>
      </c>
      <c r="K1877" t="s">
        <v>122</v>
      </c>
      <c r="L1877" t="s">
        <v>160</v>
      </c>
      <c r="M1877" t="s">
        <v>161</v>
      </c>
      <c r="N1877" t="s">
        <v>107</v>
      </c>
      <c r="O1877" t="s">
        <v>97</v>
      </c>
    </row>
    <row r="1878" spans="1:15" x14ac:dyDescent="0.2">
      <c r="A1878">
        <v>350</v>
      </c>
      <c r="B1878">
        <v>351</v>
      </c>
      <c r="C1878">
        <v>350</v>
      </c>
      <c r="D1878">
        <v>349</v>
      </c>
      <c r="E1878" t="s">
        <v>57</v>
      </c>
      <c r="F1878" t="s">
        <v>70</v>
      </c>
      <c r="G1878">
        <v>28</v>
      </c>
      <c r="H1878" t="s">
        <v>159</v>
      </c>
      <c r="I1878">
        <v>0.5</v>
      </c>
      <c r="J1878">
        <v>0.5</v>
      </c>
      <c r="K1878" t="s">
        <v>122</v>
      </c>
      <c r="L1878" t="s">
        <v>160</v>
      </c>
      <c r="M1878" t="s">
        <v>161</v>
      </c>
      <c r="N1878" t="s">
        <v>107</v>
      </c>
      <c r="O1878" t="s">
        <v>97</v>
      </c>
    </row>
    <row r="1879" spans="1:15" x14ac:dyDescent="0.2">
      <c r="A1879">
        <v>350</v>
      </c>
      <c r="B1879">
        <v>351</v>
      </c>
      <c r="C1879">
        <v>350</v>
      </c>
      <c r="D1879">
        <v>349</v>
      </c>
      <c r="E1879" t="s">
        <v>57</v>
      </c>
      <c r="F1879" t="s">
        <v>70</v>
      </c>
      <c r="G1879">
        <v>29</v>
      </c>
      <c r="H1879" t="s">
        <v>152</v>
      </c>
      <c r="I1879">
        <v>0</v>
      </c>
      <c r="J1879">
        <v>0</v>
      </c>
      <c r="K1879" t="s">
        <v>153</v>
      </c>
      <c r="L1879" t="s">
        <v>154</v>
      </c>
      <c r="M1879" t="s">
        <v>155</v>
      </c>
      <c r="N1879" t="s">
        <v>107</v>
      </c>
      <c r="O1879" t="s">
        <v>97</v>
      </c>
    </row>
    <row r="1880" spans="1:15" x14ac:dyDescent="0.2">
      <c r="A1880">
        <v>350</v>
      </c>
      <c r="B1880">
        <v>351</v>
      </c>
      <c r="C1880">
        <v>350</v>
      </c>
      <c r="D1880">
        <v>349</v>
      </c>
      <c r="E1880" t="s">
        <v>57</v>
      </c>
      <c r="F1880" t="s">
        <v>70</v>
      </c>
      <c r="G1880">
        <v>30</v>
      </c>
      <c r="H1880" t="s">
        <v>162</v>
      </c>
      <c r="I1880">
        <v>1</v>
      </c>
      <c r="J1880">
        <v>1</v>
      </c>
      <c r="K1880" t="s">
        <v>112</v>
      </c>
      <c r="L1880" t="s">
        <v>163</v>
      </c>
      <c r="M1880" t="s">
        <v>164</v>
      </c>
      <c r="N1880" t="s">
        <v>107</v>
      </c>
      <c r="O1880" t="s">
        <v>97</v>
      </c>
    </row>
    <row r="1881" spans="1:15" x14ac:dyDescent="0.2">
      <c r="A1881">
        <v>350</v>
      </c>
      <c r="B1881">
        <v>351</v>
      </c>
      <c r="C1881">
        <v>350</v>
      </c>
      <c r="D1881">
        <v>349</v>
      </c>
      <c r="E1881" t="s">
        <v>57</v>
      </c>
      <c r="F1881" t="s">
        <v>70</v>
      </c>
      <c r="G1881">
        <v>31</v>
      </c>
      <c r="H1881" t="s">
        <v>162</v>
      </c>
      <c r="I1881">
        <v>0</v>
      </c>
      <c r="J1881">
        <v>0</v>
      </c>
      <c r="K1881" t="s">
        <v>112</v>
      </c>
      <c r="L1881" t="s">
        <v>163</v>
      </c>
      <c r="M1881" t="s">
        <v>164</v>
      </c>
      <c r="N1881" t="s">
        <v>107</v>
      </c>
      <c r="O1881" t="s">
        <v>97</v>
      </c>
    </row>
    <row r="1882" spans="1:15" x14ac:dyDescent="0.2">
      <c r="A1882">
        <v>350</v>
      </c>
      <c r="B1882">
        <v>351</v>
      </c>
      <c r="C1882">
        <v>350</v>
      </c>
      <c r="D1882">
        <v>349</v>
      </c>
      <c r="E1882" t="s">
        <v>57</v>
      </c>
      <c r="F1882" t="s">
        <v>70</v>
      </c>
      <c r="G1882">
        <v>32</v>
      </c>
      <c r="H1882" t="s">
        <v>162</v>
      </c>
      <c r="I1882">
        <v>0</v>
      </c>
      <c r="J1882">
        <v>0</v>
      </c>
      <c r="K1882" t="s">
        <v>112</v>
      </c>
      <c r="L1882" t="s">
        <v>163</v>
      </c>
      <c r="M1882" t="s">
        <v>164</v>
      </c>
      <c r="N1882" t="s">
        <v>107</v>
      </c>
      <c r="O1882" t="s">
        <v>97</v>
      </c>
    </row>
    <row r="1883" spans="1:15" x14ac:dyDescent="0.2">
      <c r="A1883">
        <v>350</v>
      </c>
      <c r="B1883">
        <v>351</v>
      </c>
      <c r="C1883">
        <v>350</v>
      </c>
      <c r="D1883">
        <v>349</v>
      </c>
      <c r="E1883" t="s">
        <v>57</v>
      </c>
      <c r="F1883" t="s">
        <v>70</v>
      </c>
      <c r="G1883">
        <v>33</v>
      </c>
      <c r="H1883" t="s">
        <v>152</v>
      </c>
      <c r="I1883">
        <v>1</v>
      </c>
      <c r="J1883">
        <v>1</v>
      </c>
      <c r="K1883" t="s">
        <v>153</v>
      </c>
      <c r="L1883" t="s">
        <v>154</v>
      </c>
      <c r="M1883" t="s">
        <v>155</v>
      </c>
      <c r="N1883" t="s">
        <v>107</v>
      </c>
      <c r="O1883" t="s">
        <v>97</v>
      </c>
    </row>
    <row r="1884" spans="1:15" x14ac:dyDescent="0.2">
      <c r="A1884">
        <v>350</v>
      </c>
      <c r="B1884">
        <v>351</v>
      </c>
      <c r="C1884">
        <v>350</v>
      </c>
      <c r="D1884">
        <v>349</v>
      </c>
      <c r="E1884" t="s">
        <v>57</v>
      </c>
      <c r="F1884" t="s">
        <v>70</v>
      </c>
      <c r="G1884">
        <v>34</v>
      </c>
      <c r="H1884" t="s">
        <v>152</v>
      </c>
      <c r="I1884">
        <v>0</v>
      </c>
      <c r="J1884">
        <v>0</v>
      </c>
      <c r="K1884" t="s">
        <v>153</v>
      </c>
      <c r="L1884" t="s">
        <v>154</v>
      </c>
      <c r="M1884" t="s">
        <v>155</v>
      </c>
      <c r="N1884" t="s">
        <v>107</v>
      </c>
      <c r="O1884" t="s">
        <v>97</v>
      </c>
    </row>
    <row r="1885" spans="1:15" x14ac:dyDescent="0.2">
      <c r="A1885">
        <v>350</v>
      </c>
      <c r="B1885">
        <v>351</v>
      </c>
      <c r="C1885">
        <v>350</v>
      </c>
      <c r="D1885">
        <v>349</v>
      </c>
      <c r="E1885" t="s">
        <v>57</v>
      </c>
      <c r="F1885" t="s">
        <v>70</v>
      </c>
      <c r="G1885">
        <v>35</v>
      </c>
      <c r="H1885" t="s">
        <v>165</v>
      </c>
      <c r="I1885">
        <v>1</v>
      </c>
      <c r="J1885">
        <v>1</v>
      </c>
      <c r="K1885" t="s">
        <v>166</v>
      </c>
      <c r="L1885" t="s">
        <v>167</v>
      </c>
      <c r="M1885" t="s">
        <v>168</v>
      </c>
      <c r="N1885" t="s">
        <v>107</v>
      </c>
      <c r="O1885" t="s">
        <v>97</v>
      </c>
    </row>
    <row r="1886" spans="1:15" x14ac:dyDescent="0.2">
      <c r="A1886">
        <v>350</v>
      </c>
      <c r="B1886">
        <v>351</v>
      </c>
      <c r="C1886">
        <v>350</v>
      </c>
      <c r="D1886">
        <v>349</v>
      </c>
      <c r="E1886" t="s">
        <v>57</v>
      </c>
      <c r="F1886" t="s">
        <v>70</v>
      </c>
      <c r="G1886">
        <v>36</v>
      </c>
      <c r="H1886" t="s">
        <v>169</v>
      </c>
      <c r="I1886">
        <v>0</v>
      </c>
      <c r="J1886">
        <v>0</v>
      </c>
      <c r="K1886" t="e">
        <v>#N/A</v>
      </c>
      <c r="L1886" t="e">
        <v>#N/A</v>
      </c>
      <c r="M1886" t="e">
        <v>#N/A</v>
      </c>
      <c r="N1886" t="e">
        <v>#N/A</v>
      </c>
      <c r="O1886" t="s">
        <v>97</v>
      </c>
    </row>
    <row r="1887" spans="1:15" x14ac:dyDescent="0.2">
      <c r="A1887">
        <v>350</v>
      </c>
      <c r="B1887">
        <v>351</v>
      </c>
      <c r="C1887">
        <v>350</v>
      </c>
      <c r="D1887">
        <v>349</v>
      </c>
      <c r="E1887" t="s">
        <v>57</v>
      </c>
      <c r="F1887" t="s">
        <v>70</v>
      </c>
      <c r="G1887">
        <v>38</v>
      </c>
      <c r="H1887" t="s">
        <v>170</v>
      </c>
      <c r="I1887">
        <v>0</v>
      </c>
      <c r="J1887">
        <v>0</v>
      </c>
      <c r="K1887" t="s">
        <v>112</v>
      </c>
      <c r="L1887" t="s">
        <v>171</v>
      </c>
      <c r="M1887" t="s">
        <v>172</v>
      </c>
      <c r="N1887" t="s">
        <v>96</v>
      </c>
      <c r="O1887" t="s">
        <v>97</v>
      </c>
    </row>
    <row r="1888" spans="1:15" x14ac:dyDescent="0.2">
      <c r="A1888">
        <v>350</v>
      </c>
      <c r="B1888">
        <v>351</v>
      </c>
      <c r="C1888">
        <v>350</v>
      </c>
      <c r="D1888">
        <v>349</v>
      </c>
      <c r="E1888" t="s">
        <v>57</v>
      </c>
      <c r="F1888" t="s">
        <v>70</v>
      </c>
      <c r="G1888">
        <v>39</v>
      </c>
      <c r="H1888" t="s">
        <v>170</v>
      </c>
      <c r="I1888">
        <v>0</v>
      </c>
      <c r="J1888">
        <v>0</v>
      </c>
      <c r="K1888" t="s">
        <v>112</v>
      </c>
      <c r="L1888" t="s">
        <v>171</v>
      </c>
      <c r="M1888" t="s">
        <v>172</v>
      </c>
      <c r="N1888" t="s">
        <v>96</v>
      </c>
      <c r="O1888" t="s">
        <v>97</v>
      </c>
    </row>
    <row r="1889" spans="1:15" x14ac:dyDescent="0.2">
      <c r="A1889">
        <v>350</v>
      </c>
      <c r="B1889">
        <v>351</v>
      </c>
      <c r="C1889">
        <v>350</v>
      </c>
      <c r="D1889">
        <v>349</v>
      </c>
      <c r="E1889" t="s">
        <v>57</v>
      </c>
      <c r="F1889" t="s">
        <v>70</v>
      </c>
      <c r="G1889">
        <v>40</v>
      </c>
      <c r="H1889" t="s">
        <v>170</v>
      </c>
      <c r="I1889">
        <v>0</v>
      </c>
      <c r="J1889">
        <v>0</v>
      </c>
      <c r="K1889" t="s">
        <v>112</v>
      </c>
      <c r="L1889" t="s">
        <v>171</v>
      </c>
      <c r="M1889" t="s">
        <v>172</v>
      </c>
      <c r="N1889" t="s">
        <v>96</v>
      </c>
      <c r="O1889" t="s">
        <v>97</v>
      </c>
    </row>
    <row r="1890" spans="1:15" x14ac:dyDescent="0.2">
      <c r="A1890">
        <v>350</v>
      </c>
      <c r="B1890">
        <v>351</v>
      </c>
      <c r="C1890">
        <v>350</v>
      </c>
      <c r="D1890">
        <v>349</v>
      </c>
      <c r="E1890" t="s">
        <v>57</v>
      </c>
      <c r="F1890" t="s">
        <v>70</v>
      </c>
      <c r="G1890">
        <v>41</v>
      </c>
      <c r="H1890" t="s">
        <v>173</v>
      </c>
      <c r="I1890">
        <v>0</v>
      </c>
      <c r="J1890">
        <v>0</v>
      </c>
      <c r="K1890" t="s">
        <v>166</v>
      </c>
      <c r="L1890" t="s">
        <v>174</v>
      </c>
      <c r="M1890" t="s">
        <v>175</v>
      </c>
      <c r="N1890" t="s">
        <v>107</v>
      </c>
      <c r="O1890" t="s">
        <v>97</v>
      </c>
    </row>
    <row r="1891" spans="1:15" x14ac:dyDescent="0.2">
      <c r="A1891">
        <v>350</v>
      </c>
      <c r="B1891">
        <v>351</v>
      </c>
      <c r="C1891">
        <v>350</v>
      </c>
      <c r="D1891">
        <v>349</v>
      </c>
      <c r="E1891" t="s">
        <v>57</v>
      </c>
      <c r="F1891" t="s">
        <v>70</v>
      </c>
      <c r="G1891">
        <v>42</v>
      </c>
      <c r="H1891" t="s">
        <v>176</v>
      </c>
      <c r="I1891">
        <v>0</v>
      </c>
      <c r="J1891">
        <v>0</v>
      </c>
      <c r="K1891" t="s">
        <v>153</v>
      </c>
      <c r="L1891" t="s">
        <v>177</v>
      </c>
      <c r="M1891" t="s">
        <v>178</v>
      </c>
      <c r="N1891" t="s">
        <v>107</v>
      </c>
      <c r="O1891" t="s">
        <v>97</v>
      </c>
    </row>
    <row r="1892" spans="1:15" x14ac:dyDescent="0.2">
      <c r="A1892">
        <v>350</v>
      </c>
      <c r="B1892">
        <v>351</v>
      </c>
      <c r="C1892">
        <v>350</v>
      </c>
      <c r="D1892">
        <v>349</v>
      </c>
      <c r="E1892" t="s">
        <v>57</v>
      </c>
      <c r="F1892" t="s">
        <v>70</v>
      </c>
      <c r="G1892">
        <v>43</v>
      </c>
      <c r="H1892" t="s">
        <v>179</v>
      </c>
      <c r="I1892">
        <v>0</v>
      </c>
      <c r="J1892">
        <v>0</v>
      </c>
      <c r="K1892" t="s">
        <v>166</v>
      </c>
      <c r="L1892" t="s">
        <v>180</v>
      </c>
      <c r="M1892" t="s">
        <v>181</v>
      </c>
      <c r="N1892" t="s">
        <v>107</v>
      </c>
      <c r="O1892" t="s">
        <v>97</v>
      </c>
    </row>
    <row r="1893" spans="1:15" x14ac:dyDescent="0.2">
      <c r="A1893">
        <v>350</v>
      </c>
      <c r="B1893">
        <v>351</v>
      </c>
      <c r="C1893">
        <v>350</v>
      </c>
      <c r="D1893">
        <v>349</v>
      </c>
      <c r="E1893" t="s">
        <v>57</v>
      </c>
      <c r="F1893" t="s">
        <v>70</v>
      </c>
      <c r="G1893">
        <v>44</v>
      </c>
      <c r="H1893" t="s">
        <v>182</v>
      </c>
      <c r="I1893">
        <v>1</v>
      </c>
      <c r="J1893">
        <v>1</v>
      </c>
      <c r="K1893" t="s">
        <v>166</v>
      </c>
      <c r="L1893" t="s">
        <v>183</v>
      </c>
      <c r="M1893" t="s">
        <v>184</v>
      </c>
      <c r="N1893" t="s">
        <v>107</v>
      </c>
      <c r="O1893" t="s">
        <v>97</v>
      </c>
    </row>
    <row r="1894" spans="1:15" x14ac:dyDescent="0.2">
      <c r="A1894">
        <v>350</v>
      </c>
      <c r="B1894">
        <v>351</v>
      </c>
      <c r="C1894">
        <v>350</v>
      </c>
      <c r="D1894">
        <v>349</v>
      </c>
      <c r="E1894" t="s">
        <v>57</v>
      </c>
      <c r="F1894" t="s">
        <v>70</v>
      </c>
      <c r="G1894">
        <v>45</v>
      </c>
      <c r="H1894" t="s">
        <v>185</v>
      </c>
      <c r="I1894">
        <v>0</v>
      </c>
      <c r="J1894">
        <v>1</v>
      </c>
      <c r="K1894" t="s">
        <v>166</v>
      </c>
      <c r="L1894" t="s">
        <v>186</v>
      </c>
      <c r="M1894" t="s">
        <v>139</v>
      </c>
      <c r="N1894" t="s">
        <v>107</v>
      </c>
      <c r="O1894" t="s">
        <v>97</v>
      </c>
    </row>
    <row r="1895" spans="1:15" x14ac:dyDescent="0.2">
      <c r="A1895">
        <v>350</v>
      </c>
      <c r="B1895">
        <v>351</v>
      </c>
      <c r="C1895">
        <v>350</v>
      </c>
      <c r="D1895">
        <v>349</v>
      </c>
      <c r="E1895" t="s">
        <v>57</v>
      </c>
      <c r="F1895" t="s">
        <v>70</v>
      </c>
      <c r="G1895">
        <v>47</v>
      </c>
      <c r="H1895" t="s">
        <v>187</v>
      </c>
      <c r="I1895">
        <v>0</v>
      </c>
      <c r="J1895">
        <v>0.2</v>
      </c>
      <c r="K1895" t="s">
        <v>93</v>
      </c>
      <c r="L1895" t="s">
        <v>188</v>
      </c>
      <c r="M1895" t="s">
        <v>95</v>
      </c>
      <c r="N1895" t="s">
        <v>96</v>
      </c>
      <c r="O1895" t="s">
        <v>97</v>
      </c>
    </row>
    <row r="1896" spans="1:15" x14ac:dyDescent="0.2">
      <c r="A1896">
        <v>350</v>
      </c>
      <c r="B1896">
        <v>351</v>
      </c>
      <c r="C1896">
        <v>350</v>
      </c>
      <c r="D1896">
        <v>349</v>
      </c>
      <c r="E1896" t="s">
        <v>57</v>
      </c>
      <c r="F1896" t="s">
        <v>70</v>
      </c>
      <c r="G1896">
        <v>48</v>
      </c>
      <c r="H1896" t="s">
        <v>189</v>
      </c>
      <c r="I1896">
        <v>0.2</v>
      </c>
      <c r="J1896">
        <v>0.2</v>
      </c>
      <c r="K1896" t="s">
        <v>93</v>
      </c>
      <c r="L1896" t="s">
        <v>190</v>
      </c>
      <c r="M1896" t="s">
        <v>95</v>
      </c>
      <c r="N1896" t="s">
        <v>96</v>
      </c>
      <c r="O1896" t="s">
        <v>97</v>
      </c>
    </row>
    <row r="1897" spans="1:15" x14ac:dyDescent="0.2">
      <c r="A1897">
        <v>350</v>
      </c>
      <c r="B1897">
        <v>351</v>
      </c>
      <c r="C1897">
        <v>350</v>
      </c>
      <c r="D1897">
        <v>349</v>
      </c>
      <c r="E1897" t="s">
        <v>57</v>
      </c>
      <c r="F1897" t="s">
        <v>70</v>
      </c>
      <c r="G1897">
        <v>49</v>
      </c>
      <c r="H1897" t="s">
        <v>191</v>
      </c>
      <c r="I1897">
        <v>0.2</v>
      </c>
      <c r="J1897">
        <v>0.2</v>
      </c>
      <c r="K1897" t="s">
        <v>93</v>
      </c>
      <c r="L1897" t="s">
        <v>192</v>
      </c>
      <c r="M1897" t="s">
        <v>95</v>
      </c>
      <c r="N1897" t="s">
        <v>96</v>
      </c>
      <c r="O1897" t="s">
        <v>97</v>
      </c>
    </row>
    <row r="1898" spans="1:15" x14ac:dyDescent="0.2">
      <c r="A1898">
        <v>350</v>
      </c>
      <c r="B1898">
        <v>351</v>
      </c>
      <c r="C1898">
        <v>350</v>
      </c>
      <c r="D1898">
        <v>349</v>
      </c>
      <c r="E1898" t="s">
        <v>57</v>
      </c>
      <c r="F1898" t="s">
        <v>70</v>
      </c>
      <c r="G1898">
        <v>50</v>
      </c>
      <c r="H1898" t="s">
        <v>193</v>
      </c>
      <c r="I1898">
        <v>0</v>
      </c>
      <c r="J1898">
        <v>0</v>
      </c>
      <c r="K1898" t="s">
        <v>93</v>
      </c>
      <c r="L1898" t="s">
        <v>194</v>
      </c>
      <c r="M1898" t="s">
        <v>95</v>
      </c>
      <c r="N1898" t="s">
        <v>96</v>
      </c>
      <c r="O1898" t="s">
        <v>97</v>
      </c>
    </row>
    <row r="1899" spans="1:15" x14ac:dyDescent="0.2">
      <c r="A1899">
        <v>350</v>
      </c>
      <c r="B1899">
        <v>351</v>
      </c>
      <c r="C1899">
        <v>350</v>
      </c>
      <c r="D1899">
        <v>349</v>
      </c>
      <c r="E1899" t="s">
        <v>57</v>
      </c>
      <c r="F1899" t="s">
        <v>70</v>
      </c>
      <c r="G1899">
        <v>51</v>
      </c>
      <c r="H1899" t="s">
        <v>193</v>
      </c>
      <c r="I1899">
        <v>0.1</v>
      </c>
      <c r="J1899">
        <v>0.1</v>
      </c>
      <c r="K1899" t="s">
        <v>93</v>
      </c>
      <c r="L1899" t="s">
        <v>194</v>
      </c>
      <c r="M1899" t="s">
        <v>95</v>
      </c>
      <c r="N1899" t="s">
        <v>96</v>
      </c>
      <c r="O1899" t="s">
        <v>97</v>
      </c>
    </row>
    <row r="1900" spans="1:15" x14ac:dyDescent="0.2">
      <c r="A1900">
        <v>350</v>
      </c>
      <c r="B1900">
        <v>351</v>
      </c>
      <c r="C1900">
        <v>350</v>
      </c>
      <c r="D1900">
        <v>349</v>
      </c>
      <c r="E1900" t="s">
        <v>57</v>
      </c>
      <c r="F1900" t="s">
        <v>70</v>
      </c>
      <c r="G1900">
        <v>97</v>
      </c>
      <c r="H1900" t="s">
        <v>152</v>
      </c>
      <c r="I1900">
        <v>0.25</v>
      </c>
      <c r="J1900">
        <v>0.25</v>
      </c>
      <c r="K1900" t="s">
        <v>153</v>
      </c>
      <c r="L1900" t="s">
        <v>154</v>
      </c>
      <c r="M1900" t="s">
        <v>155</v>
      </c>
      <c r="N1900" t="s">
        <v>107</v>
      </c>
      <c r="O1900" t="s">
        <v>97</v>
      </c>
    </row>
    <row r="1901" spans="1:15" x14ac:dyDescent="0.2">
      <c r="A1901">
        <v>350</v>
      </c>
      <c r="B1901">
        <v>351</v>
      </c>
      <c r="C1901">
        <v>350</v>
      </c>
      <c r="D1901">
        <v>349</v>
      </c>
      <c r="E1901" t="s">
        <v>57</v>
      </c>
      <c r="F1901" t="s">
        <v>70</v>
      </c>
      <c r="G1901">
        <v>96</v>
      </c>
      <c r="H1901" t="s">
        <v>152</v>
      </c>
      <c r="I1901">
        <v>0</v>
      </c>
      <c r="J1901">
        <v>0</v>
      </c>
      <c r="K1901" t="s">
        <v>153</v>
      </c>
      <c r="L1901" t="s">
        <v>154</v>
      </c>
      <c r="M1901" t="s">
        <v>155</v>
      </c>
      <c r="N1901" t="s">
        <v>107</v>
      </c>
      <c r="O1901" t="s">
        <v>97</v>
      </c>
    </row>
    <row r="1902" spans="1:15" x14ac:dyDescent="0.2">
      <c r="A1902">
        <v>350</v>
      </c>
      <c r="B1902">
        <v>351</v>
      </c>
      <c r="C1902">
        <v>350</v>
      </c>
      <c r="D1902">
        <v>349</v>
      </c>
      <c r="E1902" t="s">
        <v>57</v>
      </c>
      <c r="F1902" t="s">
        <v>70</v>
      </c>
      <c r="G1902">
        <v>99</v>
      </c>
      <c r="H1902" t="s">
        <v>152</v>
      </c>
      <c r="I1902">
        <v>0</v>
      </c>
      <c r="J1902">
        <v>0</v>
      </c>
      <c r="K1902" t="s">
        <v>153</v>
      </c>
      <c r="L1902" t="s">
        <v>154</v>
      </c>
      <c r="M1902" t="s">
        <v>155</v>
      </c>
      <c r="N1902" t="s">
        <v>107</v>
      </c>
      <c r="O1902" t="s">
        <v>97</v>
      </c>
    </row>
    <row r="1903" spans="1:15" x14ac:dyDescent="0.2">
      <c r="A1903">
        <v>350</v>
      </c>
      <c r="B1903">
        <v>351</v>
      </c>
      <c r="C1903">
        <v>350</v>
      </c>
      <c r="D1903">
        <v>349</v>
      </c>
      <c r="E1903" t="s">
        <v>57</v>
      </c>
      <c r="F1903" t="s">
        <v>70</v>
      </c>
      <c r="G1903">
        <v>98</v>
      </c>
      <c r="H1903" t="s">
        <v>204</v>
      </c>
      <c r="I1903">
        <v>0</v>
      </c>
      <c r="J1903">
        <v>1</v>
      </c>
      <c r="K1903" t="s">
        <v>122</v>
      </c>
      <c r="L1903" t="s">
        <v>205</v>
      </c>
      <c r="M1903" t="s">
        <v>206</v>
      </c>
      <c r="N1903" t="s">
        <v>207</v>
      </c>
      <c r="O1903" t="s">
        <v>97</v>
      </c>
    </row>
    <row r="1904" spans="1:15" x14ac:dyDescent="0.2">
      <c r="A1904">
        <v>345</v>
      </c>
      <c r="B1904">
        <v>346</v>
      </c>
      <c r="C1904">
        <v>345</v>
      </c>
      <c r="D1904">
        <v>344</v>
      </c>
      <c r="E1904" t="s">
        <v>57</v>
      </c>
      <c r="F1904" t="s">
        <v>69</v>
      </c>
      <c r="G1904">
        <v>1</v>
      </c>
      <c r="H1904" t="s">
        <v>92</v>
      </c>
      <c r="I1904">
        <v>0.2</v>
      </c>
      <c r="J1904">
        <v>0.2</v>
      </c>
      <c r="K1904" t="s">
        <v>93</v>
      </c>
      <c r="L1904" t="s">
        <v>94</v>
      </c>
      <c r="M1904" t="s">
        <v>95</v>
      </c>
      <c r="N1904" t="s">
        <v>96</v>
      </c>
      <c r="O1904" t="s">
        <v>97</v>
      </c>
    </row>
    <row r="1905" spans="1:15" x14ac:dyDescent="0.2">
      <c r="A1905">
        <v>345</v>
      </c>
      <c r="B1905">
        <v>346</v>
      </c>
      <c r="C1905">
        <v>345</v>
      </c>
      <c r="D1905">
        <v>344</v>
      </c>
      <c r="E1905" t="s">
        <v>57</v>
      </c>
      <c r="F1905" t="s">
        <v>69</v>
      </c>
      <c r="G1905">
        <v>2</v>
      </c>
      <c r="H1905" t="s">
        <v>98</v>
      </c>
      <c r="I1905">
        <v>0.25</v>
      </c>
      <c r="J1905">
        <v>0.5</v>
      </c>
      <c r="K1905" t="s">
        <v>93</v>
      </c>
      <c r="L1905" t="s">
        <v>99</v>
      </c>
      <c r="M1905" t="s">
        <v>95</v>
      </c>
      <c r="N1905" t="s">
        <v>96</v>
      </c>
      <c r="O1905" t="s">
        <v>97</v>
      </c>
    </row>
    <row r="1906" spans="1:15" x14ac:dyDescent="0.2">
      <c r="A1906">
        <v>345</v>
      </c>
      <c r="B1906">
        <v>346</v>
      </c>
      <c r="C1906">
        <v>345</v>
      </c>
      <c r="D1906">
        <v>344</v>
      </c>
      <c r="E1906" t="s">
        <v>57</v>
      </c>
      <c r="F1906" t="s">
        <v>69</v>
      </c>
      <c r="G1906">
        <v>3</v>
      </c>
      <c r="H1906" t="s">
        <v>100</v>
      </c>
      <c r="I1906">
        <v>0</v>
      </c>
      <c r="J1906">
        <v>1</v>
      </c>
      <c r="K1906" t="s">
        <v>101</v>
      </c>
      <c r="L1906" t="s">
        <v>102</v>
      </c>
      <c r="M1906" t="s">
        <v>103</v>
      </c>
      <c r="N1906" t="s">
        <v>96</v>
      </c>
      <c r="O1906" t="s">
        <v>97</v>
      </c>
    </row>
    <row r="1907" spans="1:15" x14ac:dyDescent="0.2">
      <c r="A1907">
        <v>345</v>
      </c>
      <c r="B1907">
        <v>346</v>
      </c>
      <c r="C1907">
        <v>345</v>
      </c>
      <c r="D1907">
        <v>344</v>
      </c>
      <c r="E1907" t="s">
        <v>57</v>
      </c>
      <c r="F1907" t="s">
        <v>69</v>
      </c>
      <c r="G1907">
        <v>4</v>
      </c>
      <c r="H1907" t="s">
        <v>104</v>
      </c>
      <c r="I1907">
        <v>0.5</v>
      </c>
      <c r="J1907">
        <v>1</v>
      </c>
      <c r="K1907" t="s">
        <v>101</v>
      </c>
      <c r="L1907" t="s">
        <v>105</v>
      </c>
      <c r="M1907" t="s">
        <v>106</v>
      </c>
      <c r="N1907" t="s">
        <v>107</v>
      </c>
      <c r="O1907" t="s">
        <v>97</v>
      </c>
    </row>
    <row r="1908" spans="1:15" x14ac:dyDescent="0.2">
      <c r="A1908">
        <v>345</v>
      </c>
      <c r="B1908">
        <v>346</v>
      </c>
      <c r="C1908">
        <v>345</v>
      </c>
      <c r="D1908">
        <v>344</v>
      </c>
      <c r="E1908" t="s">
        <v>57</v>
      </c>
      <c r="F1908" t="s">
        <v>69</v>
      </c>
      <c r="G1908">
        <v>5</v>
      </c>
      <c r="H1908" t="s">
        <v>108</v>
      </c>
      <c r="I1908">
        <v>0</v>
      </c>
      <c r="J1908">
        <v>1</v>
      </c>
      <c r="K1908" t="s">
        <v>101</v>
      </c>
      <c r="L1908" t="s">
        <v>109</v>
      </c>
      <c r="M1908" t="s">
        <v>110</v>
      </c>
      <c r="N1908" t="s">
        <v>107</v>
      </c>
      <c r="O1908" t="s">
        <v>97</v>
      </c>
    </row>
    <row r="1909" spans="1:15" x14ac:dyDescent="0.2">
      <c r="A1909">
        <v>345</v>
      </c>
      <c r="B1909">
        <v>346</v>
      </c>
      <c r="C1909">
        <v>345</v>
      </c>
      <c r="D1909">
        <v>344</v>
      </c>
      <c r="E1909" t="s">
        <v>57</v>
      </c>
      <c r="F1909" t="s">
        <v>69</v>
      </c>
      <c r="G1909">
        <v>9</v>
      </c>
      <c r="H1909" t="s">
        <v>111</v>
      </c>
      <c r="I1909">
        <v>0.25</v>
      </c>
      <c r="J1909">
        <v>0.5</v>
      </c>
      <c r="K1909" t="s">
        <v>112</v>
      </c>
      <c r="L1909" t="s">
        <v>113</v>
      </c>
      <c r="M1909" t="s">
        <v>114</v>
      </c>
      <c r="N1909" t="s">
        <v>96</v>
      </c>
      <c r="O1909" t="s">
        <v>97</v>
      </c>
    </row>
    <row r="1910" spans="1:15" x14ac:dyDescent="0.2">
      <c r="A1910">
        <v>345</v>
      </c>
      <c r="B1910">
        <v>346</v>
      </c>
      <c r="C1910">
        <v>345</v>
      </c>
      <c r="D1910">
        <v>344</v>
      </c>
      <c r="E1910" t="s">
        <v>57</v>
      </c>
      <c r="F1910" t="s">
        <v>69</v>
      </c>
      <c r="G1910">
        <v>10</v>
      </c>
      <c r="H1910" t="s">
        <v>115</v>
      </c>
      <c r="I1910">
        <v>0.25</v>
      </c>
      <c r="J1910">
        <v>0.5</v>
      </c>
      <c r="K1910" t="s">
        <v>112</v>
      </c>
      <c r="L1910" t="s">
        <v>116</v>
      </c>
      <c r="M1910" t="s">
        <v>117</v>
      </c>
      <c r="N1910" t="s">
        <v>96</v>
      </c>
      <c r="O1910" t="s">
        <v>97</v>
      </c>
    </row>
    <row r="1911" spans="1:15" x14ac:dyDescent="0.2">
      <c r="A1911">
        <v>345</v>
      </c>
      <c r="B1911">
        <v>346</v>
      </c>
      <c r="C1911">
        <v>345</v>
      </c>
      <c r="D1911">
        <v>344</v>
      </c>
      <c r="E1911" t="s">
        <v>57</v>
      </c>
      <c r="F1911" t="s">
        <v>69</v>
      </c>
      <c r="G1911">
        <v>11</v>
      </c>
      <c r="H1911" t="s">
        <v>118</v>
      </c>
      <c r="I1911">
        <v>0.5</v>
      </c>
      <c r="J1911">
        <v>1</v>
      </c>
      <c r="K1911" t="s">
        <v>112</v>
      </c>
      <c r="L1911" t="s">
        <v>119</v>
      </c>
      <c r="M1911" t="s">
        <v>120</v>
      </c>
      <c r="N1911" t="s">
        <v>107</v>
      </c>
      <c r="O1911" t="s">
        <v>97</v>
      </c>
    </row>
    <row r="1912" spans="1:15" x14ac:dyDescent="0.2">
      <c r="A1912">
        <v>345</v>
      </c>
      <c r="B1912">
        <v>346</v>
      </c>
      <c r="C1912">
        <v>345</v>
      </c>
      <c r="D1912">
        <v>344</v>
      </c>
      <c r="E1912" t="s">
        <v>57</v>
      </c>
      <c r="F1912" t="s">
        <v>69</v>
      </c>
      <c r="G1912">
        <v>12</v>
      </c>
      <c r="H1912" t="s">
        <v>121</v>
      </c>
      <c r="I1912">
        <v>0.5</v>
      </c>
      <c r="J1912">
        <v>0.5</v>
      </c>
      <c r="K1912" t="s">
        <v>122</v>
      </c>
      <c r="L1912" t="s">
        <v>113</v>
      </c>
      <c r="M1912" t="s">
        <v>123</v>
      </c>
      <c r="N1912" t="s">
        <v>96</v>
      </c>
      <c r="O1912" t="s">
        <v>97</v>
      </c>
    </row>
    <row r="1913" spans="1:15" x14ac:dyDescent="0.2">
      <c r="A1913">
        <v>345</v>
      </c>
      <c r="B1913">
        <v>346</v>
      </c>
      <c r="C1913">
        <v>345</v>
      </c>
      <c r="D1913">
        <v>344</v>
      </c>
      <c r="E1913" t="s">
        <v>57</v>
      </c>
      <c r="F1913" t="s">
        <v>69</v>
      </c>
      <c r="G1913">
        <v>13</v>
      </c>
      <c r="H1913" t="s">
        <v>124</v>
      </c>
      <c r="I1913">
        <v>0.25</v>
      </c>
      <c r="J1913">
        <v>0.5</v>
      </c>
      <c r="K1913" t="s">
        <v>122</v>
      </c>
      <c r="L1913" t="s">
        <v>125</v>
      </c>
      <c r="M1913" t="s">
        <v>126</v>
      </c>
      <c r="N1913" t="s">
        <v>96</v>
      </c>
      <c r="O1913" t="s">
        <v>97</v>
      </c>
    </row>
    <row r="1914" spans="1:15" x14ac:dyDescent="0.2">
      <c r="A1914">
        <v>345</v>
      </c>
      <c r="B1914">
        <v>346</v>
      </c>
      <c r="C1914">
        <v>345</v>
      </c>
      <c r="D1914">
        <v>344</v>
      </c>
      <c r="E1914" t="s">
        <v>57</v>
      </c>
      <c r="F1914" t="s">
        <v>69</v>
      </c>
      <c r="G1914">
        <v>14</v>
      </c>
      <c r="H1914" t="s">
        <v>127</v>
      </c>
      <c r="I1914">
        <v>1</v>
      </c>
      <c r="J1914">
        <v>1</v>
      </c>
      <c r="K1914" t="s">
        <v>122</v>
      </c>
      <c r="L1914" t="s">
        <v>119</v>
      </c>
      <c r="M1914" t="s">
        <v>128</v>
      </c>
      <c r="N1914" t="s">
        <v>107</v>
      </c>
      <c r="O1914" t="s">
        <v>97</v>
      </c>
    </row>
    <row r="1915" spans="1:15" x14ac:dyDescent="0.2">
      <c r="A1915">
        <v>345</v>
      </c>
      <c r="B1915">
        <v>346</v>
      </c>
      <c r="C1915">
        <v>345</v>
      </c>
      <c r="D1915">
        <v>344</v>
      </c>
      <c r="E1915" t="s">
        <v>57</v>
      </c>
      <c r="F1915" t="s">
        <v>69</v>
      </c>
      <c r="G1915">
        <v>15</v>
      </c>
      <c r="H1915" t="s">
        <v>129</v>
      </c>
      <c r="I1915">
        <v>0</v>
      </c>
      <c r="J1915">
        <v>1</v>
      </c>
      <c r="K1915" t="s">
        <v>130</v>
      </c>
      <c r="L1915" t="s">
        <v>131</v>
      </c>
      <c r="M1915" t="s">
        <v>132</v>
      </c>
      <c r="N1915" t="s">
        <v>107</v>
      </c>
      <c r="O1915" t="s">
        <v>97</v>
      </c>
    </row>
    <row r="1916" spans="1:15" x14ac:dyDescent="0.2">
      <c r="A1916">
        <v>345</v>
      </c>
      <c r="B1916">
        <v>346</v>
      </c>
      <c r="C1916">
        <v>345</v>
      </c>
      <c r="D1916">
        <v>344</v>
      </c>
      <c r="E1916" t="s">
        <v>57</v>
      </c>
      <c r="F1916" t="s">
        <v>69</v>
      </c>
      <c r="G1916">
        <v>16</v>
      </c>
      <c r="H1916" t="s">
        <v>133</v>
      </c>
      <c r="I1916">
        <v>0</v>
      </c>
      <c r="J1916">
        <v>0</v>
      </c>
      <c r="K1916" t="e">
        <v>#N/A</v>
      </c>
      <c r="L1916" t="e">
        <v>#N/A</v>
      </c>
      <c r="M1916" t="e">
        <v>#N/A</v>
      </c>
      <c r="N1916" t="e">
        <v>#N/A</v>
      </c>
      <c r="O1916" t="s">
        <v>97</v>
      </c>
    </row>
    <row r="1917" spans="1:15" x14ac:dyDescent="0.2">
      <c r="A1917">
        <v>345</v>
      </c>
      <c r="B1917">
        <v>346</v>
      </c>
      <c r="C1917">
        <v>345</v>
      </c>
      <c r="D1917">
        <v>344</v>
      </c>
      <c r="E1917" t="s">
        <v>57</v>
      </c>
      <c r="F1917" t="s">
        <v>69</v>
      </c>
      <c r="G1917">
        <v>17</v>
      </c>
      <c r="H1917" t="s">
        <v>134</v>
      </c>
      <c r="I1917">
        <v>1</v>
      </c>
      <c r="J1917">
        <v>1</v>
      </c>
      <c r="K1917" t="s">
        <v>112</v>
      </c>
      <c r="L1917" t="s">
        <v>135</v>
      </c>
      <c r="M1917" t="s">
        <v>136</v>
      </c>
      <c r="N1917" t="s">
        <v>107</v>
      </c>
      <c r="O1917" t="s">
        <v>97</v>
      </c>
    </row>
    <row r="1918" spans="1:15" x14ac:dyDescent="0.2">
      <c r="A1918">
        <v>345</v>
      </c>
      <c r="B1918">
        <v>346</v>
      </c>
      <c r="C1918">
        <v>345</v>
      </c>
      <c r="D1918">
        <v>344</v>
      </c>
      <c r="E1918" t="s">
        <v>57</v>
      </c>
      <c r="F1918" t="s">
        <v>69</v>
      </c>
      <c r="G1918">
        <v>18</v>
      </c>
      <c r="H1918" t="s">
        <v>137</v>
      </c>
      <c r="I1918">
        <v>1</v>
      </c>
      <c r="J1918">
        <v>1</v>
      </c>
      <c r="K1918" t="s">
        <v>112</v>
      </c>
      <c r="L1918" t="s">
        <v>138</v>
      </c>
      <c r="M1918" t="s">
        <v>139</v>
      </c>
      <c r="N1918" t="s">
        <v>107</v>
      </c>
      <c r="O1918" t="s">
        <v>97</v>
      </c>
    </row>
    <row r="1919" spans="1:15" x14ac:dyDescent="0.2">
      <c r="A1919">
        <v>345</v>
      </c>
      <c r="B1919">
        <v>346</v>
      </c>
      <c r="C1919">
        <v>345</v>
      </c>
      <c r="D1919">
        <v>344</v>
      </c>
      <c r="E1919" t="s">
        <v>57</v>
      </c>
      <c r="F1919" t="s">
        <v>69</v>
      </c>
      <c r="G1919">
        <v>19</v>
      </c>
      <c r="H1919" t="s">
        <v>140</v>
      </c>
      <c r="I1919">
        <v>0.5</v>
      </c>
      <c r="J1919">
        <v>1</v>
      </c>
      <c r="K1919" t="s">
        <v>122</v>
      </c>
      <c r="L1919" t="s">
        <v>141</v>
      </c>
      <c r="M1919" t="s">
        <v>142</v>
      </c>
      <c r="N1919" t="s">
        <v>107</v>
      </c>
      <c r="O1919" t="s">
        <v>97</v>
      </c>
    </row>
    <row r="1920" spans="1:15" x14ac:dyDescent="0.2">
      <c r="A1920">
        <v>345</v>
      </c>
      <c r="B1920">
        <v>346</v>
      </c>
      <c r="C1920">
        <v>345</v>
      </c>
      <c r="D1920">
        <v>344</v>
      </c>
      <c r="E1920" t="s">
        <v>57</v>
      </c>
      <c r="F1920" t="s">
        <v>69</v>
      </c>
      <c r="G1920">
        <v>20</v>
      </c>
      <c r="H1920" t="s">
        <v>143</v>
      </c>
      <c r="I1920">
        <v>1</v>
      </c>
      <c r="J1920">
        <v>1</v>
      </c>
      <c r="K1920" t="s">
        <v>122</v>
      </c>
      <c r="L1920" t="s">
        <v>144</v>
      </c>
      <c r="M1920" t="s">
        <v>145</v>
      </c>
      <c r="N1920" t="s">
        <v>107</v>
      </c>
      <c r="O1920" t="s">
        <v>97</v>
      </c>
    </row>
    <row r="1921" spans="1:15" x14ac:dyDescent="0.2">
      <c r="A1921">
        <v>345</v>
      </c>
      <c r="B1921">
        <v>346</v>
      </c>
      <c r="C1921">
        <v>345</v>
      </c>
      <c r="D1921">
        <v>344</v>
      </c>
      <c r="E1921" t="s">
        <v>57</v>
      </c>
      <c r="F1921" t="s">
        <v>69</v>
      </c>
      <c r="G1921">
        <v>21</v>
      </c>
      <c r="H1921" t="s">
        <v>146</v>
      </c>
      <c r="I1921">
        <v>1</v>
      </c>
      <c r="J1921">
        <v>1</v>
      </c>
      <c r="K1921" t="s">
        <v>147</v>
      </c>
      <c r="L1921" t="s">
        <v>148</v>
      </c>
      <c r="M1921" t="s">
        <v>149</v>
      </c>
      <c r="N1921" t="s">
        <v>96</v>
      </c>
      <c r="O1921" t="s">
        <v>97</v>
      </c>
    </row>
    <row r="1922" spans="1:15" x14ac:dyDescent="0.2">
      <c r="A1922">
        <v>345</v>
      </c>
      <c r="B1922">
        <v>346</v>
      </c>
      <c r="C1922">
        <v>345</v>
      </c>
      <c r="D1922">
        <v>344</v>
      </c>
      <c r="E1922" t="s">
        <v>57</v>
      </c>
      <c r="F1922" t="s">
        <v>69</v>
      </c>
      <c r="G1922">
        <v>22</v>
      </c>
      <c r="H1922" t="s">
        <v>150</v>
      </c>
      <c r="I1922">
        <v>0</v>
      </c>
      <c r="J1922">
        <v>1</v>
      </c>
      <c r="K1922" t="s">
        <v>147</v>
      </c>
      <c r="L1922" t="s">
        <v>151</v>
      </c>
      <c r="M1922" t="s">
        <v>149</v>
      </c>
      <c r="N1922" t="s">
        <v>107</v>
      </c>
      <c r="O1922" t="s">
        <v>97</v>
      </c>
    </row>
    <row r="1923" spans="1:15" x14ac:dyDescent="0.2">
      <c r="A1923">
        <v>345</v>
      </c>
      <c r="B1923">
        <v>346</v>
      </c>
      <c r="C1923">
        <v>345</v>
      </c>
      <c r="D1923">
        <v>344</v>
      </c>
      <c r="E1923" t="s">
        <v>57</v>
      </c>
      <c r="F1923" t="s">
        <v>69</v>
      </c>
      <c r="G1923">
        <v>23</v>
      </c>
      <c r="H1923" t="s">
        <v>152</v>
      </c>
      <c r="I1923">
        <v>0</v>
      </c>
      <c r="J1923">
        <v>0</v>
      </c>
      <c r="K1923" t="s">
        <v>153</v>
      </c>
      <c r="L1923" t="s">
        <v>154</v>
      </c>
      <c r="M1923" t="s">
        <v>155</v>
      </c>
      <c r="N1923" t="s">
        <v>107</v>
      </c>
      <c r="O1923" t="s">
        <v>97</v>
      </c>
    </row>
    <row r="1924" spans="1:15" x14ac:dyDescent="0.2">
      <c r="A1924">
        <v>345</v>
      </c>
      <c r="B1924">
        <v>346</v>
      </c>
      <c r="C1924">
        <v>345</v>
      </c>
      <c r="D1924">
        <v>344</v>
      </c>
      <c r="E1924" t="s">
        <v>57</v>
      </c>
      <c r="F1924" t="s">
        <v>69</v>
      </c>
      <c r="G1924">
        <v>24</v>
      </c>
      <c r="H1924" t="s">
        <v>156</v>
      </c>
      <c r="I1924">
        <v>0.5</v>
      </c>
      <c r="J1924">
        <v>0.5</v>
      </c>
      <c r="K1924" t="s">
        <v>122</v>
      </c>
      <c r="L1924" t="s">
        <v>157</v>
      </c>
      <c r="M1924" t="s">
        <v>158</v>
      </c>
      <c r="N1924" t="s">
        <v>107</v>
      </c>
      <c r="O1924" t="s">
        <v>97</v>
      </c>
    </row>
    <row r="1925" spans="1:15" x14ac:dyDescent="0.2">
      <c r="A1925">
        <v>345</v>
      </c>
      <c r="B1925">
        <v>346</v>
      </c>
      <c r="C1925">
        <v>345</v>
      </c>
      <c r="D1925">
        <v>344</v>
      </c>
      <c r="E1925" t="s">
        <v>57</v>
      </c>
      <c r="F1925" t="s">
        <v>69</v>
      </c>
      <c r="G1925">
        <v>25</v>
      </c>
      <c r="H1925" t="s">
        <v>156</v>
      </c>
      <c r="I1925">
        <v>0.5</v>
      </c>
      <c r="J1925">
        <v>0.5</v>
      </c>
      <c r="K1925" t="s">
        <v>122</v>
      </c>
      <c r="L1925" t="s">
        <v>157</v>
      </c>
      <c r="M1925" t="s">
        <v>158</v>
      </c>
      <c r="N1925" t="s">
        <v>107</v>
      </c>
      <c r="O1925" t="s">
        <v>97</v>
      </c>
    </row>
    <row r="1926" spans="1:15" x14ac:dyDescent="0.2">
      <c r="A1926">
        <v>345</v>
      </c>
      <c r="B1926">
        <v>346</v>
      </c>
      <c r="C1926">
        <v>345</v>
      </c>
      <c r="D1926">
        <v>344</v>
      </c>
      <c r="E1926" t="s">
        <v>57</v>
      </c>
      <c r="F1926" t="s">
        <v>69</v>
      </c>
      <c r="G1926">
        <v>26</v>
      </c>
      <c r="H1926" t="s">
        <v>152</v>
      </c>
      <c r="I1926">
        <v>0</v>
      </c>
      <c r="J1926">
        <v>0</v>
      </c>
      <c r="K1926" t="s">
        <v>153</v>
      </c>
      <c r="L1926" t="s">
        <v>154</v>
      </c>
      <c r="M1926" t="s">
        <v>155</v>
      </c>
      <c r="N1926" t="s">
        <v>107</v>
      </c>
      <c r="O1926" t="s">
        <v>97</v>
      </c>
    </row>
    <row r="1927" spans="1:15" x14ac:dyDescent="0.2">
      <c r="A1927">
        <v>345</v>
      </c>
      <c r="B1927">
        <v>346</v>
      </c>
      <c r="C1927">
        <v>345</v>
      </c>
      <c r="D1927">
        <v>344</v>
      </c>
      <c r="E1927" t="s">
        <v>57</v>
      </c>
      <c r="F1927" t="s">
        <v>69</v>
      </c>
      <c r="G1927">
        <v>27</v>
      </c>
      <c r="H1927" t="s">
        <v>159</v>
      </c>
      <c r="I1927">
        <v>0.5</v>
      </c>
      <c r="J1927">
        <v>0.5</v>
      </c>
      <c r="K1927" t="s">
        <v>122</v>
      </c>
      <c r="L1927" t="s">
        <v>160</v>
      </c>
      <c r="M1927" t="s">
        <v>161</v>
      </c>
      <c r="N1927" t="s">
        <v>107</v>
      </c>
      <c r="O1927" t="s">
        <v>97</v>
      </c>
    </row>
    <row r="1928" spans="1:15" x14ac:dyDescent="0.2">
      <c r="A1928">
        <v>345</v>
      </c>
      <c r="B1928">
        <v>346</v>
      </c>
      <c r="C1928">
        <v>345</v>
      </c>
      <c r="D1928">
        <v>344</v>
      </c>
      <c r="E1928" t="s">
        <v>57</v>
      </c>
      <c r="F1928" t="s">
        <v>69</v>
      </c>
      <c r="G1928">
        <v>28</v>
      </c>
      <c r="H1928" t="s">
        <v>159</v>
      </c>
      <c r="I1928">
        <v>0</v>
      </c>
      <c r="J1928">
        <v>0.5</v>
      </c>
      <c r="K1928" t="s">
        <v>122</v>
      </c>
      <c r="L1928" t="s">
        <v>160</v>
      </c>
      <c r="M1928" t="s">
        <v>161</v>
      </c>
      <c r="N1928" t="s">
        <v>107</v>
      </c>
      <c r="O1928" t="s">
        <v>97</v>
      </c>
    </row>
    <row r="1929" spans="1:15" x14ac:dyDescent="0.2">
      <c r="A1929">
        <v>345</v>
      </c>
      <c r="B1929">
        <v>346</v>
      </c>
      <c r="C1929">
        <v>345</v>
      </c>
      <c r="D1929">
        <v>344</v>
      </c>
      <c r="E1929" t="s">
        <v>57</v>
      </c>
      <c r="F1929" t="s">
        <v>69</v>
      </c>
      <c r="G1929">
        <v>29</v>
      </c>
      <c r="H1929" t="s">
        <v>152</v>
      </c>
      <c r="I1929">
        <v>0</v>
      </c>
      <c r="J1929">
        <v>0</v>
      </c>
      <c r="K1929" t="s">
        <v>153</v>
      </c>
      <c r="L1929" t="s">
        <v>154</v>
      </c>
      <c r="M1929" t="s">
        <v>155</v>
      </c>
      <c r="N1929" t="s">
        <v>107</v>
      </c>
      <c r="O1929" t="s">
        <v>97</v>
      </c>
    </row>
    <row r="1930" spans="1:15" x14ac:dyDescent="0.2">
      <c r="A1930">
        <v>345</v>
      </c>
      <c r="B1930">
        <v>346</v>
      </c>
      <c r="C1930">
        <v>345</v>
      </c>
      <c r="D1930">
        <v>344</v>
      </c>
      <c r="E1930" t="s">
        <v>57</v>
      </c>
      <c r="F1930" t="s">
        <v>69</v>
      </c>
      <c r="G1930">
        <v>30</v>
      </c>
      <c r="H1930" t="s">
        <v>162</v>
      </c>
      <c r="I1930">
        <v>1</v>
      </c>
      <c r="J1930">
        <v>1</v>
      </c>
      <c r="K1930" t="s">
        <v>112</v>
      </c>
      <c r="L1930" t="s">
        <v>163</v>
      </c>
      <c r="M1930" t="s">
        <v>164</v>
      </c>
      <c r="N1930" t="s">
        <v>107</v>
      </c>
      <c r="O1930" t="s">
        <v>97</v>
      </c>
    </row>
    <row r="1931" spans="1:15" x14ac:dyDescent="0.2">
      <c r="A1931">
        <v>345</v>
      </c>
      <c r="B1931">
        <v>346</v>
      </c>
      <c r="C1931">
        <v>345</v>
      </c>
      <c r="D1931">
        <v>344</v>
      </c>
      <c r="E1931" t="s">
        <v>57</v>
      </c>
      <c r="F1931" t="s">
        <v>69</v>
      </c>
      <c r="G1931">
        <v>31</v>
      </c>
      <c r="H1931" t="s">
        <v>162</v>
      </c>
      <c r="I1931">
        <v>0</v>
      </c>
      <c r="J1931">
        <v>0</v>
      </c>
      <c r="K1931" t="s">
        <v>112</v>
      </c>
      <c r="L1931" t="s">
        <v>163</v>
      </c>
      <c r="M1931" t="s">
        <v>164</v>
      </c>
      <c r="N1931" t="s">
        <v>107</v>
      </c>
      <c r="O1931" t="s">
        <v>97</v>
      </c>
    </row>
    <row r="1932" spans="1:15" x14ac:dyDescent="0.2">
      <c r="A1932">
        <v>345</v>
      </c>
      <c r="B1932">
        <v>346</v>
      </c>
      <c r="C1932">
        <v>345</v>
      </c>
      <c r="D1932">
        <v>344</v>
      </c>
      <c r="E1932" t="s">
        <v>57</v>
      </c>
      <c r="F1932" t="s">
        <v>69</v>
      </c>
      <c r="G1932">
        <v>32</v>
      </c>
      <c r="H1932" t="s">
        <v>162</v>
      </c>
      <c r="I1932">
        <v>0</v>
      </c>
      <c r="J1932">
        <v>0</v>
      </c>
      <c r="K1932" t="s">
        <v>112</v>
      </c>
      <c r="L1932" t="s">
        <v>163</v>
      </c>
      <c r="M1932" t="s">
        <v>164</v>
      </c>
      <c r="N1932" t="s">
        <v>107</v>
      </c>
      <c r="O1932" t="s">
        <v>97</v>
      </c>
    </row>
    <row r="1933" spans="1:15" x14ac:dyDescent="0.2">
      <c r="A1933">
        <v>345</v>
      </c>
      <c r="B1933">
        <v>346</v>
      </c>
      <c r="C1933">
        <v>345</v>
      </c>
      <c r="D1933">
        <v>344</v>
      </c>
      <c r="E1933" t="s">
        <v>57</v>
      </c>
      <c r="F1933" t="s">
        <v>69</v>
      </c>
      <c r="G1933">
        <v>33</v>
      </c>
      <c r="H1933" t="s">
        <v>152</v>
      </c>
      <c r="I1933">
        <v>0</v>
      </c>
      <c r="J1933">
        <v>1</v>
      </c>
      <c r="K1933" t="s">
        <v>153</v>
      </c>
      <c r="L1933" t="s">
        <v>154</v>
      </c>
      <c r="M1933" t="s">
        <v>155</v>
      </c>
      <c r="N1933" t="s">
        <v>107</v>
      </c>
      <c r="O1933" t="s">
        <v>97</v>
      </c>
    </row>
    <row r="1934" spans="1:15" x14ac:dyDescent="0.2">
      <c r="A1934">
        <v>345</v>
      </c>
      <c r="B1934">
        <v>346</v>
      </c>
      <c r="C1934">
        <v>345</v>
      </c>
      <c r="D1934">
        <v>344</v>
      </c>
      <c r="E1934" t="s">
        <v>57</v>
      </c>
      <c r="F1934" t="s">
        <v>69</v>
      </c>
      <c r="G1934">
        <v>34</v>
      </c>
      <c r="H1934" t="s">
        <v>152</v>
      </c>
      <c r="I1934">
        <v>0</v>
      </c>
      <c r="J1934">
        <v>0</v>
      </c>
      <c r="K1934" t="s">
        <v>153</v>
      </c>
      <c r="L1934" t="s">
        <v>154</v>
      </c>
      <c r="M1934" t="s">
        <v>155</v>
      </c>
      <c r="N1934" t="s">
        <v>107</v>
      </c>
      <c r="O1934" t="s">
        <v>97</v>
      </c>
    </row>
    <row r="1935" spans="1:15" x14ac:dyDescent="0.2">
      <c r="A1935">
        <v>345</v>
      </c>
      <c r="B1935">
        <v>346</v>
      </c>
      <c r="C1935">
        <v>345</v>
      </c>
      <c r="D1935">
        <v>344</v>
      </c>
      <c r="E1935" t="s">
        <v>57</v>
      </c>
      <c r="F1935" t="s">
        <v>69</v>
      </c>
      <c r="G1935">
        <v>35</v>
      </c>
      <c r="H1935" t="s">
        <v>165</v>
      </c>
      <c r="I1935">
        <v>0</v>
      </c>
      <c r="J1935">
        <v>1</v>
      </c>
      <c r="K1935" t="s">
        <v>166</v>
      </c>
      <c r="L1935" t="s">
        <v>167</v>
      </c>
      <c r="M1935" t="s">
        <v>168</v>
      </c>
      <c r="N1935" t="s">
        <v>107</v>
      </c>
      <c r="O1935" t="s">
        <v>97</v>
      </c>
    </row>
    <row r="1936" spans="1:15" x14ac:dyDescent="0.2">
      <c r="A1936">
        <v>345</v>
      </c>
      <c r="B1936">
        <v>346</v>
      </c>
      <c r="C1936">
        <v>345</v>
      </c>
      <c r="D1936">
        <v>344</v>
      </c>
      <c r="E1936" t="s">
        <v>57</v>
      </c>
      <c r="F1936" t="s">
        <v>69</v>
      </c>
      <c r="G1936">
        <v>36</v>
      </c>
      <c r="H1936" t="s">
        <v>169</v>
      </c>
      <c r="I1936">
        <v>0</v>
      </c>
      <c r="J1936">
        <v>0</v>
      </c>
      <c r="K1936" t="e">
        <v>#N/A</v>
      </c>
      <c r="L1936" t="e">
        <v>#N/A</v>
      </c>
      <c r="M1936" t="e">
        <v>#N/A</v>
      </c>
      <c r="N1936" t="e">
        <v>#N/A</v>
      </c>
      <c r="O1936" t="s">
        <v>97</v>
      </c>
    </row>
    <row r="1937" spans="1:15" x14ac:dyDescent="0.2">
      <c r="A1937">
        <v>345</v>
      </c>
      <c r="B1937">
        <v>346</v>
      </c>
      <c r="C1937">
        <v>345</v>
      </c>
      <c r="D1937">
        <v>344</v>
      </c>
      <c r="E1937" t="s">
        <v>57</v>
      </c>
      <c r="F1937" t="s">
        <v>69</v>
      </c>
      <c r="G1937">
        <v>38</v>
      </c>
      <c r="H1937" t="s">
        <v>170</v>
      </c>
      <c r="I1937">
        <v>0.5</v>
      </c>
      <c r="J1937">
        <v>0.5</v>
      </c>
      <c r="K1937" t="s">
        <v>112</v>
      </c>
      <c r="L1937" t="s">
        <v>171</v>
      </c>
      <c r="M1937" t="s">
        <v>172</v>
      </c>
      <c r="N1937" t="s">
        <v>96</v>
      </c>
      <c r="O1937" t="s">
        <v>97</v>
      </c>
    </row>
    <row r="1938" spans="1:15" x14ac:dyDescent="0.2">
      <c r="A1938">
        <v>345</v>
      </c>
      <c r="B1938">
        <v>346</v>
      </c>
      <c r="C1938">
        <v>345</v>
      </c>
      <c r="D1938">
        <v>344</v>
      </c>
      <c r="E1938" t="s">
        <v>57</v>
      </c>
      <c r="F1938" t="s">
        <v>69</v>
      </c>
      <c r="G1938">
        <v>39</v>
      </c>
      <c r="H1938" t="s">
        <v>170</v>
      </c>
      <c r="I1938">
        <v>0</v>
      </c>
      <c r="J1938">
        <v>0.5</v>
      </c>
      <c r="K1938" t="s">
        <v>112</v>
      </c>
      <c r="L1938" t="s">
        <v>171</v>
      </c>
      <c r="M1938" t="s">
        <v>172</v>
      </c>
      <c r="N1938" t="s">
        <v>96</v>
      </c>
      <c r="O1938" t="s">
        <v>97</v>
      </c>
    </row>
    <row r="1939" spans="1:15" x14ac:dyDescent="0.2">
      <c r="A1939">
        <v>345</v>
      </c>
      <c r="B1939">
        <v>346</v>
      </c>
      <c r="C1939">
        <v>345</v>
      </c>
      <c r="D1939">
        <v>344</v>
      </c>
      <c r="E1939" t="s">
        <v>57</v>
      </c>
      <c r="F1939" t="s">
        <v>69</v>
      </c>
      <c r="G1939">
        <v>40</v>
      </c>
      <c r="H1939" t="s">
        <v>170</v>
      </c>
      <c r="I1939">
        <v>0.5</v>
      </c>
      <c r="J1939">
        <v>0.5</v>
      </c>
      <c r="K1939" t="s">
        <v>112</v>
      </c>
      <c r="L1939" t="s">
        <v>171</v>
      </c>
      <c r="M1939" t="s">
        <v>172</v>
      </c>
      <c r="N1939" t="s">
        <v>96</v>
      </c>
      <c r="O1939" t="s">
        <v>97</v>
      </c>
    </row>
    <row r="1940" spans="1:15" x14ac:dyDescent="0.2">
      <c r="A1940">
        <v>345</v>
      </c>
      <c r="B1940">
        <v>346</v>
      </c>
      <c r="C1940">
        <v>345</v>
      </c>
      <c r="D1940">
        <v>344</v>
      </c>
      <c r="E1940" t="s">
        <v>57</v>
      </c>
      <c r="F1940" t="s">
        <v>69</v>
      </c>
      <c r="G1940">
        <v>41</v>
      </c>
      <c r="H1940" t="s">
        <v>173</v>
      </c>
      <c r="I1940">
        <v>0</v>
      </c>
      <c r="J1940">
        <v>1</v>
      </c>
      <c r="K1940" t="s">
        <v>166</v>
      </c>
      <c r="L1940" t="s">
        <v>174</v>
      </c>
      <c r="M1940" t="s">
        <v>175</v>
      </c>
      <c r="N1940" t="s">
        <v>107</v>
      </c>
      <c r="O1940" t="s">
        <v>97</v>
      </c>
    </row>
    <row r="1941" spans="1:15" x14ac:dyDescent="0.2">
      <c r="A1941">
        <v>345</v>
      </c>
      <c r="B1941">
        <v>346</v>
      </c>
      <c r="C1941">
        <v>345</v>
      </c>
      <c r="D1941">
        <v>344</v>
      </c>
      <c r="E1941" t="s">
        <v>57</v>
      </c>
      <c r="F1941" t="s">
        <v>69</v>
      </c>
      <c r="G1941">
        <v>42</v>
      </c>
      <c r="H1941" t="s">
        <v>176</v>
      </c>
      <c r="I1941">
        <v>1</v>
      </c>
      <c r="J1941">
        <v>1</v>
      </c>
      <c r="K1941" t="s">
        <v>153</v>
      </c>
      <c r="L1941" t="s">
        <v>177</v>
      </c>
      <c r="M1941" t="s">
        <v>178</v>
      </c>
      <c r="N1941" t="s">
        <v>107</v>
      </c>
      <c r="O1941" t="s">
        <v>97</v>
      </c>
    </row>
    <row r="1942" spans="1:15" x14ac:dyDescent="0.2">
      <c r="A1942">
        <v>345</v>
      </c>
      <c r="B1942">
        <v>346</v>
      </c>
      <c r="C1942">
        <v>345</v>
      </c>
      <c r="D1942">
        <v>344</v>
      </c>
      <c r="E1942" t="s">
        <v>57</v>
      </c>
      <c r="F1942" t="s">
        <v>69</v>
      </c>
      <c r="G1942">
        <v>43</v>
      </c>
      <c r="H1942" t="s">
        <v>179</v>
      </c>
      <c r="I1942">
        <v>0</v>
      </c>
      <c r="J1942">
        <v>0</v>
      </c>
      <c r="K1942" t="s">
        <v>166</v>
      </c>
      <c r="L1942" t="s">
        <v>180</v>
      </c>
      <c r="M1942" t="s">
        <v>181</v>
      </c>
      <c r="N1942" t="s">
        <v>107</v>
      </c>
      <c r="O1942" t="s">
        <v>97</v>
      </c>
    </row>
    <row r="1943" spans="1:15" x14ac:dyDescent="0.2">
      <c r="A1943">
        <v>345</v>
      </c>
      <c r="B1943">
        <v>346</v>
      </c>
      <c r="C1943">
        <v>345</v>
      </c>
      <c r="D1943">
        <v>344</v>
      </c>
      <c r="E1943" t="s">
        <v>57</v>
      </c>
      <c r="F1943" t="s">
        <v>69</v>
      </c>
      <c r="G1943">
        <v>44</v>
      </c>
      <c r="H1943" t="s">
        <v>182</v>
      </c>
      <c r="I1943">
        <v>1</v>
      </c>
      <c r="J1943">
        <v>1</v>
      </c>
      <c r="K1943" t="s">
        <v>166</v>
      </c>
      <c r="L1943" t="s">
        <v>183</v>
      </c>
      <c r="M1943" t="s">
        <v>184</v>
      </c>
      <c r="N1943" t="s">
        <v>107</v>
      </c>
      <c r="O1943" t="s">
        <v>97</v>
      </c>
    </row>
    <row r="1944" spans="1:15" x14ac:dyDescent="0.2">
      <c r="A1944">
        <v>345</v>
      </c>
      <c r="B1944">
        <v>346</v>
      </c>
      <c r="C1944">
        <v>345</v>
      </c>
      <c r="D1944">
        <v>344</v>
      </c>
      <c r="E1944" t="s">
        <v>57</v>
      </c>
      <c r="F1944" t="s">
        <v>69</v>
      </c>
      <c r="G1944">
        <v>45</v>
      </c>
      <c r="H1944" t="s">
        <v>185</v>
      </c>
      <c r="I1944">
        <v>1</v>
      </c>
      <c r="J1944">
        <v>1</v>
      </c>
      <c r="K1944" t="s">
        <v>166</v>
      </c>
      <c r="L1944" t="s">
        <v>186</v>
      </c>
      <c r="M1944" t="s">
        <v>139</v>
      </c>
      <c r="N1944" t="s">
        <v>107</v>
      </c>
      <c r="O1944" t="s">
        <v>97</v>
      </c>
    </row>
    <row r="1945" spans="1:15" x14ac:dyDescent="0.2">
      <c r="A1945">
        <v>345</v>
      </c>
      <c r="B1945">
        <v>346</v>
      </c>
      <c r="C1945">
        <v>345</v>
      </c>
      <c r="D1945">
        <v>344</v>
      </c>
      <c r="E1945" t="s">
        <v>57</v>
      </c>
      <c r="F1945" t="s">
        <v>69</v>
      </c>
      <c r="G1945">
        <v>47</v>
      </c>
      <c r="H1945" t="s">
        <v>187</v>
      </c>
      <c r="I1945">
        <v>0.2</v>
      </c>
      <c r="J1945">
        <v>0.2</v>
      </c>
      <c r="K1945" t="s">
        <v>93</v>
      </c>
      <c r="L1945" t="s">
        <v>188</v>
      </c>
      <c r="M1945" t="s">
        <v>95</v>
      </c>
      <c r="N1945" t="s">
        <v>96</v>
      </c>
      <c r="O1945" t="s">
        <v>97</v>
      </c>
    </row>
    <row r="1946" spans="1:15" x14ac:dyDescent="0.2">
      <c r="A1946">
        <v>345</v>
      </c>
      <c r="B1946">
        <v>346</v>
      </c>
      <c r="C1946">
        <v>345</v>
      </c>
      <c r="D1946">
        <v>344</v>
      </c>
      <c r="E1946" t="s">
        <v>57</v>
      </c>
      <c r="F1946" t="s">
        <v>69</v>
      </c>
      <c r="G1946">
        <v>48</v>
      </c>
      <c r="H1946" t="s">
        <v>189</v>
      </c>
      <c r="I1946">
        <v>0.2</v>
      </c>
      <c r="J1946">
        <v>0.2</v>
      </c>
      <c r="K1946" t="s">
        <v>93</v>
      </c>
      <c r="L1946" t="s">
        <v>190</v>
      </c>
      <c r="M1946" t="s">
        <v>95</v>
      </c>
      <c r="N1946" t="s">
        <v>96</v>
      </c>
      <c r="O1946" t="s">
        <v>97</v>
      </c>
    </row>
    <row r="1947" spans="1:15" x14ac:dyDescent="0.2">
      <c r="A1947">
        <v>345</v>
      </c>
      <c r="B1947">
        <v>346</v>
      </c>
      <c r="C1947">
        <v>345</v>
      </c>
      <c r="D1947">
        <v>344</v>
      </c>
      <c r="E1947" t="s">
        <v>57</v>
      </c>
      <c r="F1947" t="s">
        <v>69</v>
      </c>
      <c r="G1947">
        <v>49</v>
      </c>
      <c r="H1947" t="s">
        <v>191</v>
      </c>
      <c r="I1947">
        <v>0</v>
      </c>
      <c r="J1947">
        <v>0.2</v>
      </c>
      <c r="K1947" t="s">
        <v>93</v>
      </c>
      <c r="L1947" t="s">
        <v>192</v>
      </c>
      <c r="M1947" t="s">
        <v>95</v>
      </c>
      <c r="N1947" t="s">
        <v>96</v>
      </c>
      <c r="O1947" t="s">
        <v>97</v>
      </c>
    </row>
    <row r="1948" spans="1:15" x14ac:dyDescent="0.2">
      <c r="A1948">
        <v>345</v>
      </c>
      <c r="B1948">
        <v>346</v>
      </c>
      <c r="C1948">
        <v>345</v>
      </c>
      <c r="D1948">
        <v>344</v>
      </c>
      <c r="E1948" t="s">
        <v>57</v>
      </c>
      <c r="F1948" t="s">
        <v>69</v>
      </c>
      <c r="G1948">
        <v>50</v>
      </c>
      <c r="H1948" t="s">
        <v>193</v>
      </c>
      <c r="I1948">
        <v>0.1</v>
      </c>
      <c r="J1948">
        <v>0.1</v>
      </c>
      <c r="K1948" t="s">
        <v>93</v>
      </c>
      <c r="L1948" t="s">
        <v>194</v>
      </c>
      <c r="M1948" t="s">
        <v>95</v>
      </c>
      <c r="N1948" t="s">
        <v>96</v>
      </c>
      <c r="O1948" t="s">
        <v>97</v>
      </c>
    </row>
    <row r="1949" spans="1:15" x14ac:dyDescent="0.2">
      <c r="A1949">
        <v>345</v>
      </c>
      <c r="B1949">
        <v>346</v>
      </c>
      <c r="C1949">
        <v>345</v>
      </c>
      <c r="D1949">
        <v>344</v>
      </c>
      <c r="E1949" t="s">
        <v>57</v>
      </c>
      <c r="F1949" t="s">
        <v>69</v>
      </c>
      <c r="G1949">
        <v>51</v>
      </c>
      <c r="H1949" t="s">
        <v>193</v>
      </c>
      <c r="I1949">
        <v>0.1</v>
      </c>
      <c r="J1949">
        <v>0.1</v>
      </c>
      <c r="K1949" t="s">
        <v>93</v>
      </c>
      <c r="L1949" t="s">
        <v>194</v>
      </c>
      <c r="M1949" t="s">
        <v>95</v>
      </c>
      <c r="N1949" t="s">
        <v>96</v>
      </c>
      <c r="O1949" t="s">
        <v>97</v>
      </c>
    </row>
    <row r="1950" spans="1:15" x14ac:dyDescent="0.2">
      <c r="A1950">
        <v>345</v>
      </c>
      <c r="B1950">
        <v>346</v>
      </c>
      <c r="C1950">
        <v>345</v>
      </c>
      <c r="D1950">
        <v>344</v>
      </c>
      <c r="E1950" t="s">
        <v>57</v>
      </c>
      <c r="F1950" t="s">
        <v>69</v>
      </c>
      <c r="G1950">
        <v>97</v>
      </c>
      <c r="H1950" t="s">
        <v>152</v>
      </c>
      <c r="I1950">
        <v>0.25</v>
      </c>
      <c r="J1950">
        <v>0.25</v>
      </c>
      <c r="K1950" t="s">
        <v>153</v>
      </c>
      <c r="L1950" t="s">
        <v>154</v>
      </c>
      <c r="M1950" t="s">
        <v>155</v>
      </c>
      <c r="N1950" t="s">
        <v>107</v>
      </c>
      <c r="O1950" t="s">
        <v>97</v>
      </c>
    </row>
    <row r="1951" spans="1:15" x14ac:dyDescent="0.2">
      <c r="A1951">
        <v>345</v>
      </c>
      <c r="B1951">
        <v>346</v>
      </c>
      <c r="C1951">
        <v>345</v>
      </c>
      <c r="D1951">
        <v>344</v>
      </c>
      <c r="E1951" t="s">
        <v>57</v>
      </c>
      <c r="F1951" t="s">
        <v>69</v>
      </c>
      <c r="G1951">
        <v>96</v>
      </c>
      <c r="H1951" t="s">
        <v>152</v>
      </c>
      <c r="I1951">
        <v>0</v>
      </c>
      <c r="J1951">
        <v>0</v>
      </c>
      <c r="K1951" t="s">
        <v>153</v>
      </c>
      <c r="L1951" t="s">
        <v>154</v>
      </c>
      <c r="M1951" t="s">
        <v>155</v>
      </c>
      <c r="N1951" t="s">
        <v>107</v>
      </c>
      <c r="O1951" t="s">
        <v>97</v>
      </c>
    </row>
    <row r="1952" spans="1:15" x14ac:dyDescent="0.2">
      <c r="A1952">
        <v>345</v>
      </c>
      <c r="B1952">
        <v>346</v>
      </c>
      <c r="C1952">
        <v>345</v>
      </c>
      <c r="D1952">
        <v>344</v>
      </c>
      <c r="E1952" t="s">
        <v>57</v>
      </c>
      <c r="F1952" t="s">
        <v>69</v>
      </c>
      <c r="G1952">
        <v>99</v>
      </c>
      <c r="H1952" t="s">
        <v>152</v>
      </c>
      <c r="I1952">
        <v>0</v>
      </c>
      <c r="J1952">
        <v>0</v>
      </c>
      <c r="K1952" t="s">
        <v>153</v>
      </c>
      <c r="L1952" t="s">
        <v>154</v>
      </c>
      <c r="M1952" t="s">
        <v>155</v>
      </c>
      <c r="N1952" t="s">
        <v>107</v>
      </c>
      <c r="O1952" t="s">
        <v>97</v>
      </c>
    </row>
    <row r="1953" spans="1:15" x14ac:dyDescent="0.2">
      <c r="A1953">
        <v>345</v>
      </c>
      <c r="B1953">
        <v>346</v>
      </c>
      <c r="C1953">
        <v>345</v>
      </c>
      <c r="D1953">
        <v>344</v>
      </c>
      <c r="E1953" t="s">
        <v>57</v>
      </c>
      <c r="F1953" t="s">
        <v>69</v>
      </c>
      <c r="G1953">
        <v>98</v>
      </c>
      <c r="H1953" t="s">
        <v>204</v>
      </c>
      <c r="I1953">
        <v>0</v>
      </c>
      <c r="J1953">
        <v>1</v>
      </c>
      <c r="K1953" t="s">
        <v>122</v>
      </c>
      <c r="L1953" t="s">
        <v>205</v>
      </c>
      <c r="M1953" t="s">
        <v>206</v>
      </c>
      <c r="N1953" t="s">
        <v>207</v>
      </c>
      <c r="O1953" t="s">
        <v>97</v>
      </c>
    </row>
    <row r="1954" spans="1:15" x14ac:dyDescent="0.2">
      <c r="A1954">
        <v>340</v>
      </c>
      <c r="B1954">
        <v>341</v>
      </c>
      <c r="C1954">
        <v>340</v>
      </c>
      <c r="D1954">
        <v>339</v>
      </c>
      <c r="E1954" t="s">
        <v>57</v>
      </c>
      <c r="F1954" t="s">
        <v>68</v>
      </c>
      <c r="G1954">
        <v>1</v>
      </c>
      <c r="H1954" t="s">
        <v>92</v>
      </c>
      <c r="I1954">
        <v>0.2</v>
      </c>
      <c r="J1954">
        <v>0.2</v>
      </c>
      <c r="K1954" t="s">
        <v>93</v>
      </c>
      <c r="L1954" t="s">
        <v>94</v>
      </c>
      <c r="M1954" t="s">
        <v>95</v>
      </c>
      <c r="N1954" t="s">
        <v>96</v>
      </c>
      <c r="O1954" t="s">
        <v>97</v>
      </c>
    </row>
    <row r="1955" spans="1:15" x14ac:dyDescent="0.2">
      <c r="A1955">
        <v>340</v>
      </c>
      <c r="B1955">
        <v>341</v>
      </c>
      <c r="C1955">
        <v>340</v>
      </c>
      <c r="D1955">
        <v>339</v>
      </c>
      <c r="E1955" t="s">
        <v>57</v>
      </c>
      <c r="F1955" t="s">
        <v>68</v>
      </c>
      <c r="G1955">
        <v>2</v>
      </c>
      <c r="H1955" t="s">
        <v>98</v>
      </c>
      <c r="I1955">
        <v>0.25</v>
      </c>
      <c r="J1955">
        <v>0.5</v>
      </c>
      <c r="K1955" t="s">
        <v>93</v>
      </c>
      <c r="L1955" t="s">
        <v>99</v>
      </c>
      <c r="M1955" t="s">
        <v>95</v>
      </c>
      <c r="N1955" t="s">
        <v>96</v>
      </c>
      <c r="O1955" t="s">
        <v>97</v>
      </c>
    </row>
    <row r="1956" spans="1:15" x14ac:dyDescent="0.2">
      <c r="A1956">
        <v>340</v>
      </c>
      <c r="B1956">
        <v>341</v>
      </c>
      <c r="C1956">
        <v>340</v>
      </c>
      <c r="D1956">
        <v>339</v>
      </c>
      <c r="E1956" t="s">
        <v>57</v>
      </c>
      <c r="F1956" t="s">
        <v>68</v>
      </c>
      <c r="G1956">
        <v>3</v>
      </c>
      <c r="H1956" t="s">
        <v>100</v>
      </c>
      <c r="I1956">
        <v>0</v>
      </c>
      <c r="J1956">
        <v>1</v>
      </c>
      <c r="K1956" t="s">
        <v>101</v>
      </c>
      <c r="L1956" t="s">
        <v>102</v>
      </c>
      <c r="M1956" t="s">
        <v>103</v>
      </c>
      <c r="N1956" t="s">
        <v>96</v>
      </c>
      <c r="O1956" t="s">
        <v>97</v>
      </c>
    </row>
    <row r="1957" spans="1:15" x14ac:dyDescent="0.2">
      <c r="A1957">
        <v>340</v>
      </c>
      <c r="B1957">
        <v>341</v>
      </c>
      <c r="C1957">
        <v>340</v>
      </c>
      <c r="D1957">
        <v>339</v>
      </c>
      <c r="E1957" t="s">
        <v>57</v>
      </c>
      <c r="F1957" t="s">
        <v>68</v>
      </c>
      <c r="G1957">
        <v>4</v>
      </c>
      <c r="H1957" t="s">
        <v>104</v>
      </c>
      <c r="I1957">
        <v>0</v>
      </c>
      <c r="J1957">
        <v>1</v>
      </c>
      <c r="K1957" t="s">
        <v>101</v>
      </c>
      <c r="L1957" t="s">
        <v>105</v>
      </c>
      <c r="M1957" t="s">
        <v>106</v>
      </c>
      <c r="N1957" t="s">
        <v>107</v>
      </c>
      <c r="O1957" t="s">
        <v>97</v>
      </c>
    </row>
    <row r="1958" spans="1:15" x14ac:dyDescent="0.2">
      <c r="A1958">
        <v>340</v>
      </c>
      <c r="B1958">
        <v>341</v>
      </c>
      <c r="C1958">
        <v>340</v>
      </c>
      <c r="D1958">
        <v>339</v>
      </c>
      <c r="E1958" t="s">
        <v>57</v>
      </c>
      <c r="F1958" t="s">
        <v>68</v>
      </c>
      <c r="G1958">
        <v>5</v>
      </c>
      <c r="H1958" t="s">
        <v>108</v>
      </c>
      <c r="I1958">
        <v>0</v>
      </c>
      <c r="J1958">
        <v>1</v>
      </c>
      <c r="K1958" t="s">
        <v>101</v>
      </c>
      <c r="L1958" t="s">
        <v>109</v>
      </c>
      <c r="M1958" t="s">
        <v>110</v>
      </c>
      <c r="N1958" t="s">
        <v>107</v>
      </c>
      <c r="O1958" t="s">
        <v>97</v>
      </c>
    </row>
    <row r="1959" spans="1:15" x14ac:dyDescent="0.2">
      <c r="A1959">
        <v>340</v>
      </c>
      <c r="B1959">
        <v>341</v>
      </c>
      <c r="C1959">
        <v>340</v>
      </c>
      <c r="D1959">
        <v>339</v>
      </c>
      <c r="E1959" t="s">
        <v>57</v>
      </c>
      <c r="F1959" t="s">
        <v>68</v>
      </c>
      <c r="G1959">
        <v>9</v>
      </c>
      <c r="H1959" t="s">
        <v>111</v>
      </c>
      <c r="I1959">
        <v>0.25</v>
      </c>
      <c r="J1959">
        <v>0.5</v>
      </c>
      <c r="K1959" t="s">
        <v>112</v>
      </c>
      <c r="L1959" t="s">
        <v>113</v>
      </c>
      <c r="M1959" t="s">
        <v>114</v>
      </c>
      <c r="N1959" t="s">
        <v>96</v>
      </c>
      <c r="O1959" t="s">
        <v>97</v>
      </c>
    </row>
    <row r="1960" spans="1:15" x14ac:dyDescent="0.2">
      <c r="A1960">
        <v>340</v>
      </c>
      <c r="B1960">
        <v>341</v>
      </c>
      <c r="C1960">
        <v>340</v>
      </c>
      <c r="D1960">
        <v>339</v>
      </c>
      <c r="E1960" t="s">
        <v>57</v>
      </c>
      <c r="F1960" t="s">
        <v>68</v>
      </c>
      <c r="G1960">
        <v>10</v>
      </c>
      <c r="H1960" t="s">
        <v>115</v>
      </c>
      <c r="I1960">
        <v>0.25</v>
      </c>
      <c r="J1960">
        <v>0.5</v>
      </c>
      <c r="K1960" t="s">
        <v>112</v>
      </c>
      <c r="L1960" t="s">
        <v>116</v>
      </c>
      <c r="M1960" t="s">
        <v>117</v>
      </c>
      <c r="N1960" t="s">
        <v>96</v>
      </c>
      <c r="O1960" t="s">
        <v>97</v>
      </c>
    </row>
    <row r="1961" spans="1:15" x14ac:dyDescent="0.2">
      <c r="A1961">
        <v>340</v>
      </c>
      <c r="B1961">
        <v>341</v>
      </c>
      <c r="C1961">
        <v>340</v>
      </c>
      <c r="D1961">
        <v>339</v>
      </c>
      <c r="E1961" t="s">
        <v>57</v>
      </c>
      <c r="F1961" t="s">
        <v>68</v>
      </c>
      <c r="G1961">
        <v>11</v>
      </c>
      <c r="H1961" t="s">
        <v>118</v>
      </c>
      <c r="I1961">
        <v>0.5</v>
      </c>
      <c r="J1961">
        <v>1</v>
      </c>
      <c r="K1961" t="s">
        <v>112</v>
      </c>
      <c r="L1961" t="s">
        <v>119</v>
      </c>
      <c r="M1961" t="s">
        <v>120</v>
      </c>
      <c r="N1961" t="s">
        <v>107</v>
      </c>
      <c r="O1961" t="s">
        <v>97</v>
      </c>
    </row>
    <row r="1962" spans="1:15" x14ac:dyDescent="0.2">
      <c r="A1962">
        <v>340</v>
      </c>
      <c r="B1962">
        <v>341</v>
      </c>
      <c r="C1962">
        <v>340</v>
      </c>
      <c r="D1962">
        <v>339</v>
      </c>
      <c r="E1962" t="s">
        <v>57</v>
      </c>
      <c r="F1962" t="s">
        <v>68</v>
      </c>
      <c r="G1962">
        <v>12</v>
      </c>
      <c r="H1962" t="s">
        <v>121</v>
      </c>
      <c r="I1962">
        <v>0</v>
      </c>
      <c r="J1962">
        <v>0.5</v>
      </c>
      <c r="K1962" t="s">
        <v>122</v>
      </c>
      <c r="L1962" t="s">
        <v>113</v>
      </c>
      <c r="M1962" t="s">
        <v>123</v>
      </c>
      <c r="N1962" t="s">
        <v>96</v>
      </c>
      <c r="O1962" t="s">
        <v>97</v>
      </c>
    </row>
    <row r="1963" spans="1:15" x14ac:dyDescent="0.2">
      <c r="A1963">
        <v>340</v>
      </c>
      <c r="B1963">
        <v>341</v>
      </c>
      <c r="C1963">
        <v>340</v>
      </c>
      <c r="D1963">
        <v>339</v>
      </c>
      <c r="E1963" t="s">
        <v>57</v>
      </c>
      <c r="F1963" t="s">
        <v>68</v>
      </c>
      <c r="G1963">
        <v>13</v>
      </c>
      <c r="H1963" t="s">
        <v>124</v>
      </c>
      <c r="I1963">
        <v>0</v>
      </c>
      <c r="J1963">
        <v>0.5</v>
      </c>
      <c r="K1963" t="s">
        <v>122</v>
      </c>
      <c r="L1963" t="s">
        <v>125</v>
      </c>
      <c r="M1963" t="s">
        <v>126</v>
      </c>
      <c r="N1963" t="s">
        <v>96</v>
      </c>
      <c r="O1963" t="s">
        <v>97</v>
      </c>
    </row>
    <row r="1964" spans="1:15" x14ac:dyDescent="0.2">
      <c r="A1964">
        <v>340</v>
      </c>
      <c r="B1964">
        <v>341</v>
      </c>
      <c r="C1964">
        <v>340</v>
      </c>
      <c r="D1964">
        <v>339</v>
      </c>
      <c r="E1964" t="s">
        <v>57</v>
      </c>
      <c r="F1964" t="s">
        <v>68</v>
      </c>
      <c r="G1964">
        <v>14</v>
      </c>
      <c r="H1964" t="s">
        <v>127</v>
      </c>
      <c r="I1964">
        <v>0.5</v>
      </c>
      <c r="J1964">
        <v>1</v>
      </c>
      <c r="K1964" t="s">
        <v>122</v>
      </c>
      <c r="L1964" t="s">
        <v>119</v>
      </c>
      <c r="M1964" t="s">
        <v>128</v>
      </c>
      <c r="N1964" t="s">
        <v>107</v>
      </c>
      <c r="O1964" t="s">
        <v>97</v>
      </c>
    </row>
    <row r="1965" spans="1:15" x14ac:dyDescent="0.2">
      <c r="A1965">
        <v>340</v>
      </c>
      <c r="B1965">
        <v>341</v>
      </c>
      <c r="C1965">
        <v>340</v>
      </c>
      <c r="D1965">
        <v>339</v>
      </c>
      <c r="E1965" t="s">
        <v>57</v>
      </c>
      <c r="F1965" t="s">
        <v>68</v>
      </c>
      <c r="G1965">
        <v>15</v>
      </c>
      <c r="H1965" t="s">
        <v>129</v>
      </c>
      <c r="I1965">
        <v>1</v>
      </c>
      <c r="J1965">
        <v>1</v>
      </c>
      <c r="K1965" t="s">
        <v>130</v>
      </c>
      <c r="L1965" t="s">
        <v>131</v>
      </c>
      <c r="M1965" t="s">
        <v>132</v>
      </c>
      <c r="N1965" t="s">
        <v>107</v>
      </c>
      <c r="O1965" t="s">
        <v>97</v>
      </c>
    </row>
    <row r="1966" spans="1:15" x14ac:dyDescent="0.2">
      <c r="A1966">
        <v>340</v>
      </c>
      <c r="B1966">
        <v>341</v>
      </c>
      <c r="C1966">
        <v>340</v>
      </c>
      <c r="D1966">
        <v>339</v>
      </c>
      <c r="E1966" t="s">
        <v>57</v>
      </c>
      <c r="F1966" t="s">
        <v>68</v>
      </c>
      <c r="G1966">
        <v>16</v>
      </c>
      <c r="H1966" t="s">
        <v>133</v>
      </c>
      <c r="I1966">
        <v>0</v>
      </c>
      <c r="J1966">
        <v>0</v>
      </c>
      <c r="K1966" t="e">
        <v>#N/A</v>
      </c>
      <c r="L1966" t="e">
        <v>#N/A</v>
      </c>
      <c r="M1966" t="e">
        <v>#N/A</v>
      </c>
      <c r="N1966" t="e">
        <v>#N/A</v>
      </c>
      <c r="O1966" t="s">
        <v>97</v>
      </c>
    </row>
    <row r="1967" spans="1:15" x14ac:dyDescent="0.2">
      <c r="A1967">
        <v>340</v>
      </c>
      <c r="B1967">
        <v>341</v>
      </c>
      <c r="C1967">
        <v>340</v>
      </c>
      <c r="D1967">
        <v>339</v>
      </c>
      <c r="E1967" t="s">
        <v>57</v>
      </c>
      <c r="F1967" t="s">
        <v>68</v>
      </c>
      <c r="G1967">
        <v>17</v>
      </c>
      <c r="H1967" t="s">
        <v>134</v>
      </c>
      <c r="I1967">
        <v>0.5</v>
      </c>
      <c r="J1967">
        <v>1</v>
      </c>
      <c r="K1967" t="s">
        <v>112</v>
      </c>
      <c r="L1967" t="s">
        <v>135</v>
      </c>
      <c r="M1967" t="s">
        <v>136</v>
      </c>
      <c r="N1967" t="s">
        <v>107</v>
      </c>
      <c r="O1967" t="s">
        <v>97</v>
      </c>
    </row>
    <row r="1968" spans="1:15" x14ac:dyDescent="0.2">
      <c r="A1968">
        <v>340</v>
      </c>
      <c r="B1968">
        <v>341</v>
      </c>
      <c r="C1968">
        <v>340</v>
      </c>
      <c r="D1968">
        <v>339</v>
      </c>
      <c r="E1968" t="s">
        <v>57</v>
      </c>
      <c r="F1968" t="s">
        <v>68</v>
      </c>
      <c r="G1968">
        <v>18</v>
      </c>
      <c r="H1968" t="s">
        <v>137</v>
      </c>
      <c r="I1968">
        <v>1</v>
      </c>
      <c r="J1968">
        <v>1</v>
      </c>
      <c r="K1968" t="s">
        <v>112</v>
      </c>
      <c r="L1968" t="s">
        <v>138</v>
      </c>
      <c r="M1968" t="s">
        <v>139</v>
      </c>
      <c r="N1968" t="s">
        <v>107</v>
      </c>
      <c r="O1968" t="s">
        <v>97</v>
      </c>
    </row>
    <row r="1969" spans="1:15" x14ac:dyDescent="0.2">
      <c r="A1969">
        <v>340</v>
      </c>
      <c r="B1969">
        <v>341</v>
      </c>
      <c r="C1969">
        <v>340</v>
      </c>
      <c r="D1969">
        <v>339</v>
      </c>
      <c r="E1969" t="s">
        <v>57</v>
      </c>
      <c r="F1969" t="s">
        <v>68</v>
      </c>
      <c r="G1969">
        <v>19</v>
      </c>
      <c r="H1969" t="s">
        <v>140</v>
      </c>
      <c r="I1969">
        <v>0.5</v>
      </c>
      <c r="J1969">
        <v>1</v>
      </c>
      <c r="K1969" t="s">
        <v>122</v>
      </c>
      <c r="L1969" t="s">
        <v>141</v>
      </c>
      <c r="M1969" t="s">
        <v>142</v>
      </c>
      <c r="N1969" t="s">
        <v>107</v>
      </c>
      <c r="O1969" t="s">
        <v>97</v>
      </c>
    </row>
    <row r="1970" spans="1:15" x14ac:dyDescent="0.2">
      <c r="A1970">
        <v>340</v>
      </c>
      <c r="B1970">
        <v>341</v>
      </c>
      <c r="C1970">
        <v>340</v>
      </c>
      <c r="D1970">
        <v>339</v>
      </c>
      <c r="E1970" t="s">
        <v>57</v>
      </c>
      <c r="F1970" t="s">
        <v>68</v>
      </c>
      <c r="G1970">
        <v>20</v>
      </c>
      <c r="H1970" t="s">
        <v>143</v>
      </c>
      <c r="I1970">
        <v>1</v>
      </c>
      <c r="J1970">
        <v>1</v>
      </c>
      <c r="K1970" t="s">
        <v>122</v>
      </c>
      <c r="L1970" t="s">
        <v>144</v>
      </c>
      <c r="M1970" t="s">
        <v>145</v>
      </c>
      <c r="N1970" t="s">
        <v>107</v>
      </c>
      <c r="O1970" t="s">
        <v>97</v>
      </c>
    </row>
    <row r="1971" spans="1:15" x14ac:dyDescent="0.2">
      <c r="A1971">
        <v>340</v>
      </c>
      <c r="B1971">
        <v>341</v>
      </c>
      <c r="C1971">
        <v>340</v>
      </c>
      <c r="D1971">
        <v>339</v>
      </c>
      <c r="E1971" t="s">
        <v>57</v>
      </c>
      <c r="F1971" t="s">
        <v>68</v>
      </c>
      <c r="G1971">
        <v>21</v>
      </c>
      <c r="H1971" t="s">
        <v>146</v>
      </c>
      <c r="I1971">
        <v>1</v>
      </c>
      <c r="J1971">
        <v>1</v>
      </c>
      <c r="K1971" t="s">
        <v>147</v>
      </c>
      <c r="L1971" t="s">
        <v>148</v>
      </c>
      <c r="M1971" t="s">
        <v>149</v>
      </c>
      <c r="N1971" t="s">
        <v>96</v>
      </c>
      <c r="O1971" t="s">
        <v>97</v>
      </c>
    </row>
    <row r="1972" spans="1:15" x14ac:dyDescent="0.2">
      <c r="A1972">
        <v>340</v>
      </c>
      <c r="B1972">
        <v>341</v>
      </c>
      <c r="C1972">
        <v>340</v>
      </c>
      <c r="D1972">
        <v>339</v>
      </c>
      <c r="E1972" t="s">
        <v>57</v>
      </c>
      <c r="F1972" t="s">
        <v>68</v>
      </c>
      <c r="G1972">
        <v>22</v>
      </c>
      <c r="H1972" t="s">
        <v>150</v>
      </c>
      <c r="I1972">
        <v>0</v>
      </c>
      <c r="J1972">
        <v>1</v>
      </c>
      <c r="K1972" t="s">
        <v>147</v>
      </c>
      <c r="L1972" t="s">
        <v>151</v>
      </c>
      <c r="M1972" t="s">
        <v>149</v>
      </c>
      <c r="N1972" t="s">
        <v>107</v>
      </c>
      <c r="O1972" t="s">
        <v>97</v>
      </c>
    </row>
    <row r="1973" spans="1:15" x14ac:dyDescent="0.2">
      <c r="A1973">
        <v>340</v>
      </c>
      <c r="B1973">
        <v>341</v>
      </c>
      <c r="C1973">
        <v>340</v>
      </c>
      <c r="D1973">
        <v>339</v>
      </c>
      <c r="E1973" t="s">
        <v>57</v>
      </c>
      <c r="F1973" t="s">
        <v>68</v>
      </c>
      <c r="G1973">
        <v>23</v>
      </c>
      <c r="H1973" t="s">
        <v>152</v>
      </c>
      <c r="I1973">
        <v>0</v>
      </c>
      <c r="J1973">
        <v>0</v>
      </c>
      <c r="K1973" t="s">
        <v>153</v>
      </c>
      <c r="L1973" t="s">
        <v>154</v>
      </c>
      <c r="M1973" t="s">
        <v>155</v>
      </c>
      <c r="N1973" t="s">
        <v>107</v>
      </c>
      <c r="O1973" t="s">
        <v>97</v>
      </c>
    </row>
    <row r="1974" spans="1:15" x14ac:dyDescent="0.2">
      <c r="A1974">
        <v>340</v>
      </c>
      <c r="B1974">
        <v>341</v>
      </c>
      <c r="C1974">
        <v>340</v>
      </c>
      <c r="D1974">
        <v>339</v>
      </c>
      <c r="E1974" t="s">
        <v>57</v>
      </c>
      <c r="F1974" t="s">
        <v>68</v>
      </c>
      <c r="G1974">
        <v>24</v>
      </c>
      <c r="H1974" t="s">
        <v>156</v>
      </c>
      <c r="I1974">
        <v>0.5</v>
      </c>
      <c r="J1974">
        <v>0.5</v>
      </c>
      <c r="K1974" t="s">
        <v>122</v>
      </c>
      <c r="L1974" t="s">
        <v>157</v>
      </c>
      <c r="M1974" t="s">
        <v>158</v>
      </c>
      <c r="N1974" t="s">
        <v>107</v>
      </c>
      <c r="O1974" t="s">
        <v>97</v>
      </c>
    </row>
    <row r="1975" spans="1:15" x14ac:dyDescent="0.2">
      <c r="A1975">
        <v>340</v>
      </c>
      <c r="B1975">
        <v>341</v>
      </c>
      <c r="C1975">
        <v>340</v>
      </c>
      <c r="D1975">
        <v>339</v>
      </c>
      <c r="E1975" t="s">
        <v>57</v>
      </c>
      <c r="F1975" t="s">
        <v>68</v>
      </c>
      <c r="G1975">
        <v>25</v>
      </c>
      <c r="H1975" t="s">
        <v>156</v>
      </c>
      <c r="I1975">
        <v>0.5</v>
      </c>
      <c r="J1975">
        <v>0.5</v>
      </c>
      <c r="K1975" t="s">
        <v>122</v>
      </c>
      <c r="L1975" t="s">
        <v>157</v>
      </c>
      <c r="M1975" t="s">
        <v>158</v>
      </c>
      <c r="N1975" t="s">
        <v>107</v>
      </c>
      <c r="O1975" t="s">
        <v>97</v>
      </c>
    </row>
    <row r="1976" spans="1:15" x14ac:dyDescent="0.2">
      <c r="A1976">
        <v>340</v>
      </c>
      <c r="B1976">
        <v>341</v>
      </c>
      <c r="C1976">
        <v>340</v>
      </c>
      <c r="D1976">
        <v>339</v>
      </c>
      <c r="E1976" t="s">
        <v>57</v>
      </c>
      <c r="F1976" t="s">
        <v>68</v>
      </c>
      <c r="G1976">
        <v>26</v>
      </c>
      <c r="H1976" t="s">
        <v>152</v>
      </c>
      <c r="I1976">
        <v>0</v>
      </c>
      <c r="J1976">
        <v>0</v>
      </c>
      <c r="K1976" t="s">
        <v>153</v>
      </c>
      <c r="L1976" t="s">
        <v>154</v>
      </c>
      <c r="M1976" t="s">
        <v>155</v>
      </c>
      <c r="N1976" t="s">
        <v>107</v>
      </c>
      <c r="O1976" t="s">
        <v>97</v>
      </c>
    </row>
    <row r="1977" spans="1:15" x14ac:dyDescent="0.2">
      <c r="A1977">
        <v>340</v>
      </c>
      <c r="B1977">
        <v>341</v>
      </c>
      <c r="C1977">
        <v>340</v>
      </c>
      <c r="D1977">
        <v>339</v>
      </c>
      <c r="E1977" t="s">
        <v>57</v>
      </c>
      <c r="F1977" t="s">
        <v>68</v>
      </c>
      <c r="G1977">
        <v>27</v>
      </c>
      <c r="H1977" t="s">
        <v>159</v>
      </c>
      <c r="I1977">
        <v>0.5</v>
      </c>
      <c r="J1977">
        <v>0.5</v>
      </c>
      <c r="K1977" t="s">
        <v>122</v>
      </c>
      <c r="L1977" t="s">
        <v>160</v>
      </c>
      <c r="M1977" t="s">
        <v>161</v>
      </c>
      <c r="N1977" t="s">
        <v>107</v>
      </c>
      <c r="O1977" t="s">
        <v>97</v>
      </c>
    </row>
    <row r="1978" spans="1:15" x14ac:dyDescent="0.2">
      <c r="A1978">
        <v>340</v>
      </c>
      <c r="B1978">
        <v>341</v>
      </c>
      <c r="C1978">
        <v>340</v>
      </c>
      <c r="D1978">
        <v>339</v>
      </c>
      <c r="E1978" t="s">
        <v>57</v>
      </c>
      <c r="F1978" t="s">
        <v>68</v>
      </c>
      <c r="G1978">
        <v>28</v>
      </c>
      <c r="H1978" t="s">
        <v>159</v>
      </c>
      <c r="I1978">
        <v>0.5</v>
      </c>
      <c r="J1978">
        <v>0.5</v>
      </c>
      <c r="K1978" t="s">
        <v>122</v>
      </c>
      <c r="L1978" t="s">
        <v>160</v>
      </c>
      <c r="M1978" t="s">
        <v>161</v>
      </c>
      <c r="N1978" t="s">
        <v>107</v>
      </c>
      <c r="O1978" t="s">
        <v>97</v>
      </c>
    </row>
    <row r="1979" spans="1:15" x14ac:dyDescent="0.2">
      <c r="A1979">
        <v>340</v>
      </c>
      <c r="B1979">
        <v>341</v>
      </c>
      <c r="C1979">
        <v>340</v>
      </c>
      <c r="D1979">
        <v>339</v>
      </c>
      <c r="E1979" t="s">
        <v>57</v>
      </c>
      <c r="F1979" t="s">
        <v>68</v>
      </c>
      <c r="G1979">
        <v>29</v>
      </c>
      <c r="H1979" t="s">
        <v>152</v>
      </c>
      <c r="I1979">
        <v>0</v>
      </c>
      <c r="J1979">
        <v>0</v>
      </c>
      <c r="K1979" t="s">
        <v>153</v>
      </c>
      <c r="L1979" t="s">
        <v>154</v>
      </c>
      <c r="M1979" t="s">
        <v>155</v>
      </c>
      <c r="N1979" t="s">
        <v>107</v>
      </c>
      <c r="O1979" t="s">
        <v>97</v>
      </c>
    </row>
    <row r="1980" spans="1:15" x14ac:dyDescent="0.2">
      <c r="A1980">
        <v>340</v>
      </c>
      <c r="B1980">
        <v>341</v>
      </c>
      <c r="C1980">
        <v>340</v>
      </c>
      <c r="D1980">
        <v>339</v>
      </c>
      <c r="E1980" t="s">
        <v>57</v>
      </c>
      <c r="F1980" t="s">
        <v>68</v>
      </c>
      <c r="G1980">
        <v>30</v>
      </c>
      <c r="H1980" t="s">
        <v>162</v>
      </c>
      <c r="I1980">
        <v>1</v>
      </c>
      <c r="J1980">
        <v>1</v>
      </c>
      <c r="K1980" t="s">
        <v>112</v>
      </c>
      <c r="L1980" t="s">
        <v>163</v>
      </c>
      <c r="M1980" t="s">
        <v>164</v>
      </c>
      <c r="N1980" t="s">
        <v>107</v>
      </c>
      <c r="O1980" t="s">
        <v>97</v>
      </c>
    </row>
    <row r="1981" spans="1:15" x14ac:dyDescent="0.2">
      <c r="A1981">
        <v>340</v>
      </c>
      <c r="B1981">
        <v>341</v>
      </c>
      <c r="C1981">
        <v>340</v>
      </c>
      <c r="D1981">
        <v>339</v>
      </c>
      <c r="E1981" t="s">
        <v>57</v>
      </c>
      <c r="F1981" t="s">
        <v>68</v>
      </c>
      <c r="G1981">
        <v>31</v>
      </c>
      <c r="H1981" t="s">
        <v>162</v>
      </c>
      <c r="I1981">
        <v>0</v>
      </c>
      <c r="J1981">
        <v>0</v>
      </c>
      <c r="K1981" t="s">
        <v>112</v>
      </c>
      <c r="L1981" t="s">
        <v>163</v>
      </c>
      <c r="M1981" t="s">
        <v>164</v>
      </c>
      <c r="N1981" t="s">
        <v>107</v>
      </c>
      <c r="O1981" t="s">
        <v>97</v>
      </c>
    </row>
    <row r="1982" spans="1:15" x14ac:dyDescent="0.2">
      <c r="A1982">
        <v>340</v>
      </c>
      <c r="B1982">
        <v>341</v>
      </c>
      <c r="C1982">
        <v>340</v>
      </c>
      <c r="D1982">
        <v>339</v>
      </c>
      <c r="E1982" t="s">
        <v>57</v>
      </c>
      <c r="F1982" t="s">
        <v>68</v>
      </c>
      <c r="G1982">
        <v>32</v>
      </c>
      <c r="H1982" t="s">
        <v>162</v>
      </c>
      <c r="I1982">
        <v>0</v>
      </c>
      <c r="J1982">
        <v>0</v>
      </c>
      <c r="K1982" t="s">
        <v>112</v>
      </c>
      <c r="L1982" t="s">
        <v>163</v>
      </c>
      <c r="M1982" t="s">
        <v>164</v>
      </c>
      <c r="N1982" t="s">
        <v>107</v>
      </c>
      <c r="O1982" t="s">
        <v>97</v>
      </c>
    </row>
    <row r="1983" spans="1:15" x14ac:dyDescent="0.2">
      <c r="A1983">
        <v>340</v>
      </c>
      <c r="B1983">
        <v>341</v>
      </c>
      <c r="C1983">
        <v>340</v>
      </c>
      <c r="D1983">
        <v>339</v>
      </c>
      <c r="E1983" t="s">
        <v>57</v>
      </c>
      <c r="F1983" t="s">
        <v>68</v>
      </c>
      <c r="G1983">
        <v>33</v>
      </c>
      <c r="H1983" t="s">
        <v>152</v>
      </c>
      <c r="I1983">
        <v>1</v>
      </c>
      <c r="J1983">
        <v>1</v>
      </c>
      <c r="K1983" t="s">
        <v>153</v>
      </c>
      <c r="L1983" t="s">
        <v>154</v>
      </c>
      <c r="M1983" t="s">
        <v>155</v>
      </c>
      <c r="N1983" t="s">
        <v>107</v>
      </c>
      <c r="O1983" t="s">
        <v>97</v>
      </c>
    </row>
    <row r="1984" spans="1:15" x14ac:dyDescent="0.2">
      <c r="A1984">
        <v>340</v>
      </c>
      <c r="B1984">
        <v>341</v>
      </c>
      <c r="C1984">
        <v>340</v>
      </c>
      <c r="D1984">
        <v>339</v>
      </c>
      <c r="E1984" t="s">
        <v>57</v>
      </c>
      <c r="F1984" t="s">
        <v>68</v>
      </c>
      <c r="G1984">
        <v>34</v>
      </c>
      <c r="H1984" t="s">
        <v>152</v>
      </c>
      <c r="I1984">
        <v>0</v>
      </c>
      <c r="J1984">
        <v>0</v>
      </c>
      <c r="K1984" t="s">
        <v>153</v>
      </c>
      <c r="L1984" t="s">
        <v>154</v>
      </c>
      <c r="M1984" t="s">
        <v>155</v>
      </c>
      <c r="N1984" t="s">
        <v>107</v>
      </c>
      <c r="O1984" t="s">
        <v>97</v>
      </c>
    </row>
    <row r="1985" spans="1:15" x14ac:dyDescent="0.2">
      <c r="A1985">
        <v>340</v>
      </c>
      <c r="B1985">
        <v>341</v>
      </c>
      <c r="C1985">
        <v>340</v>
      </c>
      <c r="D1985">
        <v>339</v>
      </c>
      <c r="E1985" t="s">
        <v>57</v>
      </c>
      <c r="F1985" t="s">
        <v>68</v>
      </c>
      <c r="G1985">
        <v>35</v>
      </c>
      <c r="H1985" t="s">
        <v>165</v>
      </c>
      <c r="I1985">
        <v>0</v>
      </c>
      <c r="J1985">
        <v>1</v>
      </c>
      <c r="K1985" t="s">
        <v>166</v>
      </c>
      <c r="L1985" t="s">
        <v>167</v>
      </c>
      <c r="M1985" t="s">
        <v>168</v>
      </c>
      <c r="N1985" t="s">
        <v>107</v>
      </c>
      <c r="O1985" t="s">
        <v>97</v>
      </c>
    </row>
    <row r="1986" spans="1:15" x14ac:dyDescent="0.2">
      <c r="A1986">
        <v>340</v>
      </c>
      <c r="B1986">
        <v>341</v>
      </c>
      <c r="C1986">
        <v>340</v>
      </c>
      <c r="D1986">
        <v>339</v>
      </c>
      <c r="E1986" t="s">
        <v>57</v>
      </c>
      <c r="F1986" t="s">
        <v>68</v>
      </c>
      <c r="G1986">
        <v>36</v>
      </c>
      <c r="H1986" t="s">
        <v>169</v>
      </c>
      <c r="I1986">
        <v>0</v>
      </c>
      <c r="J1986">
        <v>0</v>
      </c>
      <c r="K1986" t="e">
        <v>#N/A</v>
      </c>
      <c r="L1986" t="e">
        <v>#N/A</v>
      </c>
      <c r="M1986" t="e">
        <v>#N/A</v>
      </c>
      <c r="N1986" t="e">
        <v>#N/A</v>
      </c>
      <c r="O1986" t="s">
        <v>97</v>
      </c>
    </row>
    <row r="1987" spans="1:15" x14ac:dyDescent="0.2">
      <c r="A1987">
        <v>340</v>
      </c>
      <c r="B1987">
        <v>341</v>
      </c>
      <c r="C1987">
        <v>340</v>
      </c>
      <c r="D1987">
        <v>339</v>
      </c>
      <c r="E1987" t="s">
        <v>57</v>
      </c>
      <c r="F1987" t="s">
        <v>68</v>
      </c>
      <c r="G1987">
        <v>38</v>
      </c>
      <c r="H1987" t="s">
        <v>170</v>
      </c>
      <c r="I1987">
        <v>0</v>
      </c>
      <c r="J1987">
        <v>0</v>
      </c>
      <c r="K1987" t="s">
        <v>112</v>
      </c>
      <c r="L1987" t="s">
        <v>171</v>
      </c>
      <c r="M1987" t="s">
        <v>172</v>
      </c>
      <c r="N1987" t="s">
        <v>96</v>
      </c>
      <c r="O1987" t="s">
        <v>97</v>
      </c>
    </row>
    <row r="1988" spans="1:15" x14ac:dyDescent="0.2">
      <c r="A1988">
        <v>340</v>
      </c>
      <c r="B1988">
        <v>341</v>
      </c>
      <c r="C1988">
        <v>340</v>
      </c>
      <c r="D1988">
        <v>339</v>
      </c>
      <c r="E1988" t="s">
        <v>57</v>
      </c>
      <c r="F1988" t="s">
        <v>68</v>
      </c>
      <c r="G1988">
        <v>39</v>
      </c>
      <c r="H1988" t="s">
        <v>170</v>
      </c>
      <c r="I1988">
        <v>0</v>
      </c>
      <c r="J1988">
        <v>0</v>
      </c>
      <c r="K1988" t="s">
        <v>112</v>
      </c>
      <c r="L1988" t="s">
        <v>171</v>
      </c>
      <c r="M1988" t="s">
        <v>172</v>
      </c>
      <c r="N1988" t="s">
        <v>96</v>
      </c>
      <c r="O1988" t="s">
        <v>97</v>
      </c>
    </row>
    <row r="1989" spans="1:15" x14ac:dyDescent="0.2">
      <c r="A1989">
        <v>340</v>
      </c>
      <c r="B1989">
        <v>341</v>
      </c>
      <c r="C1989">
        <v>340</v>
      </c>
      <c r="D1989">
        <v>339</v>
      </c>
      <c r="E1989" t="s">
        <v>57</v>
      </c>
      <c r="F1989" t="s">
        <v>68</v>
      </c>
      <c r="G1989">
        <v>40</v>
      </c>
      <c r="H1989" t="s">
        <v>170</v>
      </c>
      <c r="I1989">
        <v>0</v>
      </c>
      <c r="J1989">
        <v>0</v>
      </c>
      <c r="K1989" t="s">
        <v>112</v>
      </c>
      <c r="L1989" t="s">
        <v>171</v>
      </c>
      <c r="M1989" t="s">
        <v>172</v>
      </c>
      <c r="N1989" t="s">
        <v>96</v>
      </c>
      <c r="O1989" t="s">
        <v>97</v>
      </c>
    </row>
    <row r="1990" spans="1:15" x14ac:dyDescent="0.2">
      <c r="A1990">
        <v>340</v>
      </c>
      <c r="B1990">
        <v>341</v>
      </c>
      <c r="C1990">
        <v>340</v>
      </c>
      <c r="D1990">
        <v>339</v>
      </c>
      <c r="E1990" t="s">
        <v>57</v>
      </c>
      <c r="F1990" t="s">
        <v>68</v>
      </c>
      <c r="G1990">
        <v>41</v>
      </c>
      <c r="H1990" t="s">
        <v>173</v>
      </c>
      <c r="I1990">
        <v>0</v>
      </c>
      <c r="J1990">
        <v>0</v>
      </c>
      <c r="K1990" t="s">
        <v>166</v>
      </c>
      <c r="L1990" t="s">
        <v>174</v>
      </c>
      <c r="M1990" t="s">
        <v>175</v>
      </c>
      <c r="N1990" t="s">
        <v>107</v>
      </c>
      <c r="O1990" t="s">
        <v>97</v>
      </c>
    </row>
    <row r="1991" spans="1:15" x14ac:dyDescent="0.2">
      <c r="A1991">
        <v>340</v>
      </c>
      <c r="B1991">
        <v>341</v>
      </c>
      <c r="C1991">
        <v>340</v>
      </c>
      <c r="D1991">
        <v>339</v>
      </c>
      <c r="E1991" t="s">
        <v>57</v>
      </c>
      <c r="F1991" t="s">
        <v>68</v>
      </c>
      <c r="G1991">
        <v>42</v>
      </c>
      <c r="H1991" t="s">
        <v>176</v>
      </c>
      <c r="I1991">
        <v>0</v>
      </c>
      <c r="J1991" t="s">
        <v>198</v>
      </c>
      <c r="K1991" t="s">
        <v>153</v>
      </c>
      <c r="L1991" t="s">
        <v>177</v>
      </c>
      <c r="M1991" t="s">
        <v>178</v>
      </c>
      <c r="N1991" t="s">
        <v>107</v>
      </c>
      <c r="O1991" t="s">
        <v>97</v>
      </c>
    </row>
    <row r="1992" spans="1:15" x14ac:dyDescent="0.2">
      <c r="A1992">
        <v>340</v>
      </c>
      <c r="B1992">
        <v>341</v>
      </c>
      <c r="C1992">
        <v>340</v>
      </c>
      <c r="D1992">
        <v>339</v>
      </c>
      <c r="E1992" t="s">
        <v>57</v>
      </c>
      <c r="F1992" t="s">
        <v>68</v>
      </c>
      <c r="G1992">
        <v>43</v>
      </c>
      <c r="H1992" t="s">
        <v>179</v>
      </c>
      <c r="I1992">
        <v>0</v>
      </c>
      <c r="J1992">
        <v>0</v>
      </c>
      <c r="K1992" t="s">
        <v>166</v>
      </c>
      <c r="L1992" t="s">
        <v>180</v>
      </c>
      <c r="M1992" t="s">
        <v>181</v>
      </c>
      <c r="N1992" t="s">
        <v>107</v>
      </c>
      <c r="O1992" t="s">
        <v>97</v>
      </c>
    </row>
    <row r="1993" spans="1:15" x14ac:dyDescent="0.2">
      <c r="A1993">
        <v>340</v>
      </c>
      <c r="B1993">
        <v>341</v>
      </c>
      <c r="C1993">
        <v>340</v>
      </c>
      <c r="D1993">
        <v>339</v>
      </c>
      <c r="E1993" t="s">
        <v>57</v>
      </c>
      <c r="F1993" t="s">
        <v>68</v>
      </c>
      <c r="G1993">
        <v>44</v>
      </c>
      <c r="H1993" t="s">
        <v>182</v>
      </c>
      <c r="I1993">
        <v>1</v>
      </c>
      <c r="J1993">
        <v>1</v>
      </c>
      <c r="K1993" t="s">
        <v>166</v>
      </c>
      <c r="L1993" t="s">
        <v>183</v>
      </c>
      <c r="M1993" t="s">
        <v>184</v>
      </c>
      <c r="N1993" t="s">
        <v>107</v>
      </c>
      <c r="O1993" t="s">
        <v>97</v>
      </c>
    </row>
    <row r="1994" spans="1:15" x14ac:dyDescent="0.2">
      <c r="A1994">
        <v>340</v>
      </c>
      <c r="B1994">
        <v>341</v>
      </c>
      <c r="C1994">
        <v>340</v>
      </c>
      <c r="D1994">
        <v>339</v>
      </c>
      <c r="E1994" t="s">
        <v>57</v>
      </c>
      <c r="F1994" t="s">
        <v>68</v>
      </c>
      <c r="G1994">
        <v>45</v>
      </c>
      <c r="H1994" t="s">
        <v>185</v>
      </c>
      <c r="I1994">
        <v>1</v>
      </c>
      <c r="J1994">
        <v>1</v>
      </c>
      <c r="K1994" t="s">
        <v>166</v>
      </c>
      <c r="L1994" t="s">
        <v>186</v>
      </c>
      <c r="M1994" t="s">
        <v>139</v>
      </c>
      <c r="N1994" t="s">
        <v>107</v>
      </c>
      <c r="O1994" t="s">
        <v>97</v>
      </c>
    </row>
    <row r="1995" spans="1:15" x14ac:dyDescent="0.2">
      <c r="A1995">
        <v>340</v>
      </c>
      <c r="B1995">
        <v>341</v>
      </c>
      <c r="C1995">
        <v>340</v>
      </c>
      <c r="D1995">
        <v>339</v>
      </c>
      <c r="E1995" t="s">
        <v>57</v>
      </c>
      <c r="F1995" t="s">
        <v>68</v>
      </c>
      <c r="G1995">
        <v>47</v>
      </c>
      <c r="H1995" t="s">
        <v>187</v>
      </c>
      <c r="I1995">
        <v>0.2</v>
      </c>
      <c r="J1995">
        <v>0.2</v>
      </c>
      <c r="K1995" t="s">
        <v>93</v>
      </c>
      <c r="L1995" t="s">
        <v>188</v>
      </c>
      <c r="M1995" t="s">
        <v>95</v>
      </c>
      <c r="N1995" t="s">
        <v>96</v>
      </c>
      <c r="O1995" t="s">
        <v>97</v>
      </c>
    </row>
    <row r="1996" spans="1:15" x14ac:dyDescent="0.2">
      <c r="A1996">
        <v>340</v>
      </c>
      <c r="B1996">
        <v>341</v>
      </c>
      <c r="C1996">
        <v>340</v>
      </c>
      <c r="D1996">
        <v>339</v>
      </c>
      <c r="E1996" t="s">
        <v>57</v>
      </c>
      <c r="F1996" t="s">
        <v>68</v>
      </c>
      <c r="G1996">
        <v>48</v>
      </c>
      <c r="H1996" t="s">
        <v>189</v>
      </c>
      <c r="I1996">
        <v>0.2</v>
      </c>
      <c r="J1996">
        <v>0.2</v>
      </c>
      <c r="K1996" t="s">
        <v>93</v>
      </c>
      <c r="L1996" t="s">
        <v>190</v>
      </c>
      <c r="M1996" t="s">
        <v>95</v>
      </c>
      <c r="N1996" t="s">
        <v>96</v>
      </c>
      <c r="O1996" t="s">
        <v>97</v>
      </c>
    </row>
    <row r="1997" spans="1:15" x14ac:dyDescent="0.2">
      <c r="A1997">
        <v>340</v>
      </c>
      <c r="B1997">
        <v>341</v>
      </c>
      <c r="C1997">
        <v>340</v>
      </c>
      <c r="D1997">
        <v>339</v>
      </c>
      <c r="E1997" t="s">
        <v>57</v>
      </c>
      <c r="F1997" t="s">
        <v>68</v>
      </c>
      <c r="G1997">
        <v>49</v>
      </c>
      <c r="H1997" t="s">
        <v>191</v>
      </c>
      <c r="I1997">
        <v>0.2</v>
      </c>
      <c r="J1997">
        <v>0.2</v>
      </c>
      <c r="K1997" t="s">
        <v>93</v>
      </c>
      <c r="L1997" t="s">
        <v>192</v>
      </c>
      <c r="M1997" t="s">
        <v>95</v>
      </c>
      <c r="N1997" t="s">
        <v>96</v>
      </c>
      <c r="O1997" t="s">
        <v>97</v>
      </c>
    </row>
    <row r="1998" spans="1:15" x14ac:dyDescent="0.2">
      <c r="A1998">
        <v>340</v>
      </c>
      <c r="B1998">
        <v>341</v>
      </c>
      <c r="C1998">
        <v>340</v>
      </c>
      <c r="D1998">
        <v>339</v>
      </c>
      <c r="E1998" t="s">
        <v>57</v>
      </c>
      <c r="F1998" t="s">
        <v>68</v>
      </c>
      <c r="G1998">
        <v>50</v>
      </c>
      <c r="H1998" t="s">
        <v>193</v>
      </c>
      <c r="I1998">
        <v>0.1</v>
      </c>
      <c r="J1998">
        <v>0.1</v>
      </c>
      <c r="K1998" t="s">
        <v>93</v>
      </c>
      <c r="L1998" t="s">
        <v>194</v>
      </c>
      <c r="M1998" t="s">
        <v>95</v>
      </c>
      <c r="N1998" t="s">
        <v>96</v>
      </c>
      <c r="O1998" t="s">
        <v>97</v>
      </c>
    </row>
    <row r="1999" spans="1:15" x14ac:dyDescent="0.2">
      <c r="A1999">
        <v>340</v>
      </c>
      <c r="B1999">
        <v>341</v>
      </c>
      <c r="C1999">
        <v>340</v>
      </c>
      <c r="D1999">
        <v>339</v>
      </c>
      <c r="E1999" t="s">
        <v>57</v>
      </c>
      <c r="F1999" t="s">
        <v>68</v>
      </c>
      <c r="G1999">
        <v>51</v>
      </c>
      <c r="H1999" t="s">
        <v>193</v>
      </c>
      <c r="I1999">
        <v>0.1</v>
      </c>
      <c r="J1999">
        <v>0.1</v>
      </c>
      <c r="K1999" t="s">
        <v>93</v>
      </c>
      <c r="L1999" t="s">
        <v>194</v>
      </c>
      <c r="M1999" t="s">
        <v>95</v>
      </c>
      <c r="N1999" t="s">
        <v>96</v>
      </c>
      <c r="O1999" t="s">
        <v>97</v>
      </c>
    </row>
    <row r="2000" spans="1:15" x14ac:dyDescent="0.2">
      <c r="A2000">
        <v>340</v>
      </c>
      <c r="B2000">
        <v>341</v>
      </c>
      <c r="C2000">
        <v>340</v>
      </c>
      <c r="D2000">
        <v>339</v>
      </c>
      <c r="E2000" t="s">
        <v>57</v>
      </c>
      <c r="F2000" t="s">
        <v>68</v>
      </c>
      <c r="G2000">
        <v>97</v>
      </c>
      <c r="H2000" t="s">
        <v>152</v>
      </c>
      <c r="I2000">
        <v>0.25</v>
      </c>
      <c r="J2000">
        <v>0.25</v>
      </c>
      <c r="K2000" t="s">
        <v>153</v>
      </c>
      <c r="L2000" t="s">
        <v>154</v>
      </c>
      <c r="M2000" t="s">
        <v>155</v>
      </c>
      <c r="N2000" t="s">
        <v>107</v>
      </c>
      <c r="O2000" t="s">
        <v>97</v>
      </c>
    </row>
    <row r="2001" spans="1:15" x14ac:dyDescent="0.2">
      <c r="A2001">
        <v>340</v>
      </c>
      <c r="B2001">
        <v>341</v>
      </c>
      <c r="C2001">
        <v>340</v>
      </c>
      <c r="D2001">
        <v>339</v>
      </c>
      <c r="E2001" t="s">
        <v>57</v>
      </c>
      <c r="F2001" t="s">
        <v>68</v>
      </c>
      <c r="G2001">
        <v>96</v>
      </c>
      <c r="H2001" t="s">
        <v>152</v>
      </c>
      <c r="I2001">
        <v>0</v>
      </c>
      <c r="J2001">
        <v>0</v>
      </c>
      <c r="K2001" t="s">
        <v>153</v>
      </c>
      <c r="L2001" t="s">
        <v>154</v>
      </c>
      <c r="M2001" t="s">
        <v>155</v>
      </c>
      <c r="N2001" t="s">
        <v>107</v>
      </c>
      <c r="O2001" t="s">
        <v>97</v>
      </c>
    </row>
    <row r="2002" spans="1:15" x14ac:dyDescent="0.2">
      <c r="A2002">
        <v>340</v>
      </c>
      <c r="B2002">
        <v>341</v>
      </c>
      <c r="C2002">
        <v>340</v>
      </c>
      <c r="D2002">
        <v>339</v>
      </c>
      <c r="E2002" t="s">
        <v>57</v>
      </c>
      <c r="F2002" t="s">
        <v>68</v>
      </c>
      <c r="G2002">
        <v>99</v>
      </c>
      <c r="H2002" t="s">
        <v>152</v>
      </c>
      <c r="I2002">
        <v>0</v>
      </c>
      <c r="J2002">
        <v>0</v>
      </c>
      <c r="K2002" t="s">
        <v>153</v>
      </c>
      <c r="L2002" t="s">
        <v>154</v>
      </c>
      <c r="M2002" t="s">
        <v>155</v>
      </c>
      <c r="N2002" t="s">
        <v>107</v>
      </c>
      <c r="O2002" t="s">
        <v>97</v>
      </c>
    </row>
    <row r="2003" spans="1:15" x14ac:dyDescent="0.2">
      <c r="A2003">
        <v>340</v>
      </c>
      <c r="B2003">
        <v>341</v>
      </c>
      <c r="C2003">
        <v>340</v>
      </c>
      <c r="D2003">
        <v>339</v>
      </c>
      <c r="E2003" t="s">
        <v>57</v>
      </c>
      <c r="F2003" t="s">
        <v>68</v>
      </c>
      <c r="G2003">
        <v>98</v>
      </c>
      <c r="H2003" t="s">
        <v>204</v>
      </c>
      <c r="I2003">
        <v>0</v>
      </c>
      <c r="J2003">
        <v>1</v>
      </c>
      <c r="K2003" t="s">
        <v>122</v>
      </c>
      <c r="L2003" t="s">
        <v>205</v>
      </c>
      <c r="M2003" t="s">
        <v>206</v>
      </c>
      <c r="N2003" t="s">
        <v>207</v>
      </c>
      <c r="O2003" t="s">
        <v>97</v>
      </c>
    </row>
    <row r="2004" spans="1:15" x14ac:dyDescent="0.2">
      <c r="A2004">
        <v>335</v>
      </c>
      <c r="B2004">
        <v>336</v>
      </c>
      <c r="C2004">
        <v>335</v>
      </c>
      <c r="D2004">
        <v>334</v>
      </c>
      <c r="E2004" t="s">
        <v>57</v>
      </c>
      <c r="F2004" t="s">
        <v>67</v>
      </c>
      <c r="G2004">
        <v>1</v>
      </c>
      <c r="H2004" t="s">
        <v>92</v>
      </c>
      <c r="I2004">
        <v>0</v>
      </c>
      <c r="J2004">
        <v>0.2</v>
      </c>
      <c r="K2004" t="s">
        <v>93</v>
      </c>
      <c r="L2004" t="s">
        <v>94</v>
      </c>
      <c r="M2004" t="s">
        <v>95</v>
      </c>
      <c r="N2004" t="s">
        <v>96</v>
      </c>
      <c r="O2004" t="s">
        <v>97</v>
      </c>
    </row>
    <row r="2005" spans="1:15" x14ac:dyDescent="0.2">
      <c r="A2005">
        <v>335</v>
      </c>
      <c r="B2005">
        <v>336</v>
      </c>
      <c r="C2005">
        <v>335</v>
      </c>
      <c r="D2005">
        <v>334</v>
      </c>
      <c r="E2005" t="s">
        <v>57</v>
      </c>
      <c r="F2005" t="s">
        <v>67</v>
      </c>
      <c r="G2005">
        <v>2</v>
      </c>
      <c r="H2005" t="s">
        <v>98</v>
      </c>
      <c r="I2005">
        <v>0.5</v>
      </c>
      <c r="J2005">
        <v>0.5</v>
      </c>
      <c r="K2005" t="s">
        <v>93</v>
      </c>
      <c r="L2005" t="s">
        <v>99</v>
      </c>
      <c r="M2005" t="s">
        <v>95</v>
      </c>
      <c r="N2005" t="s">
        <v>96</v>
      </c>
      <c r="O2005" t="s">
        <v>97</v>
      </c>
    </row>
    <row r="2006" spans="1:15" x14ac:dyDescent="0.2">
      <c r="A2006">
        <v>335</v>
      </c>
      <c r="B2006">
        <v>336</v>
      </c>
      <c r="C2006">
        <v>335</v>
      </c>
      <c r="D2006">
        <v>334</v>
      </c>
      <c r="E2006" t="s">
        <v>57</v>
      </c>
      <c r="F2006" t="s">
        <v>67</v>
      </c>
      <c r="G2006">
        <v>3</v>
      </c>
      <c r="H2006" t="s">
        <v>100</v>
      </c>
      <c r="I2006">
        <v>0.5</v>
      </c>
      <c r="J2006">
        <v>1</v>
      </c>
      <c r="K2006" t="s">
        <v>101</v>
      </c>
      <c r="L2006" t="s">
        <v>102</v>
      </c>
      <c r="M2006" t="s">
        <v>103</v>
      </c>
      <c r="N2006" t="s">
        <v>96</v>
      </c>
      <c r="O2006" t="s">
        <v>97</v>
      </c>
    </row>
    <row r="2007" spans="1:15" x14ac:dyDescent="0.2">
      <c r="A2007">
        <v>335</v>
      </c>
      <c r="B2007">
        <v>336</v>
      </c>
      <c r="C2007">
        <v>335</v>
      </c>
      <c r="D2007">
        <v>334</v>
      </c>
      <c r="E2007" t="s">
        <v>57</v>
      </c>
      <c r="F2007" t="s">
        <v>67</v>
      </c>
      <c r="G2007">
        <v>4</v>
      </c>
      <c r="H2007" t="s">
        <v>104</v>
      </c>
      <c r="I2007">
        <v>0.5</v>
      </c>
      <c r="J2007">
        <v>1</v>
      </c>
      <c r="K2007" t="s">
        <v>101</v>
      </c>
      <c r="L2007" t="s">
        <v>105</v>
      </c>
      <c r="M2007" t="s">
        <v>106</v>
      </c>
      <c r="N2007" t="s">
        <v>107</v>
      </c>
      <c r="O2007" t="s">
        <v>97</v>
      </c>
    </row>
    <row r="2008" spans="1:15" x14ac:dyDescent="0.2">
      <c r="A2008">
        <v>335</v>
      </c>
      <c r="B2008">
        <v>336</v>
      </c>
      <c r="C2008">
        <v>335</v>
      </c>
      <c r="D2008">
        <v>334</v>
      </c>
      <c r="E2008" t="s">
        <v>57</v>
      </c>
      <c r="F2008" t="s">
        <v>67</v>
      </c>
      <c r="G2008">
        <v>5</v>
      </c>
      <c r="H2008" t="s">
        <v>108</v>
      </c>
      <c r="I2008">
        <v>0.5</v>
      </c>
      <c r="J2008">
        <v>1</v>
      </c>
      <c r="K2008" t="s">
        <v>101</v>
      </c>
      <c r="L2008" t="s">
        <v>109</v>
      </c>
      <c r="M2008" t="s">
        <v>110</v>
      </c>
      <c r="N2008" t="s">
        <v>107</v>
      </c>
      <c r="O2008" t="s">
        <v>97</v>
      </c>
    </row>
    <row r="2009" spans="1:15" x14ac:dyDescent="0.2">
      <c r="A2009">
        <v>335</v>
      </c>
      <c r="B2009">
        <v>336</v>
      </c>
      <c r="C2009">
        <v>335</v>
      </c>
      <c r="D2009">
        <v>334</v>
      </c>
      <c r="E2009" t="s">
        <v>57</v>
      </c>
      <c r="F2009" t="s">
        <v>67</v>
      </c>
      <c r="G2009">
        <v>9</v>
      </c>
      <c r="H2009" t="s">
        <v>111</v>
      </c>
      <c r="I2009">
        <v>0.25</v>
      </c>
      <c r="J2009">
        <v>0.5</v>
      </c>
      <c r="K2009" t="s">
        <v>112</v>
      </c>
      <c r="L2009" t="s">
        <v>113</v>
      </c>
      <c r="M2009" t="s">
        <v>114</v>
      </c>
      <c r="N2009" t="s">
        <v>96</v>
      </c>
      <c r="O2009" t="s">
        <v>97</v>
      </c>
    </row>
    <row r="2010" spans="1:15" x14ac:dyDescent="0.2">
      <c r="A2010">
        <v>335</v>
      </c>
      <c r="B2010">
        <v>336</v>
      </c>
      <c r="C2010">
        <v>335</v>
      </c>
      <c r="D2010">
        <v>334</v>
      </c>
      <c r="E2010" t="s">
        <v>57</v>
      </c>
      <c r="F2010" t="s">
        <v>67</v>
      </c>
      <c r="G2010">
        <v>10</v>
      </c>
      <c r="H2010" t="s">
        <v>115</v>
      </c>
      <c r="I2010">
        <v>0.5</v>
      </c>
      <c r="J2010">
        <v>0.5</v>
      </c>
      <c r="K2010" t="s">
        <v>112</v>
      </c>
      <c r="L2010" t="s">
        <v>116</v>
      </c>
      <c r="M2010" t="s">
        <v>117</v>
      </c>
      <c r="N2010" t="s">
        <v>96</v>
      </c>
      <c r="O2010" t="s">
        <v>97</v>
      </c>
    </row>
    <row r="2011" spans="1:15" x14ac:dyDescent="0.2">
      <c r="A2011">
        <v>335</v>
      </c>
      <c r="B2011">
        <v>336</v>
      </c>
      <c r="C2011">
        <v>335</v>
      </c>
      <c r="D2011">
        <v>334</v>
      </c>
      <c r="E2011" t="s">
        <v>57</v>
      </c>
      <c r="F2011" t="s">
        <v>67</v>
      </c>
      <c r="G2011">
        <v>11</v>
      </c>
      <c r="H2011" t="s">
        <v>118</v>
      </c>
      <c r="I2011">
        <v>0.5</v>
      </c>
      <c r="J2011">
        <v>1</v>
      </c>
      <c r="K2011" t="s">
        <v>112</v>
      </c>
      <c r="L2011" t="s">
        <v>119</v>
      </c>
      <c r="M2011" t="s">
        <v>120</v>
      </c>
      <c r="N2011" t="s">
        <v>107</v>
      </c>
      <c r="O2011" t="s">
        <v>97</v>
      </c>
    </row>
    <row r="2012" spans="1:15" x14ac:dyDescent="0.2">
      <c r="A2012">
        <v>335</v>
      </c>
      <c r="B2012">
        <v>336</v>
      </c>
      <c r="C2012">
        <v>335</v>
      </c>
      <c r="D2012">
        <v>334</v>
      </c>
      <c r="E2012" t="s">
        <v>57</v>
      </c>
      <c r="F2012" t="s">
        <v>67</v>
      </c>
      <c r="G2012">
        <v>12</v>
      </c>
      <c r="H2012" t="s">
        <v>121</v>
      </c>
      <c r="I2012">
        <v>0.25</v>
      </c>
      <c r="J2012">
        <v>0.5</v>
      </c>
      <c r="K2012" t="s">
        <v>122</v>
      </c>
      <c r="L2012" t="s">
        <v>113</v>
      </c>
      <c r="M2012" t="s">
        <v>123</v>
      </c>
      <c r="N2012" t="s">
        <v>96</v>
      </c>
      <c r="O2012" t="s">
        <v>97</v>
      </c>
    </row>
    <row r="2013" spans="1:15" x14ac:dyDescent="0.2">
      <c r="A2013">
        <v>335</v>
      </c>
      <c r="B2013">
        <v>336</v>
      </c>
      <c r="C2013">
        <v>335</v>
      </c>
      <c r="D2013">
        <v>334</v>
      </c>
      <c r="E2013" t="s">
        <v>57</v>
      </c>
      <c r="F2013" t="s">
        <v>67</v>
      </c>
      <c r="G2013">
        <v>13</v>
      </c>
      <c r="H2013" t="s">
        <v>124</v>
      </c>
      <c r="I2013">
        <v>0.25</v>
      </c>
      <c r="J2013">
        <v>0.5</v>
      </c>
      <c r="K2013" t="s">
        <v>122</v>
      </c>
      <c r="L2013" t="s">
        <v>125</v>
      </c>
      <c r="M2013" t="s">
        <v>126</v>
      </c>
      <c r="N2013" t="s">
        <v>96</v>
      </c>
      <c r="O2013" t="s">
        <v>97</v>
      </c>
    </row>
    <row r="2014" spans="1:15" x14ac:dyDescent="0.2">
      <c r="A2014">
        <v>335</v>
      </c>
      <c r="B2014">
        <v>336</v>
      </c>
      <c r="C2014">
        <v>335</v>
      </c>
      <c r="D2014">
        <v>334</v>
      </c>
      <c r="E2014" t="s">
        <v>57</v>
      </c>
      <c r="F2014" t="s">
        <v>67</v>
      </c>
      <c r="G2014">
        <v>14</v>
      </c>
      <c r="H2014" t="s">
        <v>127</v>
      </c>
      <c r="I2014">
        <v>0.5</v>
      </c>
      <c r="J2014">
        <v>1</v>
      </c>
      <c r="K2014" t="s">
        <v>122</v>
      </c>
      <c r="L2014" t="s">
        <v>119</v>
      </c>
      <c r="M2014" t="s">
        <v>128</v>
      </c>
      <c r="N2014" t="s">
        <v>107</v>
      </c>
      <c r="O2014" t="s">
        <v>97</v>
      </c>
    </row>
    <row r="2015" spans="1:15" x14ac:dyDescent="0.2">
      <c r="A2015">
        <v>335</v>
      </c>
      <c r="B2015">
        <v>336</v>
      </c>
      <c r="C2015">
        <v>335</v>
      </c>
      <c r="D2015">
        <v>334</v>
      </c>
      <c r="E2015" t="s">
        <v>57</v>
      </c>
      <c r="F2015" t="s">
        <v>67</v>
      </c>
      <c r="G2015">
        <v>15</v>
      </c>
      <c r="H2015" t="s">
        <v>129</v>
      </c>
      <c r="I2015">
        <v>1</v>
      </c>
      <c r="J2015">
        <v>1</v>
      </c>
      <c r="K2015" t="s">
        <v>130</v>
      </c>
      <c r="L2015" t="s">
        <v>131</v>
      </c>
      <c r="M2015" t="s">
        <v>132</v>
      </c>
      <c r="N2015" t="s">
        <v>107</v>
      </c>
      <c r="O2015" t="s">
        <v>97</v>
      </c>
    </row>
    <row r="2016" spans="1:15" x14ac:dyDescent="0.2">
      <c r="A2016">
        <v>335</v>
      </c>
      <c r="B2016">
        <v>336</v>
      </c>
      <c r="C2016">
        <v>335</v>
      </c>
      <c r="D2016">
        <v>334</v>
      </c>
      <c r="E2016" t="s">
        <v>57</v>
      </c>
      <c r="F2016" t="s">
        <v>67</v>
      </c>
      <c r="G2016">
        <v>16</v>
      </c>
      <c r="H2016" t="s">
        <v>133</v>
      </c>
      <c r="I2016">
        <v>0</v>
      </c>
      <c r="J2016">
        <v>0</v>
      </c>
      <c r="K2016" t="e">
        <v>#N/A</v>
      </c>
      <c r="L2016" t="e">
        <v>#N/A</v>
      </c>
      <c r="M2016" t="e">
        <v>#N/A</v>
      </c>
      <c r="N2016" t="e">
        <v>#N/A</v>
      </c>
      <c r="O2016" t="s">
        <v>97</v>
      </c>
    </row>
    <row r="2017" spans="1:15" x14ac:dyDescent="0.2">
      <c r="A2017">
        <v>335</v>
      </c>
      <c r="B2017">
        <v>336</v>
      </c>
      <c r="C2017">
        <v>335</v>
      </c>
      <c r="D2017">
        <v>334</v>
      </c>
      <c r="E2017" t="s">
        <v>57</v>
      </c>
      <c r="F2017" t="s">
        <v>67</v>
      </c>
      <c r="G2017">
        <v>17</v>
      </c>
      <c r="H2017" t="s">
        <v>134</v>
      </c>
      <c r="I2017">
        <v>0.5</v>
      </c>
      <c r="J2017">
        <v>1</v>
      </c>
      <c r="K2017" t="s">
        <v>112</v>
      </c>
      <c r="L2017" t="s">
        <v>135</v>
      </c>
      <c r="M2017" t="s">
        <v>136</v>
      </c>
      <c r="N2017" t="s">
        <v>107</v>
      </c>
      <c r="O2017" t="s">
        <v>97</v>
      </c>
    </row>
    <row r="2018" spans="1:15" x14ac:dyDescent="0.2">
      <c r="A2018">
        <v>335</v>
      </c>
      <c r="B2018">
        <v>336</v>
      </c>
      <c r="C2018">
        <v>335</v>
      </c>
      <c r="D2018">
        <v>334</v>
      </c>
      <c r="E2018" t="s">
        <v>57</v>
      </c>
      <c r="F2018" t="s">
        <v>67</v>
      </c>
      <c r="G2018">
        <v>18</v>
      </c>
      <c r="H2018" t="s">
        <v>137</v>
      </c>
      <c r="I2018">
        <v>1</v>
      </c>
      <c r="J2018">
        <v>1</v>
      </c>
      <c r="K2018" t="s">
        <v>112</v>
      </c>
      <c r="L2018" t="s">
        <v>138</v>
      </c>
      <c r="M2018" t="s">
        <v>139</v>
      </c>
      <c r="N2018" t="s">
        <v>107</v>
      </c>
      <c r="O2018" t="s">
        <v>97</v>
      </c>
    </row>
    <row r="2019" spans="1:15" x14ac:dyDescent="0.2">
      <c r="A2019">
        <v>335</v>
      </c>
      <c r="B2019">
        <v>336</v>
      </c>
      <c r="C2019">
        <v>335</v>
      </c>
      <c r="D2019">
        <v>334</v>
      </c>
      <c r="E2019" t="s">
        <v>57</v>
      </c>
      <c r="F2019" t="s">
        <v>67</v>
      </c>
      <c r="G2019">
        <v>19</v>
      </c>
      <c r="H2019" t="s">
        <v>140</v>
      </c>
      <c r="I2019">
        <v>0.5</v>
      </c>
      <c r="J2019">
        <v>1</v>
      </c>
      <c r="K2019" t="s">
        <v>122</v>
      </c>
      <c r="L2019" t="s">
        <v>141</v>
      </c>
      <c r="M2019" t="s">
        <v>142</v>
      </c>
      <c r="N2019" t="s">
        <v>107</v>
      </c>
      <c r="O2019" t="s">
        <v>97</v>
      </c>
    </row>
    <row r="2020" spans="1:15" x14ac:dyDescent="0.2">
      <c r="A2020">
        <v>335</v>
      </c>
      <c r="B2020">
        <v>336</v>
      </c>
      <c r="C2020">
        <v>335</v>
      </c>
      <c r="D2020">
        <v>334</v>
      </c>
      <c r="E2020" t="s">
        <v>57</v>
      </c>
      <c r="F2020" t="s">
        <v>67</v>
      </c>
      <c r="G2020">
        <v>20</v>
      </c>
      <c r="H2020" t="s">
        <v>143</v>
      </c>
      <c r="I2020">
        <v>1</v>
      </c>
      <c r="J2020">
        <v>1</v>
      </c>
      <c r="K2020" t="s">
        <v>122</v>
      </c>
      <c r="L2020" t="s">
        <v>144</v>
      </c>
      <c r="M2020" t="s">
        <v>145</v>
      </c>
      <c r="N2020" t="s">
        <v>107</v>
      </c>
      <c r="O2020" t="s">
        <v>97</v>
      </c>
    </row>
    <row r="2021" spans="1:15" x14ac:dyDescent="0.2">
      <c r="A2021">
        <v>335</v>
      </c>
      <c r="B2021">
        <v>336</v>
      </c>
      <c r="C2021">
        <v>335</v>
      </c>
      <c r="D2021">
        <v>334</v>
      </c>
      <c r="E2021" t="s">
        <v>57</v>
      </c>
      <c r="F2021" t="s">
        <v>67</v>
      </c>
      <c r="G2021">
        <v>21</v>
      </c>
      <c r="H2021" t="s">
        <v>146</v>
      </c>
      <c r="I2021">
        <v>1</v>
      </c>
      <c r="J2021">
        <v>1</v>
      </c>
      <c r="K2021" t="s">
        <v>147</v>
      </c>
      <c r="L2021" t="s">
        <v>148</v>
      </c>
      <c r="M2021" t="s">
        <v>149</v>
      </c>
      <c r="N2021" t="s">
        <v>96</v>
      </c>
      <c r="O2021" t="s">
        <v>97</v>
      </c>
    </row>
    <row r="2022" spans="1:15" x14ac:dyDescent="0.2">
      <c r="A2022">
        <v>335</v>
      </c>
      <c r="B2022">
        <v>336</v>
      </c>
      <c r="C2022">
        <v>335</v>
      </c>
      <c r="D2022">
        <v>334</v>
      </c>
      <c r="E2022" t="s">
        <v>57</v>
      </c>
      <c r="F2022" t="s">
        <v>67</v>
      </c>
      <c r="G2022">
        <v>22</v>
      </c>
      <c r="H2022" t="s">
        <v>150</v>
      </c>
      <c r="I2022">
        <v>0.5</v>
      </c>
      <c r="J2022">
        <v>1</v>
      </c>
      <c r="K2022" t="s">
        <v>147</v>
      </c>
      <c r="L2022" t="s">
        <v>151</v>
      </c>
      <c r="M2022" t="s">
        <v>149</v>
      </c>
      <c r="N2022" t="s">
        <v>107</v>
      </c>
      <c r="O2022" t="s">
        <v>97</v>
      </c>
    </row>
    <row r="2023" spans="1:15" x14ac:dyDescent="0.2">
      <c r="A2023">
        <v>335</v>
      </c>
      <c r="B2023">
        <v>336</v>
      </c>
      <c r="C2023">
        <v>335</v>
      </c>
      <c r="D2023">
        <v>334</v>
      </c>
      <c r="E2023" t="s">
        <v>57</v>
      </c>
      <c r="F2023" t="s">
        <v>67</v>
      </c>
      <c r="G2023">
        <v>23</v>
      </c>
      <c r="H2023" t="s">
        <v>152</v>
      </c>
      <c r="I2023">
        <v>0</v>
      </c>
      <c r="J2023">
        <v>0</v>
      </c>
      <c r="K2023" t="s">
        <v>153</v>
      </c>
      <c r="L2023" t="s">
        <v>154</v>
      </c>
      <c r="M2023" t="s">
        <v>155</v>
      </c>
      <c r="N2023" t="s">
        <v>107</v>
      </c>
      <c r="O2023" t="s">
        <v>97</v>
      </c>
    </row>
    <row r="2024" spans="1:15" x14ac:dyDescent="0.2">
      <c r="A2024">
        <v>335</v>
      </c>
      <c r="B2024">
        <v>336</v>
      </c>
      <c r="C2024">
        <v>335</v>
      </c>
      <c r="D2024">
        <v>334</v>
      </c>
      <c r="E2024" t="s">
        <v>57</v>
      </c>
      <c r="F2024" t="s">
        <v>67</v>
      </c>
      <c r="G2024">
        <v>24</v>
      </c>
      <c r="H2024" t="s">
        <v>156</v>
      </c>
      <c r="I2024">
        <v>0.5</v>
      </c>
      <c r="J2024">
        <v>0.5</v>
      </c>
      <c r="K2024" t="s">
        <v>122</v>
      </c>
      <c r="L2024" t="s">
        <v>157</v>
      </c>
      <c r="M2024" t="s">
        <v>158</v>
      </c>
      <c r="N2024" t="s">
        <v>107</v>
      </c>
      <c r="O2024" t="s">
        <v>97</v>
      </c>
    </row>
    <row r="2025" spans="1:15" x14ac:dyDescent="0.2">
      <c r="A2025">
        <v>335</v>
      </c>
      <c r="B2025">
        <v>336</v>
      </c>
      <c r="C2025">
        <v>335</v>
      </c>
      <c r="D2025">
        <v>334</v>
      </c>
      <c r="E2025" t="s">
        <v>57</v>
      </c>
      <c r="F2025" t="s">
        <v>67</v>
      </c>
      <c r="G2025">
        <v>25</v>
      </c>
      <c r="H2025" t="s">
        <v>156</v>
      </c>
      <c r="I2025">
        <v>0.5</v>
      </c>
      <c r="J2025">
        <v>0.5</v>
      </c>
      <c r="K2025" t="s">
        <v>122</v>
      </c>
      <c r="L2025" t="s">
        <v>157</v>
      </c>
      <c r="M2025" t="s">
        <v>158</v>
      </c>
      <c r="N2025" t="s">
        <v>107</v>
      </c>
      <c r="O2025" t="s">
        <v>97</v>
      </c>
    </row>
    <row r="2026" spans="1:15" x14ac:dyDescent="0.2">
      <c r="A2026">
        <v>335</v>
      </c>
      <c r="B2026">
        <v>336</v>
      </c>
      <c r="C2026">
        <v>335</v>
      </c>
      <c r="D2026">
        <v>334</v>
      </c>
      <c r="E2026" t="s">
        <v>57</v>
      </c>
      <c r="F2026" t="s">
        <v>67</v>
      </c>
      <c r="G2026">
        <v>26</v>
      </c>
      <c r="H2026" t="s">
        <v>152</v>
      </c>
      <c r="I2026">
        <v>0</v>
      </c>
      <c r="J2026">
        <v>0</v>
      </c>
      <c r="K2026" t="s">
        <v>153</v>
      </c>
      <c r="L2026" t="s">
        <v>154</v>
      </c>
      <c r="M2026" t="s">
        <v>155</v>
      </c>
      <c r="N2026" t="s">
        <v>107</v>
      </c>
      <c r="O2026" t="s">
        <v>97</v>
      </c>
    </row>
    <row r="2027" spans="1:15" x14ac:dyDescent="0.2">
      <c r="A2027">
        <v>335</v>
      </c>
      <c r="B2027">
        <v>336</v>
      </c>
      <c r="C2027">
        <v>335</v>
      </c>
      <c r="D2027">
        <v>334</v>
      </c>
      <c r="E2027" t="s">
        <v>57</v>
      </c>
      <c r="F2027" t="s">
        <v>67</v>
      </c>
      <c r="G2027">
        <v>27</v>
      </c>
      <c r="H2027" t="s">
        <v>159</v>
      </c>
      <c r="I2027">
        <v>0.5</v>
      </c>
      <c r="J2027">
        <v>0.5</v>
      </c>
      <c r="K2027" t="s">
        <v>122</v>
      </c>
      <c r="L2027" t="s">
        <v>160</v>
      </c>
      <c r="M2027" t="s">
        <v>161</v>
      </c>
      <c r="N2027" t="s">
        <v>107</v>
      </c>
      <c r="O2027" t="s">
        <v>97</v>
      </c>
    </row>
    <row r="2028" spans="1:15" x14ac:dyDescent="0.2">
      <c r="A2028">
        <v>335</v>
      </c>
      <c r="B2028">
        <v>336</v>
      </c>
      <c r="C2028">
        <v>335</v>
      </c>
      <c r="D2028">
        <v>334</v>
      </c>
      <c r="E2028" t="s">
        <v>57</v>
      </c>
      <c r="F2028" t="s">
        <v>67</v>
      </c>
      <c r="G2028">
        <v>28</v>
      </c>
      <c r="H2028" t="s">
        <v>159</v>
      </c>
      <c r="I2028">
        <v>0.5</v>
      </c>
      <c r="J2028">
        <v>0.5</v>
      </c>
      <c r="K2028" t="s">
        <v>122</v>
      </c>
      <c r="L2028" t="s">
        <v>160</v>
      </c>
      <c r="M2028" t="s">
        <v>161</v>
      </c>
      <c r="N2028" t="s">
        <v>107</v>
      </c>
      <c r="O2028" t="s">
        <v>97</v>
      </c>
    </row>
    <row r="2029" spans="1:15" x14ac:dyDescent="0.2">
      <c r="A2029">
        <v>335</v>
      </c>
      <c r="B2029">
        <v>336</v>
      </c>
      <c r="C2029">
        <v>335</v>
      </c>
      <c r="D2029">
        <v>334</v>
      </c>
      <c r="E2029" t="s">
        <v>57</v>
      </c>
      <c r="F2029" t="s">
        <v>67</v>
      </c>
      <c r="G2029">
        <v>29</v>
      </c>
      <c r="H2029" t="s">
        <v>152</v>
      </c>
      <c r="I2029">
        <v>0</v>
      </c>
      <c r="J2029">
        <v>0</v>
      </c>
      <c r="K2029" t="s">
        <v>153</v>
      </c>
      <c r="L2029" t="s">
        <v>154</v>
      </c>
      <c r="M2029" t="s">
        <v>155</v>
      </c>
      <c r="N2029" t="s">
        <v>107</v>
      </c>
      <c r="O2029" t="s">
        <v>97</v>
      </c>
    </row>
    <row r="2030" spans="1:15" x14ac:dyDescent="0.2">
      <c r="A2030">
        <v>335</v>
      </c>
      <c r="B2030">
        <v>336</v>
      </c>
      <c r="C2030">
        <v>335</v>
      </c>
      <c r="D2030">
        <v>334</v>
      </c>
      <c r="E2030" t="s">
        <v>57</v>
      </c>
      <c r="F2030" t="s">
        <v>67</v>
      </c>
      <c r="G2030">
        <v>30</v>
      </c>
      <c r="H2030" t="s">
        <v>162</v>
      </c>
      <c r="I2030">
        <v>0</v>
      </c>
      <c r="J2030">
        <v>1</v>
      </c>
      <c r="K2030" t="s">
        <v>112</v>
      </c>
      <c r="L2030" t="s">
        <v>163</v>
      </c>
      <c r="M2030" t="s">
        <v>164</v>
      </c>
      <c r="N2030" t="s">
        <v>107</v>
      </c>
      <c r="O2030" t="s">
        <v>97</v>
      </c>
    </row>
    <row r="2031" spans="1:15" x14ac:dyDescent="0.2">
      <c r="A2031">
        <v>335</v>
      </c>
      <c r="B2031">
        <v>336</v>
      </c>
      <c r="C2031">
        <v>335</v>
      </c>
      <c r="D2031">
        <v>334</v>
      </c>
      <c r="E2031" t="s">
        <v>57</v>
      </c>
      <c r="F2031" t="s">
        <v>67</v>
      </c>
      <c r="G2031">
        <v>31</v>
      </c>
      <c r="H2031" t="s">
        <v>162</v>
      </c>
      <c r="I2031">
        <v>0</v>
      </c>
      <c r="J2031">
        <v>0</v>
      </c>
      <c r="K2031" t="s">
        <v>112</v>
      </c>
      <c r="L2031" t="s">
        <v>163</v>
      </c>
      <c r="M2031" t="s">
        <v>164</v>
      </c>
      <c r="N2031" t="s">
        <v>107</v>
      </c>
      <c r="O2031" t="s">
        <v>97</v>
      </c>
    </row>
    <row r="2032" spans="1:15" x14ac:dyDescent="0.2">
      <c r="A2032">
        <v>335</v>
      </c>
      <c r="B2032">
        <v>336</v>
      </c>
      <c r="C2032">
        <v>335</v>
      </c>
      <c r="D2032">
        <v>334</v>
      </c>
      <c r="E2032" t="s">
        <v>57</v>
      </c>
      <c r="F2032" t="s">
        <v>67</v>
      </c>
      <c r="G2032">
        <v>32</v>
      </c>
      <c r="H2032" t="s">
        <v>162</v>
      </c>
      <c r="I2032">
        <v>0</v>
      </c>
      <c r="J2032">
        <v>0</v>
      </c>
      <c r="K2032" t="s">
        <v>112</v>
      </c>
      <c r="L2032" t="s">
        <v>163</v>
      </c>
      <c r="M2032" t="s">
        <v>164</v>
      </c>
      <c r="N2032" t="s">
        <v>107</v>
      </c>
      <c r="O2032" t="s">
        <v>97</v>
      </c>
    </row>
    <row r="2033" spans="1:15" x14ac:dyDescent="0.2">
      <c r="A2033">
        <v>335</v>
      </c>
      <c r="B2033">
        <v>336</v>
      </c>
      <c r="C2033">
        <v>335</v>
      </c>
      <c r="D2033">
        <v>334</v>
      </c>
      <c r="E2033" t="s">
        <v>57</v>
      </c>
      <c r="F2033" t="s">
        <v>67</v>
      </c>
      <c r="G2033">
        <v>33</v>
      </c>
      <c r="H2033" t="s">
        <v>152</v>
      </c>
      <c r="I2033">
        <v>0</v>
      </c>
      <c r="J2033" t="s">
        <v>195</v>
      </c>
      <c r="K2033" t="s">
        <v>153</v>
      </c>
      <c r="L2033" t="s">
        <v>154</v>
      </c>
      <c r="M2033" t="s">
        <v>155</v>
      </c>
      <c r="N2033" t="s">
        <v>107</v>
      </c>
      <c r="O2033" t="s">
        <v>97</v>
      </c>
    </row>
    <row r="2034" spans="1:15" x14ac:dyDescent="0.2">
      <c r="A2034">
        <v>335</v>
      </c>
      <c r="B2034">
        <v>336</v>
      </c>
      <c r="C2034">
        <v>335</v>
      </c>
      <c r="D2034">
        <v>334</v>
      </c>
      <c r="E2034" t="s">
        <v>57</v>
      </c>
      <c r="F2034" t="s">
        <v>67</v>
      </c>
      <c r="G2034">
        <v>34</v>
      </c>
      <c r="H2034" t="s">
        <v>152</v>
      </c>
      <c r="I2034">
        <v>0</v>
      </c>
      <c r="J2034">
        <v>0</v>
      </c>
      <c r="K2034" t="s">
        <v>153</v>
      </c>
      <c r="L2034" t="s">
        <v>154</v>
      </c>
      <c r="M2034" t="s">
        <v>155</v>
      </c>
      <c r="N2034" t="s">
        <v>107</v>
      </c>
      <c r="O2034" t="s">
        <v>97</v>
      </c>
    </row>
    <row r="2035" spans="1:15" x14ac:dyDescent="0.2">
      <c r="A2035">
        <v>335</v>
      </c>
      <c r="B2035">
        <v>336</v>
      </c>
      <c r="C2035">
        <v>335</v>
      </c>
      <c r="D2035">
        <v>334</v>
      </c>
      <c r="E2035" t="s">
        <v>57</v>
      </c>
      <c r="F2035" t="s">
        <v>67</v>
      </c>
      <c r="G2035">
        <v>35</v>
      </c>
      <c r="H2035" t="s">
        <v>165</v>
      </c>
      <c r="I2035">
        <v>0.5</v>
      </c>
      <c r="J2035">
        <v>1</v>
      </c>
      <c r="K2035" t="s">
        <v>166</v>
      </c>
      <c r="L2035" t="s">
        <v>167</v>
      </c>
      <c r="M2035" t="s">
        <v>168</v>
      </c>
      <c r="N2035" t="s">
        <v>107</v>
      </c>
      <c r="O2035" t="s">
        <v>97</v>
      </c>
    </row>
    <row r="2036" spans="1:15" x14ac:dyDescent="0.2">
      <c r="A2036">
        <v>335</v>
      </c>
      <c r="B2036">
        <v>336</v>
      </c>
      <c r="C2036">
        <v>335</v>
      </c>
      <c r="D2036">
        <v>334</v>
      </c>
      <c r="E2036" t="s">
        <v>57</v>
      </c>
      <c r="F2036" t="s">
        <v>67</v>
      </c>
      <c r="G2036">
        <v>36</v>
      </c>
      <c r="H2036" t="s">
        <v>169</v>
      </c>
      <c r="I2036">
        <v>0</v>
      </c>
      <c r="J2036">
        <v>0</v>
      </c>
      <c r="K2036" t="e">
        <v>#N/A</v>
      </c>
      <c r="L2036" t="e">
        <v>#N/A</v>
      </c>
      <c r="M2036" t="e">
        <v>#N/A</v>
      </c>
      <c r="N2036" t="e">
        <v>#N/A</v>
      </c>
      <c r="O2036" t="s">
        <v>97</v>
      </c>
    </row>
    <row r="2037" spans="1:15" x14ac:dyDescent="0.2">
      <c r="A2037">
        <v>335</v>
      </c>
      <c r="B2037">
        <v>336</v>
      </c>
      <c r="C2037">
        <v>335</v>
      </c>
      <c r="D2037">
        <v>334</v>
      </c>
      <c r="E2037" t="s">
        <v>57</v>
      </c>
      <c r="F2037" t="s">
        <v>67</v>
      </c>
      <c r="G2037">
        <v>38</v>
      </c>
      <c r="H2037" t="s">
        <v>170</v>
      </c>
      <c r="I2037">
        <v>0</v>
      </c>
      <c r="J2037">
        <v>0</v>
      </c>
      <c r="K2037" t="s">
        <v>112</v>
      </c>
      <c r="L2037" t="s">
        <v>171</v>
      </c>
      <c r="M2037" t="s">
        <v>172</v>
      </c>
      <c r="N2037" t="s">
        <v>96</v>
      </c>
      <c r="O2037" t="s">
        <v>97</v>
      </c>
    </row>
    <row r="2038" spans="1:15" x14ac:dyDescent="0.2">
      <c r="A2038">
        <v>335</v>
      </c>
      <c r="B2038">
        <v>336</v>
      </c>
      <c r="C2038">
        <v>335</v>
      </c>
      <c r="D2038">
        <v>334</v>
      </c>
      <c r="E2038" t="s">
        <v>57</v>
      </c>
      <c r="F2038" t="s">
        <v>67</v>
      </c>
      <c r="G2038">
        <v>39</v>
      </c>
      <c r="H2038" t="s">
        <v>170</v>
      </c>
      <c r="I2038">
        <v>0</v>
      </c>
      <c r="J2038">
        <v>0</v>
      </c>
      <c r="K2038" t="s">
        <v>112</v>
      </c>
      <c r="L2038" t="s">
        <v>171</v>
      </c>
      <c r="M2038" t="s">
        <v>172</v>
      </c>
      <c r="N2038" t="s">
        <v>96</v>
      </c>
      <c r="O2038" t="s">
        <v>97</v>
      </c>
    </row>
    <row r="2039" spans="1:15" x14ac:dyDescent="0.2">
      <c r="A2039">
        <v>335</v>
      </c>
      <c r="B2039">
        <v>336</v>
      </c>
      <c r="C2039">
        <v>335</v>
      </c>
      <c r="D2039">
        <v>334</v>
      </c>
      <c r="E2039" t="s">
        <v>57</v>
      </c>
      <c r="F2039" t="s">
        <v>67</v>
      </c>
      <c r="G2039">
        <v>40</v>
      </c>
      <c r="H2039" t="s">
        <v>170</v>
      </c>
      <c r="I2039">
        <v>0</v>
      </c>
      <c r="J2039">
        <v>0</v>
      </c>
      <c r="K2039" t="s">
        <v>112</v>
      </c>
      <c r="L2039" t="s">
        <v>171</v>
      </c>
      <c r="M2039" t="s">
        <v>172</v>
      </c>
      <c r="N2039" t="s">
        <v>96</v>
      </c>
      <c r="O2039" t="s">
        <v>97</v>
      </c>
    </row>
    <row r="2040" spans="1:15" x14ac:dyDescent="0.2">
      <c r="A2040">
        <v>335</v>
      </c>
      <c r="B2040">
        <v>336</v>
      </c>
      <c r="C2040">
        <v>335</v>
      </c>
      <c r="D2040">
        <v>334</v>
      </c>
      <c r="E2040" t="s">
        <v>57</v>
      </c>
      <c r="F2040" t="s">
        <v>67</v>
      </c>
      <c r="G2040">
        <v>41</v>
      </c>
      <c r="H2040" t="s">
        <v>173</v>
      </c>
      <c r="I2040">
        <v>0</v>
      </c>
      <c r="J2040">
        <v>0</v>
      </c>
      <c r="K2040" t="s">
        <v>166</v>
      </c>
      <c r="L2040" t="s">
        <v>174</v>
      </c>
      <c r="M2040" t="s">
        <v>175</v>
      </c>
      <c r="N2040" t="s">
        <v>107</v>
      </c>
      <c r="O2040" t="s">
        <v>97</v>
      </c>
    </row>
    <row r="2041" spans="1:15" x14ac:dyDescent="0.2">
      <c r="A2041">
        <v>335</v>
      </c>
      <c r="B2041">
        <v>336</v>
      </c>
      <c r="C2041">
        <v>335</v>
      </c>
      <c r="D2041">
        <v>334</v>
      </c>
      <c r="E2041" t="s">
        <v>57</v>
      </c>
      <c r="F2041" t="s">
        <v>67</v>
      </c>
      <c r="G2041">
        <v>42</v>
      </c>
      <c r="H2041" t="s">
        <v>176</v>
      </c>
      <c r="I2041">
        <v>0</v>
      </c>
      <c r="J2041" t="s">
        <v>198</v>
      </c>
      <c r="K2041" t="s">
        <v>153</v>
      </c>
      <c r="L2041" t="s">
        <v>177</v>
      </c>
      <c r="M2041" t="s">
        <v>178</v>
      </c>
      <c r="N2041" t="s">
        <v>107</v>
      </c>
      <c r="O2041" t="s">
        <v>97</v>
      </c>
    </row>
    <row r="2042" spans="1:15" x14ac:dyDescent="0.2">
      <c r="A2042">
        <v>335</v>
      </c>
      <c r="B2042">
        <v>336</v>
      </c>
      <c r="C2042">
        <v>335</v>
      </c>
      <c r="D2042">
        <v>334</v>
      </c>
      <c r="E2042" t="s">
        <v>57</v>
      </c>
      <c r="F2042" t="s">
        <v>67</v>
      </c>
      <c r="G2042">
        <v>43</v>
      </c>
      <c r="H2042" t="s">
        <v>179</v>
      </c>
      <c r="I2042">
        <v>0</v>
      </c>
      <c r="J2042">
        <v>0</v>
      </c>
      <c r="K2042" t="s">
        <v>166</v>
      </c>
      <c r="L2042" t="s">
        <v>180</v>
      </c>
      <c r="M2042" t="s">
        <v>181</v>
      </c>
      <c r="N2042" t="s">
        <v>107</v>
      </c>
      <c r="O2042" t="s">
        <v>97</v>
      </c>
    </row>
    <row r="2043" spans="1:15" x14ac:dyDescent="0.2">
      <c r="A2043">
        <v>335</v>
      </c>
      <c r="B2043">
        <v>336</v>
      </c>
      <c r="C2043">
        <v>335</v>
      </c>
      <c r="D2043">
        <v>334</v>
      </c>
      <c r="E2043" t="s">
        <v>57</v>
      </c>
      <c r="F2043" t="s">
        <v>67</v>
      </c>
      <c r="G2043">
        <v>44</v>
      </c>
      <c r="H2043" t="s">
        <v>182</v>
      </c>
      <c r="I2043">
        <v>1</v>
      </c>
      <c r="J2043">
        <v>1</v>
      </c>
      <c r="K2043" t="s">
        <v>166</v>
      </c>
      <c r="L2043" t="s">
        <v>183</v>
      </c>
      <c r="M2043" t="s">
        <v>184</v>
      </c>
      <c r="N2043" t="s">
        <v>107</v>
      </c>
      <c r="O2043" t="s">
        <v>97</v>
      </c>
    </row>
    <row r="2044" spans="1:15" x14ac:dyDescent="0.2">
      <c r="A2044">
        <v>335</v>
      </c>
      <c r="B2044">
        <v>336</v>
      </c>
      <c r="C2044">
        <v>335</v>
      </c>
      <c r="D2044">
        <v>334</v>
      </c>
      <c r="E2044" t="s">
        <v>57</v>
      </c>
      <c r="F2044" t="s">
        <v>67</v>
      </c>
      <c r="G2044">
        <v>45</v>
      </c>
      <c r="H2044" t="s">
        <v>185</v>
      </c>
      <c r="I2044">
        <v>0</v>
      </c>
      <c r="J2044">
        <v>1</v>
      </c>
      <c r="K2044" t="s">
        <v>166</v>
      </c>
      <c r="L2044" t="s">
        <v>186</v>
      </c>
      <c r="M2044" t="s">
        <v>139</v>
      </c>
      <c r="N2044" t="s">
        <v>107</v>
      </c>
      <c r="O2044" t="s">
        <v>97</v>
      </c>
    </row>
    <row r="2045" spans="1:15" x14ac:dyDescent="0.2">
      <c r="A2045">
        <v>335</v>
      </c>
      <c r="B2045">
        <v>336</v>
      </c>
      <c r="C2045">
        <v>335</v>
      </c>
      <c r="D2045">
        <v>334</v>
      </c>
      <c r="E2045" t="s">
        <v>57</v>
      </c>
      <c r="F2045" t="s">
        <v>67</v>
      </c>
      <c r="G2045">
        <v>47</v>
      </c>
      <c r="H2045" t="s">
        <v>187</v>
      </c>
      <c r="I2045">
        <v>0</v>
      </c>
      <c r="J2045">
        <v>0.2</v>
      </c>
      <c r="K2045" t="s">
        <v>93</v>
      </c>
      <c r="L2045" t="s">
        <v>188</v>
      </c>
      <c r="M2045" t="s">
        <v>95</v>
      </c>
      <c r="N2045" t="s">
        <v>96</v>
      </c>
      <c r="O2045" t="s">
        <v>97</v>
      </c>
    </row>
    <row r="2046" spans="1:15" x14ac:dyDescent="0.2">
      <c r="A2046">
        <v>335</v>
      </c>
      <c r="B2046">
        <v>336</v>
      </c>
      <c r="C2046">
        <v>335</v>
      </c>
      <c r="D2046">
        <v>334</v>
      </c>
      <c r="E2046" t="s">
        <v>57</v>
      </c>
      <c r="F2046" t="s">
        <v>67</v>
      </c>
      <c r="G2046">
        <v>48</v>
      </c>
      <c r="H2046" t="s">
        <v>189</v>
      </c>
      <c r="I2046">
        <v>0.2</v>
      </c>
      <c r="J2046">
        <v>0.2</v>
      </c>
      <c r="K2046" t="s">
        <v>93</v>
      </c>
      <c r="L2046" t="s">
        <v>190</v>
      </c>
      <c r="M2046" t="s">
        <v>95</v>
      </c>
      <c r="N2046" t="s">
        <v>96</v>
      </c>
      <c r="O2046" t="s">
        <v>97</v>
      </c>
    </row>
    <row r="2047" spans="1:15" x14ac:dyDescent="0.2">
      <c r="A2047">
        <v>335</v>
      </c>
      <c r="B2047">
        <v>336</v>
      </c>
      <c r="C2047">
        <v>335</v>
      </c>
      <c r="D2047">
        <v>334</v>
      </c>
      <c r="E2047" t="s">
        <v>57</v>
      </c>
      <c r="F2047" t="s">
        <v>67</v>
      </c>
      <c r="G2047">
        <v>49</v>
      </c>
      <c r="H2047" t="s">
        <v>191</v>
      </c>
      <c r="I2047">
        <v>0.2</v>
      </c>
      <c r="J2047">
        <v>0.2</v>
      </c>
      <c r="K2047" t="s">
        <v>93</v>
      </c>
      <c r="L2047" t="s">
        <v>192</v>
      </c>
      <c r="M2047" t="s">
        <v>95</v>
      </c>
      <c r="N2047" t="s">
        <v>96</v>
      </c>
      <c r="O2047" t="s">
        <v>97</v>
      </c>
    </row>
    <row r="2048" spans="1:15" x14ac:dyDescent="0.2">
      <c r="A2048">
        <v>335</v>
      </c>
      <c r="B2048">
        <v>336</v>
      </c>
      <c r="C2048">
        <v>335</v>
      </c>
      <c r="D2048">
        <v>334</v>
      </c>
      <c r="E2048" t="s">
        <v>57</v>
      </c>
      <c r="F2048" t="s">
        <v>67</v>
      </c>
      <c r="G2048">
        <v>50</v>
      </c>
      <c r="H2048" t="s">
        <v>193</v>
      </c>
      <c r="I2048">
        <v>0</v>
      </c>
      <c r="J2048">
        <v>0.1</v>
      </c>
      <c r="K2048" t="s">
        <v>93</v>
      </c>
      <c r="L2048" t="s">
        <v>194</v>
      </c>
      <c r="M2048" t="s">
        <v>95</v>
      </c>
      <c r="N2048" t="s">
        <v>96</v>
      </c>
      <c r="O2048" t="s">
        <v>97</v>
      </c>
    </row>
    <row r="2049" spans="1:15" x14ac:dyDescent="0.2">
      <c r="A2049">
        <v>335</v>
      </c>
      <c r="B2049">
        <v>336</v>
      </c>
      <c r="C2049">
        <v>335</v>
      </c>
      <c r="D2049">
        <v>334</v>
      </c>
      <c r="E2049" t="s">
        <v>57</v>
      </c>
      <c r="F2049" t="s">
        <v>67</v>
      </c>
      <c r="G2049">
        <v>51</v>
      </c>
      <c r="H2049" t="s">
        <v>193</v>
      </c>
      <c r="I2049">
        <v>0.1</v>
      </c>
      <c r="J2049">
        <v>0.1</v>
      </c>
      <c r="K2049" t="s">
        <v>93</v>
      </c>
      <c r="L2049" t="s">
        <v>194</v>
      </c>
      <c r="M2049" t="s">
        <v>95</v>
      </c>
      <c r="N2049" t="s">
        <v>96</v>
      </c>
      <c r="O2049" t="s">
        <v>97</v>
      </c>
    </row>
    <row r="2050" spans="1:15" x14ac:dyDescent="0.2">
      <c r="A2050">
        <v>335</v>
      </c>
      <c r="B2050">
        <v>336</v>
      </c>
      <c r="C2050">
        <v>335</v>
      </c>
      <c r="D2050">
        <v>334</v>
      </c>
      <c r="E2050" t="s">
        <v>57</v>
      </c>
      <c r="F2050" t="s">
        <v>67</v>
      </c>
      <c r="G2050">
        <v>97</v>
      </c>
      <c r="H2050" t="s">
        <v>152</v>
      </c>
      <c r="I2050">
        <v>0.25</v>
      </c>
      <c r="J2050">
        <v>0.25</v>
      </c>
      <c r="K2050" t="s">
        <v>153</v>
      </c>
      <c r="L2050" t="s">
        <v>154</v>
      </c>
      <c r="M2050" t="s">
        <v>155</v>
      </c>
      <c r="N2050" t="s">
        <v>107</v>
      </c>
      <c r="O2050" t="s">
        <v>97</v>
      </c>
    </row>
    <row r="2051" spans="1:15" x14ac:dyDescent="0.2">
      <c r="A2051">
        <v>335</v>
      </c>
      <c r="B2051">
        <v>336</v>
      </c>
      <c r="C2051">
        <v>335</v>
      </c>
      <c r="D2051">
        <v>334</v>
      </c>
      <c r="E2051" t="s">
        <v>57</v>
      </c>
      <c r="F2051" t="s">
        <v>67</v>
      </c>
      <c r="G2051">
        <v>96</v>
      </c>
      <c r="H2051" t="s">
        <v>152</v>
      </c>
      <c r="I2051">
        <v>0</v>
      </c>
      <c r="J2051">
        <v>0</v>
      </c>
      <c r="K2051" t="s">
        <v>153</v>
      </c>
      <c r="L2051" t="s">
        <v>154</v>
      </c>
      <c r="M2051" t="s">
        <v>155</v>
      </c>
      <c r="N2051" t="s">
        <v>107</v>
      </c>
      <c r="O2051" t="s">
        <v>97</v>
      </c>
    </row>
    <row r="2052" spans="1:15" x14ac:dyDescent="0.2">
      <c r="A2052">
        <v>335</v>
      </c>
      <c r="B2052">
        <v>336</v>
      </c>
      <c r="C2052">
        <v>335</v>
      </c>
      <c r="D2052">
        <v>334</v>
      </c>
      <c r="E2052" t="s">
        <v>57</v>
      </c>
      <c r="F2052" t="s">
        <v>67</v>
      </c>
      <c r="G2052">
        <v>99</v>
      </c>
      <c r="H2052" t="s">
        <v>152</v>
      </c>
      <c r="I2052">
        <v>0</v>
      </c>
      <c r="J2052">
        <v>0</v>
      </c>
      <c r="K2052" t="s">
        <v>153</v>
      </c>
      <c r="L2052" t="s">
        <v>154</v>
      </c>
      <c r="M2052" t="s">
        <v>155</v>
      </c>
      <c r="N2052" t="s">
        <v>107</v>
      </c>
      <c r="O2052" t="s">
        <v>97</v>
      </c>
    </row>
    <row r="2053" spans="1:15" x14ac:dyDescent="0.2">
      <c r="A2053">
        <v>335</v>
      </c>
      <c r="B2053">
        <v>336</v>
      </c>
      <c r="C2053">
        <v>335</v>
      </c>
      <c r="D2053">
        <v>334</v>
      </c>
      <c r="E2053" t="s">
        <v>57</v>
      </c>
      <c r="F2053" t="s">
        <v>67</v>
      </c>
      <c r="G2053">
        <v>98</v>
      </c>
      <c r="H2053" t="s">
        <v>204</v>
      </c>
      <c r="I2053">
        <v>0</v>
      </c>
      <c r="J2053">
        <v>1</v>
      </c>
      <c r="K2053" t="s">
        <v>122</v>
      </c>
      <c r="L2053" t="s">
        <v>205</v>
      </c>
      <c r="M2053" t="s">
        <v>206</v>
      </c>
      <c r="N2053" t="s">
        <v>207</v>
      </c>
      <c r="O2053" t="s">
        <v>97</v>
      </c>
    </row>
    <row r="2054" spans="1:15" x14ac:dyDescent="0.2">
      <c r="A2054">
        <v>330</v>
      </c>
      <c r="B2054">
        <v>331</v>
      </c>
      <c r="C2054">
        <v>330</v>
      </c>
      <c r="D2054">
        <v>329</v>
      </c>
      <c r="E2054" t="s">
        <v>57</v>
      </c>
      <c r="F2054" t="s">
        <v>66</v>
      </c>
      <c r="G2054">
        <v>1</v>
      </c>
      <c r="H2054" t="s">
        <v>92</v>
      </c>
      <c r="I2054">
        <v>0.2</v>
      </c>
      <c r="J2054">
        <v>0.2</v>
      </c>
      <c r="K2054" t="s">
        <v>93</v>
      </c>
      <c r="L2054" t="s">
        <v>94</v>
      </c>
      <c r="M2054" t="s">
        <v>95</v>
      </c>
      <c r="N2054" t="s">
        <v>96</v>
      </c>
      <c r="O2054" t="s">
        <v>97</v>
      </c>
    </row>
    <row r="2055" spans="1:15" x14ac:dyDescent="0.2">
      <c r="A2055">
        <v>330</v>
      </c>
      <c r="B2055">
        <v>331</v>
      </c>
      <c r="C2055">
        <v>330</v>
      </c>
      <c r="D2055">
        <v>329</v>
      </c>
      <c r="E2055" t="s">
        <v>57</v>
      </c>
      <c r="F2055" t="s">
        <v>66</v>
      </c>
      <c r="G2055">
        <v>2</v>
      </c>
      <c r="H2055" t="s">
        <v>98</v>
      </c>
      <c r="I2055">
        <v>0.25</v>
      </c>
      <c r="J2055">
        <v>0.5</v>
      </c>
      <c r="K2055" t="s">
        <v>93</v>
      </c>
      <c r="L2055" t="s">
        <v>99</v>
      </c>
      <c r="M2055" t="s">
        <v>95</v>
      </c>
      <c r="N2055" t="s">
        <v>96</v>
      </c>
      <c r="O2055" t="s">
        <v>97</v>
      </c>
    </row>
    <row r="2056" spans="1:15" x14ac:dyDescent="0.2">
      <c r="A2056">
        <v>330</v>
      </c>
      <c r="B2056">
        <v>331</v>
      </c>
      <c r="C2056">
        <v>330</v>
      </c>
      <c r="D2056">
        <v>329</v>
      </c>
      <c r="E2056" t="s">
        <v>57</v>
      </c>
      <c r="F2056" t="s">
        <v>66</v>
      </c>
      <c r="G2056">
        <v>3</v>
      </c>
      <c r="H2056" t="s">
        <v>100</v>
      </c>
      <c r="I2056">
        <v>0.5</v>
      </c>
      <c r="J2056">
        <v>1</v>
      </c>
      <c r="K2056" t="s">
        <v>101</v>
      </c>
      <c r="L2056" t="s">
        <v>102</v>
      </c>
      <c r="M2056" t="s">
        <v>103</v>
      </c>
      <c r="N2056" t="s">
        <v>96</v>
      </c>
      <c r="O2056" t="s">
        <v>97</v>
      </c>
    </row>
    <row r="2057" spans="1:15" x14ac:dyDescent="0.2">
      <c r="A2057">
        <v>330</v>
      </c>
      <c r="B2057">
        <v>331</v>
      </c>
      <c r="C2057">
        <v>330</v>
      </c>
      <c r="D2057">
        <v>329</v>
      </c>
      <c r="E2057" t="s">
        <v>57</v>
      </c>
      <c r="F2057" t="s">
        <v>66</v>
      </c>
      <c r="G2057">
        <v>4</v>
      </c>
      <c r="H2057" t="s">
        <v>104</v>
      </c>
      <c r="I2057">
        <v>0</v>
      </c>
      <c r="J2057">
        <v>1</v>
      </c>
      <c r="K2057" t="s">
        <v>101</v>
      </c>
      <c r="L2057" t="s">
        <v>105</v>
      </c>
      <c r="M2057" t="s">
        <v>106</v>
      </c>
      <c r="N2057" t="s">
        <v>107</v>
      </c>
      <c r="O2057" t="s">
        <v>97</v>
      </c>
    </row>
    <row r="2058" spans="1:15" x14ac:dyDescent="0.2">
      <c r="A2058">
        <v>330</v>
      </c>
      <c r="B2058">
        <v>331</v>
      </c>
      <c r="C2058">
        <v>330</v>
      </c>
      <c r="D2058">
        <v>329</v>
      </c>
      <c r="E2058" t="s">
        <v>57</v>
      </c>
      <c r="F2058" t="s">
        <v>66</v>
      </c>
      <c r="G2058">
        <v>5</v>
      </c>
      <c r="H2058" t="s">
        <v>108</v>
      </c>
      <c r="I2058">
        <v>0.5</v>
      </c>
      <c r="J2058">
        <v>1</v>
      </c>
      <c r="K2058" t="s">
        <v>101</v>
      </c>
      <c r="L2058" t="s">
        <v>109</v>
      </c>
      <c r="M2058" t="s">
        <v>110</v>
      </c>
      <c r="N2058" t="s">
        <v>107</v>
      </c>
      <c r="O2058" t="s">
        <v>97</v>
      </c>
    </row>
    <row r="2059" spans="1:15" x14ac:dyDescent="0.2">
      <c r="A2059">
        <v>330</v>
      </c>
      <c r="B2059">
        <v>331</v>
      </c>
      <c r="C2059">
        <v>330</v>
      </c>
      <c r="D2059">
        <v>329</v>
      </c>
      <c r="E2059" t="s">
        <v>57</v>
      </c>
      <c r="F2059" t="s">
        <v>66</v>
      </c>
      <c r="G2059">
        <v>9</v>
      </c>
      <c r="H2059" t="s">
        <v>111</v>
      </c>
      <c r="I2059">
        <v>0.25</v>
      </c>
      <c r="J2059">
        <v>0.5</v>
      </c>
      <c r="K2059" t="s">
        <v>112</v>
      </c>
      <c r="L2059" t="s">
        <v>113</v>
      </c>
      <c r="M2059" t="s">
        <v>114</v>
      </c>
      <c r="N2059" t="s">
        <v>96</v>
      </c>
      <c r="O2059" t="s">
        <v>97</v>
      </c>
    </row>
    <row r="2060" spans="1:15" x14ac:dyDescent="0.2">
      <c r="A2060">
        <v>330</v>
      </c>
      <c r="B2060">
        <v>331</v>
      </c>
      <c r="C2060">
        <v>330</v>
      </c>
      <c r="D2060">
        <v>329</v>
      </c>
      <c r="E2060" t="s">
        <v>57</v>
      </c>
      <c r="F2060" t="s">
        <v>66</v>
      </c>
      <c r="G2060">
        <v>10</v>
      </c>
      <c r="H2060" t="s">
        <v>115</v>
      </c>
      <c r="I2060">
        <v>0.25</v>
      </c>
      <c r="J2060">
        <v>0.5</v>
      </c>
      <c r="K2060" t="s">
        <v>112</v>
      </c>
      <c r="L2060" t="s">
        <v>116</v>
      </c>
      <c r="M2060" t="s">
        <v>117</v>
      </c>
      <c r="N2060" t="s">
        <v>96</v>
      </c>
      <c r="O2060" t="s">
        <v>97</v>
      </c>
    </row>
    <row r="2061" spans="1:15" x14ac:dyDescent="0.2">
      <c r="A2061">
        <v>330</v>
      </c>
      <c r="B2061">
        <v>331</v>
      </c>
      <c r="C2061">
        <v>330</v>
      </c>
      <c r="D2061">
        <v>329</v>
      </c>
      <c r="E2061" t="s">
        <v>57</v>
      </c>
      <c r="F2061" t="s">
        <v>66</v>
      </c>
      <c r="G2061">
        <v>11</v>
      </c>
      <c r="H2061" t="s">
        <v>118</v>
      </c>
      <c r="I2061">
        <v>0.5</v>
      </c>
      <c r="J2061">
        <v>1</v>
      </c>
      <c r="K2061" t="s">
        <v>112</v>
      </c>
      <c r="L2061" t="s">
        <v>119</v>
      </c>
      <c r="M2061" t="s">
        <v>120</v>
      </c>
      <c r="N2061" t="s">
        <v>107</v>
      </c>
      <c r="O2061" t="s">
        <v>97</v>
      </c>
    </row>
    <row r="2062" spans="1:15" x14ac:dyDescent="0.2">
      <c r="A2062">
        <v>330</v>
      </c>
      <c r="B2062">
        <v>331</v>
      </c>
      <c r="C2062">
        <v>330</v>
      </c>
      <c r="D2062">
        <v>329</v>
      </c>
      <c r="E2062" t="s">
        <v>57</v>
      </c>
      <c r="F2062" t="s">
        <v>66</v>
      </c>
      <c r="G2062">
        <v>12</v>
      </c>
      <c r="H2062" t="s">
        <v>121</v>
      </c>
      <c r="I2062">
        <v>0</v>
      </c>
      <c r="J2062">
        <v>0.5</v>
      </c>
      <c r="K2062" t="s">
        <v>122</v>
      </c>
      <c r="L2062" t="s">
        <v>113</v>
      </c>
      <c r="M2062" t="s">
        <v>123</v>
      </c>
      <c r="N2062" t="s">
        <v>96</v>
      </c>
      <c r="O2062" t="s">
        <v>97</v>
      </c>
    </row>
    <row r="2063" spans="1:15" x14ac:dyDescent="0.2">
      <c r="A2063">
        <v>330</v>
      </c>
      <c r="B2063">
        <v>331</v>
      </c>
      <c r="C2063">
        <v>330</v>
      </c>
      <c r="D2063">
        <v>329</v>
      </c>
      <c r="E2063" t="s">
        <v>57</v>
      </c>
      <c r="F2063" t="s">
        <v>66</v>
      </c>
      <c r="G2063">
        <v>13</v>
      </c>
      <c r="H2063" t="s">
        <v>124</v>
      </c>
      <c r="I2063">
        <v>0</v>
      </c>
      <c r="J2063">
        <v>0.5</v>
      </c>
      <c r="K2063" t="s">
        <v>122</v>
      </c>
      <c r="L2063" t="s">
        <v>125</v>
      </c>
      <c r="M2063" t="s">
        <v>126</v>
      </c>
      <c r="N2063" t="s">
        <v>96</v>
      </c>
      <c r="O2063" t="s">
        <v>97</v>
      </c>
    </row>
    <row r="2064" spans="1:15" x14ac:dyDescent="0.2">
      <c r="A2064">
        <v>330</v>
      </c>
      <c r="B2064">
        <v>331</v>
      </c>
      <c r="C2064">
        <v>330</v>
      </c>
      <c r="D2064">
        <v>329</v>
      </c>
      <c r="E2064" t="s">
        <v>57</v>
      </c>
      <c r="F2064" t="s">
        <v>66</v>
      </c>
      <c r="G2064">
        <v>14</v>
      </c>
      <c r="H2064" t="s">
        <v>127</v>
      </c>
      <c r="I2064">
        <v>0.5</v>
      </c>
      <c r="J2064">
        <v>1</v>
      </c>
      <c r="K2064" t="s">
        <v>122</v>
      </c>
      <c r="L2064" t="s">
        <v>119</v>
      </c>
      <c r="M2064" t="s">
        <v>128</v>
      </c>
      <c r="N2064" t="s">
        <v>107</v>
      </c>
      <c r="O2064" t="s">
        <v>97</v>
      </c>
    </row>
    <row r="2065" spans="1:15" x14ac:dyDescent="0.2">
      <c r="A2065">
        <v>330</v>
      </c>
      <c r="B2065">
        <v>331</v>
      </c>
      <c r="C2065">
        <v>330</v>
      </c>
      <c r="D2065">
        <v>329</v>
      </c>
      <c r="E2065" t="s">
        <v>57</v>
      </c>
      <c r="F2065" t="s">
        <v>66</v>
      </c>
      <c r="G2065">
        <v>15</v>
      </c>
      <c r="H2065" t="s">
        <v>129</v>
      </c>
      <c r="I2065">
        <v>0</v>
      </c>
      <c r="J2065">
        <v>1</v>
      </c>
      <c r="K2065" t="s">
        <v>130</v>
      </c>
      <c r="L2065" t="s">
        <v>131</v>
      </c>
      <c r="M2065" t="s">
        <v>132</v>
      </c>
      <c r="N2065" t="s">
        <v>107</v>
      </c>
      <c r="O2065" t="s">
        <v>97</v>
      </c>
    </row>
    <row r="2066" spans="1:15" x14ac:dyDescent="0.2">
      <c r="A2066">
        <v>330</v>
      </c>
      <c r="B2066">
        <v>331</v>
      </c>
      <c r="C2066">
        <v>330</v>
      </c>
      <c r="D2066">
        <v>329</v>
      </c>
      <c r="E2066" t="s">
        <v>57</v>
      </c>
      <c r="F2066" t="s">
        <v>66</v>
      </c>
      <c r="G2066">
        <v>16</v>
      </c>
      <c r="H2066" t="s">
        <v>133</v>
      </c>
      <c r="I2066">
        <v>0</v>
      </c>
      <c r="J2066">
        <v>0</v>
      </c>
      <c r="K2066" t="e">
        <v>#N/A</v>
      </c>
      <c r="L2066" t="e">
        <v>#N/A</v>
      </c>
      <c r="M2066" t="e">
        <v>#N/A</v>
      </c>
      <c r="N2066" t="e">
        <v>#N/A</v>
      </c>
      <c r="O2066" t="s">
        <v>97</v>
      </c>
    </row>
    <row r="2067" spans="1:15" x14ac:dyDescent="0.2">
      <c r="A2067">
        <v>330</v>
      </c>
      <c r="B2067">
        <v>331</v>
      </c>
      <c r="C2067">
        <v>330</v>
      </c>
      <c r="D2067">
        <v>329</v>
      </c>
      <c r="E2067" t="s">
        <v>57</v>
      </c>
      <c r="F2067" t="s">
        <v>66</v>
      </c>
      <c r="G2067">
        <v>17</v>
      </c>
      <c r="H2067" t="s">
        <v>134</v>
      </c>
      <c r="I2067">
        <v>1</v>
      </c>
      <c r="J2067">
        <v>1</v>
      </c>
      <c r="K2067" t="s">
        <v>112</v>
      </c>
      <c r="L2067" t="s">
        <v>135</v>
      </c>
      <c r="M2067" t="s">
        <v>136</v>
      </c>
      <c r="N2067" t="s">
        <v>107</v>
      </c>
      <c r="O2067" t="s">
        <v>97</v>
      </c>
    </row>
    <row r="2068" spans="1:15" x14ac:dyDescent="0.2">
      <c r="A2068">
        <v>330</v>
      </c>
      <c r="B2068">
        <v>331</v>
      </c>
      <c r="C2068">
        <v>330</v>
      </c>
      <c r="D2068">
        <v>329</v>
      </c>
      <c r="E2068" t="s">
        <v>57</v>
      </c>
      <c r="F2068" t="s">
        <v>66</v>
      </c>
      <c r="G2068">
        <v>18</v>
      </c>
      <c r="H2068" t="s">
        <v>137</v>
      </c>
      <c r="I2068">
        <v>1</v>
      </c>
      <c r="J2068">
        <v>1</v>
      </c>
      <c r="K2068" t="s">
        <v>112</v>
      </c>
      <c r="L2068" t="s">
        <v>138</v>
      </c>
      <c r="M2068" t="s">
        <v>139</v>
      </c>
      <c r="N2068" t="s">
        <v>107</v>
      </c>
      <c r="O2068" t="s">
        <v>97</v>
      </c>
    </row>
    <row r="2069" spans="1:15" x14ac:dyDescent="0.2">
      <c r="A2069">
        <v>330</v>
      </c>
      <c r="B2069">
        <v>331</v>
      </c>
      <c r="C2069">
        <v>330</v>
      </c>
      <c r="D2069">
        <v>329</v>
      </c>
      <c r="E2069" t="s">
        <v>57</v>
      </c>
      <c r="F2069" t="s">
        <v>66</v>
      </c>
      <c r="G2069">
        <v>19</v>
      </c>
      <c r="H2069" t="s">
        <v>140</v>
      </c>
      <c r="I2069">
        <v>1</v>
      </c>
      <c r="J2069">
        <v>1</v>
      </c>
      <c r="K2069" t="s">
        <v>122</v>
      </c>
      <c r="L2069" t="s">
        <v>141</v>
      </c>
      <c r="M2069" t="s">
        <v>142</v>
      </c>
      <c r="N2069" t="s">
        <v>107</v>
      </c>
      <c r="O2069" t="s">
        <v>97</v>
      </c>
    </row>
    <row r="2070" spans="1:15" x14ac:dyDescent="0.2">
      <c r="A2070">
        <v>330</v>
      </c>
      <c r="B2070">
        <v>331</v>
      </c>
      <c r="C2070">
        <v>330</v>
      </c>
      <c r="D2070">
        <v>329</v>
      </c>
      <c r="E2070" t="s">
        <v>57</v>
      </c>
      <c r="F2070" t="s">
        <v>66</v>
      </c>
      <c r="G2070">
        <v>20</v>
      </c>
      <c r="H2070" t="s">
        <v>143</v>
      </c>
      <c r="I2070">
        <v>1</v>
      </c>
      <c r="J2070">
        <v>1</v>
      </c>
      <c r="K2070" t="s">
        <v>122</v>
      </c>
      <c r="L2070" t="s">
        <v>144</v>
      </c>
      <c r="M2070" t="s">
        <v>145</v>
      </c>
      <c r="N2070" t="s">
        <v>107</v>
      </c>
      <c r="O2070" t="s">
        <v>97</v>
      </c>
    </row>
    <row r="2071" spans="1:15" x14ac:dyDescent="0.2">
      <c r="A2071">
        <v>330</v>
      </c>
      <c r="B2071">
        <v>331</v>
      </c>
      <c r="C2071">
        <v>330</v>
      </c>
      <c r="D2071">
        <v>329</v>
      </c>
      <c r="E2071" t="s">
        <v>57</v>
      </c>
      <c r="F2071" t="s">
        <v>66</v>
      </c>
      <c r="G2071">
        <v>21</v>
      </c>
      <c r="H2071" t="s">
        <v>146</v>
      </c>
      <c r="I2071">
        <v>0</v>
      </c>
      <c r="J2071">
        <v>1</v>
      </c>
      <c r="K2071" t="s">
        <v>147</v>
      </c>
      <c r="L2071" t="s">
        <v>148</v>
      </c>
      <c r="M2071" t="s">
        <v>149</v>
      </c>
      <c r="N2071" t="s">
        <v>96</v>
      </c>
      <c r="O2071" t="s">
        <v>97</v>
      </c>
    </row>
    <row r="2072" spans="1:15" x14ac:dyDescent="0.2">
      <c r="A2072">
        <v>330</v>
      </c>
      <c r="B2072">
        <v>331</v>
      </c>
      <c r="C2072">
        <v>330</v>
      </c>
      <c r="D2072">
        <v>329</v>
      </c>
      <c r="E2072" t="s">
        <v>57</v>
      </c>
      <c r="F2072" t="s">
        <v>66</v>
      </c>
      <c r="G2072">
        <v>22</v>
      </c>
      <c r="H2072" t="s">
        <v>150</v>
      </c>
      <c r="I2072">
        <v>0</v>
      </c>
      <c r="J2072">
        <v>1</v>
      </c>
      <c r="K2072" t="s">
        <v>147</v>
      </c>
      <c r="L2072" t="s">
        <v>151</v>
      </c>
      <c r="M2072" t="s">
        <v>149</v>
      </c>
      <c r="N2072" t="s">
        <v>107</v>
      </c>
      <c r="O2072" t="s">
        <v>97</v>
      </c>
    </row>
    <row r="2073" spans="1:15" x14ac:dyDescent="0.2">
      <c r="A2073">
        <v>330</v>
      </c>
      <c r="B2073">
        <v>331</v>
      </c>
      <c r="C2073">
        <v>330</v>
      </c>
      <c r="D2073">
        <v>329</v>
      </c>
      <c r="E2073" t="s">
        <v>57</v>
      </c>
      <c r="F2073" t="s">
        <v>66</v>
      </c>
      <c r="G2073">
        <v>23</v>
      </c>
      <c r="H2073" t="s">
        <v>152</v>
      </c>
      <c r="I2073">
        <v>0</v>
      </c>
      <c r="J2073">
        <v>0</v>
      </c>
      <c r="K2073" t="s">
        <v>153</v>
      </c>
      <c r="L2073" t="s">
        <v>154</v>
      </c>
      <c r="M2073" t="s">
        <v>155</v>
      </c>
      <c r="N2073" t="s">
        <v>107</v>
      </c>
      <c r="O2073" t="s">
        <v>97</v>
      </c>
    </row>
    <row r="2074" spans="1:15" x14ac:dyDescent="0.2">
      <c r="A2074">
        <v>330</v>
      </c>
      <c r="B2074">
        <v>331</v>
      </c>
      <c r="C2074">
        <v>330</v>
      </c>
      <c r="D2074">
        <v>329</v>
      </c>
      <c r="E2074" t="s">
        <v>57</v>
      </c>
      <c r="F2074" t="s">
        <v>66</v>
      </c>
      <c r="G2074">
        <v>24</v>
      </c>
      <c r="H2074" t="s">
        <v>156</v>
      </c>
      <c r="I2074">
        <v>0</v>
      </c>
      <c r="J2074">
        <v>0.5</v>
      </c>
      <c r="K2074" t="s">
        <v>122</v>
      </c>
      <c r="L2074" t="s">
        <v>157</v>
      </c>
      <c r="M2074" t="s">
        <v>158</v>
      </c>
      <c r="N2074" t="s">
        <v>107</v>
      </c>
      <c r="O2074" t="s">
        <v>97</v>
      </c>
    </row>
    <row r="2075" spans="1:15" x14ac:dyDescent="0.2">
      <c r="A2075">
        <v>330</v>
      </c>
      <c r="B2075">
        <v>331</v>
      </c>
      <c r="C2075">
        <v>330</v>
      </c>
      <c r="D2075">
        <v>329</v>
      </c>
      <c r="E2075" t="s">
        <v>57</v>
      </c>
      <c r="F2075" t="s">
        <v>66</v>
      </c>
      <c r="G2075">
        <v>25</v>
      </c>
      <c r="H2075" t="s">
        <v>156</v>
      </c>
      <c r="I2075">
        <v>0</v>
      </c>
      <c r="J2075">
        <v>0.5</v>
      </c>
      <c r="K2075" t="s">
        <v>122</v>
      </c>
      <c r="L2075" t="s">
        <v>157</v>
      </c>
      <c r="M2075" t="s">
        <v>158</v>
      </c>
      <c r="N2075" t="s">
        <v>107</v>
      </c>
      <c r="O2075" t="s">
        <v>97</v>
      </c>
    </row>
    <row r="2076" spans="1:15" x14ac:dyDescent="0.2">
      <c r="A2076">
        <v>330</v>
      </c>
      <c r="B2076">
        <v>331</v>
      </c>
      <c r="C2076">
        <v>330</v>
      </c>
      <c r="D2076">
        <v>329</v>
      </c>
      <c r="E2076" t="s">
        <v>57</v>
      </c>
      <c r="F2076" t="s">
        <v>66</v>
      </c>
      <c r="G2076">
        <v>26</v>
      </c>
      <c r="H2076" t="s">
        <v>152</v>
      </c>
      <c r="I2076">
        <v>0</v>
      </c>
      <c r="J2076">
        <v>0</v>
      </c>
      <c r="K2076" t="s">
        <v>153</v>
      </c>
      <c r="L2076" t="s">
        <v>154</v>
      </c>
      <c r="M2076" t="s">
        <v>155</v>
      </c>
      <c r="N2076" t="s">
        <v>107</v>
      </c>
      <c r="O2076" t="s">
        <v>97</v>
      </c>
    </row>
    <row r="2077" spans="1:15" x14ac:dyDescent="0.2">
      <c r="A2077">
        <v>330</v>
      </c>
      <c r="B2077">
        <v>331</v>
      </c>
      <c r="C2077">
        <v>330</v>
      </c>
      <c r="D2077">
        <v>329</v>
      </c>
      <c r="E2077" t="s">
        <v>57</v>
      </c>
      <c r="F2077" t="s">
        <v>66</v>
      </c>
      <c r="G2077">
        <v>27</v>
      </c>
      <c r="H2077" t="s">
        <v>159</v>
      </c>
      <c r="I2077">
        <v>0</v>
      </c>
      <c r="J2077">
        <v>0.5</v>
      </c>
      <c r="K2077" t="s">
        <v>122</v>
      </c>
      <c r="L2077" t="s">
        <v>160</v>
      </c>
      <c r="M2077" t="s">
        <v>161</v>
      </c>
      <c r="N2077" t="s">
        <v>107</v>
      </c>
      <c r="O2077" t="s">
        <v>97</v>
      </c>
    </row>
    <row r="2078" spans="1:15" x14ac:dyDescent="0.2">
      <c r="A2078">
        <v>330</v>
      </c>
      <c r="B2078">
        <v>331</v>
      </c>
      <c r="C2078">
        <v>330</v>
      </c>
      <c r="D2078">
        <v>329</v>
      </c>
      <c r="E2078" t="s">
        <v>57</v>
      </c>
      <c r="F2078" t="s">
        <v>66</v>
      </c>
      <c r="G2078">
        <v>28</v>
      </c>
      <c r="H2078" t="s">
        <v>159</v>
      </c>
      <c r="I2078">
        <v>0</v>
      </c>
      <c r="J2078">
        <v>0.5</v>
      </c>
      <c r="K2078" t="s">
        <v>122</v>
      </c>
      <c r="L2078" t="s">
        <v>160</v>
      </c>
      <c r="M2078" t="s">
        <v>161</v>
      </c>
      <c r="N2078" t="s">
        <v>107</v>
      </c>
      <c r="O2078" t="s">
        <v>97</v>
      </c>
    </row>
    <row r="2079" spans="1:15" x14ac:dyDescent="0.2">
      <c r="A2079">
        <v>330</v>
      </c>
      <c r="B2079">
        <v>331</v>
      </c>
      <c r="C2079">
        <v>330</v>
      </c>
      <c r="D2079">
        <v>329</v>
      </c>
      <c r="E2079" t="s">
        <v>57</v>
      </c>
      <c r="F2079" t="s">
        <v>66</v>
      </c>
      <c r="G2079">
        <v>29</v>
      </c>
      <c r="H2079" t="s">
        <v>152</v>
      </c>
      <c r="I2079">
        <v>0</v>
      </c>
      <c r="J2079">
        <v>0</v>
      </c>
      <c r="K2079" t="s">
        <v>153</v>
      </c>
      <c r="L2079" t="s">
        <v>154</v>
      </c>
      <c r="M2079" t="s">
        <v>155</v>
      </c>
      <c r="N2079" t="s">
        <v>107</v>
      </c>
      <c r="O2079" t="s">
        <v>97</v>
      </c>
    </row>
    <row r="2080" spans="1:15" x14ac:dyDescent="0.2">
      <c r="A2080">
        <v>330</v>
      </c>
      <c r="B2080">
        <v>331</v>
      </c>
      <c r="C2080">
        <v>330</v>
      </c>
      <c r="D2080">
        <v>329</v>
      </c>
      <c r="E2080" t="s">
        <v>57</v>
      </c>
      <c r="F2080" t="s">
        <v>66</v>
      </c>
      <c r="G2080">
        <v>30</v>
      </c>
      <c r="H2080" t="s">
        <v>162</v>
      </c>
      <c r="I2080">
        <v>0</v>
      </c>
      <c r="J2080">
        <v>1</v>
      </c>
      <c r="K2080" t="s">
        <v>112</v>
      </c>
      <c r="L2080" t="s">
        <v>163</v>
      </c>
      <c r="M2080" t="s">
        <v>164</v>
      </c>
      <c r="N2080" t="s">
        <v>107</v>
      </c>
      <c r="O2080" t="s">
        <v>97</v>
      </c>
    </row>
    <row r="2081" spans="1:15" x14ac:dyDescent="0.2">
      <c r="A2081">
        <v>330</v>
      </c>
      <c r="B2081">
        <v>331</v>
      </c>
      <c r="C2081">
        <v>330</v>
      </c>
      <c r="D2081">
        <v>329</v>
      </c>
      <c r="E2081" t="s">
        <v>57</v>
      </c>
      <c r="F2081" t="s">
        <v>66</v>
      </c>
      <c r="G2081">
        <v>31</v>
      </c>
      <c r="H2081" t="s">
        <v>162</v>
      </c>
      <c r="I2081">
        <v>0</v>
      </c>
      <c r="J2081">
        <v>0</v>
      </c>
      <c r="K2081" t="s">
        <v>112</v>
      </c>
      <c r="L2081" t="s">
        <v>163</v>
      </c>
      <c r="M2081" t="s">
        <v>164</v>
      </c>
      <c r="N2081" t="s">
        <v>107</v>
      </c>
      <c r="O2081" t="s">
        <v>97</v>
      </c>
    </row>
    <row r="2082" spans="1:15" x14ac:dyDescent="0.2">
      <c r="A2082">
        <v>330</v>
      </c>
      <c r="B2082">
        <v>331</v>
      </c>
      <c r="C2082">
        <v>330</v>
      </c>
      <c r="D2082">
        <v>329</v>
      </c>
      <c r="E2082" t="s">
        <v>57</v>
      </c>
      <c r="F2082" t="s">
        <v>66</v>
      </c>
      <c r="G2082">
        <v>32</v>
      </c>
      <c r="H2082" t="s">
        <v>162</v>
      </c>
      <c r="I2082">
        <v>0</v>
      </c>
      <c r="J2082">
        <v>0</v>
      </c>
      <c r="K2082" t="s">
        <v>112</v>
      </c>
      <c r="L2082" t="s">
        <v>163</v>
      </c>
      <c r="M2082" t="s">
        <v>164</v>
      </c>
      <c r="N2082" t="s">
        <v>107</v>
      </c>
      <c r="O2082" t="s">
        <v>97</v>
      </c>
    </row>
    <row r="2083" spans="1:15" x14ac:dyDescent="0.2">
      <c r="A2083">
        <v>330</v>
      </c>
      <c r="B2083">
        <v>331</v>
      </c>
      <c r="C2083">
        <v>330</v>
      </c>
      <c r="D2083">
        <v>329</v>
      </c>
      <c r="E2083" t="s">
        <v>57</v>
      </c>
      <c r="F2083" t="s">
        <v>66</v>
      </c>
      <c r="G2083">
        <v>33</v>
      </c>
      <c r="H2083" t="s">
        <v>152</v>
      </c>
      <c r="I2083">
        <v>0</v>
      </c>
      <c r="J2083">
        <v>1</v>
      </c>
      <c r="K2083" t="s">
        <v>153</v>
      </c>
      <c r="L2083" t="s">
        <v>154</v>
      </c>
      <c r="M2083" t="s">
        <v>155</v>
      </c>
      <c r="N2083" t="s">
        <v>107</v>
      </c>
      <c r="O2083" t="s">
        <v>97</v>
      </c>
    </row>
    <row r="2084" spans="1:15" x14ac:dyDescent="0.2">
      <c r="A2084">
        <v>330</v>
      </c>
      <c r="B2084">
        <v>331</v>
      </c>
      <c r="C2084">
        <v>330</v>
      </c>
      <c r="D2084">
        <v>329</v>
      </c>
      <c r="E2084" t="s">
        <v>57</v>
      </c>
      <c r="F2084" t="s">
        <v>66</v>
      </c>
      <c r="G2084">
        <v>34</v>
      </c>
      <c r="H2084" t="s">
        <v>152</v>
      </c>
      <c r="I2084">
        <v>0</v>
      </c>
      <c r="J2084">
        <v>0</v>
      </c>
      <c r="K2084" t="s">
        <v>153</v>
      </c>
      <c r="L2084" t="s">
        <v>154</v>
      </c>
      <c r="M2084" t="s">
        <v>155</v>
      </c>
      <c r="N2084" t="s">
        <v>107</v>
      </c>
      <c r="O2084" t="s">
        <v>97</v>
      </c>
    </row>
    <row r="2085" spans="1:15" x14ac:dyDescent="0.2">
      <c r="A2085">
        <v>330</v>
      </c>
      <c r="B2085">
        <v>331</v>
      </c>
      <c r="C2085">
        <v>330</v>
      </c>
      <c r="D2085">
        <v>329</v>
      </c>
      <c r="E2085" t="s">
        <v>57</v>
      </c>
      <c r="F2085" t="s">
        <v>66</v>
      </c>
      <c r="G2085">
        <v>35</v>
      </c>
      <c r="H2085" t="s">
        <v>165</v>
      </c>
      <c r="I2085">
        <v>1</v>
      </c>
      <c r="J2085">
        <v>1</v>
      </c>
      <c r="K2085" t="s">
        <v>166</v>
      </c>
      <c r="L2085" t="s">
        <v>167</v>
      </c>
      <c r="M2085" t="s">
        <v>168</v>
      </c>
      <c r="N2085" t="s">
        <v>107</v>
      </c>
      <c r="O2085" t="s">
        <v>97</v>
      </c>
    </row>
    <row r="2086" spans="1:15" x14ac:dyDescent="0.2">
      <c r="A2086">
        <v>330</v>
      </c>
      <c r="B2086">
        <v>331</v>
      </c>
      <c r="C2086">
        <v>330</v>
      </c>
      <c r="D2086">
        <v>329</v>
      </c>
      <c r="E2086" t="s">
        <v>57</v>
      </c>
      <c r="F2086" t="s">
        <v>66</v>
      </c>
      <c r="G2086">
        <v>36</v>
      </c>
      <c r="H2086" t="s">
        <v>169</v>
      </c>
      <c r="I2086">
        <v>0</v>
      </c>
      <c r="J2086">
        <v>0</v>
      </c>
      <c r="K2086" t="e">
        <v>#N/A</v>
      </c>
      <c r="L2086" t="e">
        <v>#N/A</v>
      </c>
      <c r="M2086" t="e">
        <v>#N/A</v>
      </c>
      <c r="N2086" t="e">
        <v>#N/A</v>
      </c>
      <c r="O2086" t="s">
        <v>97</v>
      </c>
    </row>
    <row r="2087" spans="1:15" x14ac:dyDescent="0.2">
      <c r="A2087">
        <v>330</v>
      </c>
      <c r="B2087">
        <v>331</v>
      </c>
      <c r="C2087">
        <v>330</v>
      </c>
      <c r="D2087">
        <v>329</v>
      </c>
      <c r="E2087" t="s">
        <v>57</v>
      </c>
      <c r="F2087" t="s">
        <v>66</v>
      </c>
      <c r="G2087">
        <v>38</v>
      </c>
      <c r="H2087" t="s">
        <v>170</v>
      </c>
      <c r="I2087">
        <v>0</v>
      </c>
      <c r="J2087">
        <v>0</v>
      </c>
      <c r="K2087" t="s">
        <v>112</v>
      </c>
      <c r="L2087" t="s">
        <v>171</v>
      </c>
      <c r="M2087" t="s">
        <v>172</v>
      </c>
      <c r="N2087" t="s">
        <v>96</v>
      </c>
      <c r="O2087" t="s">
        <v>97</v>
      </c>
    </row>
    <row r="2088" spans="1:15" x14ac:dyDescent="0.2">
      <c r="A2088">
        <v>330</v>
      </c>
      <c r="B2088">
        <v>331</v>
      </c>
      <c r="C2088">
        <v>330</v>
      </c>
      <c r="D2088">
        <v>329</v>
      </c>
      <c r="E2088" t="s">
        <v>57</v>
      </c>
      <c r="F2088" t="s">
        <v>66</v>
      </c>
      <c r="G2088">
        <v>39</v>
      </c>
      <c r="H2088" t="s">
        <v>170</v>
      </c>
      <c r="I2088">
        <v>0</v>
      </c>
      <c r="J2088">
        <v>0</v>
      </c>
      <c r="K2088" t="s">
        <v>112</v>
      </c>
      <c r="L2088" t="s">
        <v>171</v>
      </c>
      <c r="M2088" t="s">
        <v>172</v>
      </c>
      <c r="N2088" t="s">
        <v>96</v>
      </c>
      <c r="O2088" t="s">
        <v>97</v>
      </c>
    </row>
    <row r="2089" spans="1:15" x14ac:dyDescent="0.2">
      <c r="A2089">
        <v>330</v>
      </c>
      <c r="B2089">
        <v>331</v>
      </c>
      <c r="C2089">
        <v>330</v>
      </c>
      <c r="D2089">
        <v>329</v>
      </c>
      <c r="E2089" t="s">
        <v>57</v>
      </c>
      <c r="F2089" t="s">
        <v>66</v>
      </c>
      <c r="G2089">
        <v>40</v>
      </c>
      <c r="H2089" t="s">
        <v>170</v>
      </c>
      <c r="I2089">
        <v>0</v>
      </c>
      <c r="J2089">
        <v>0</v>
      </c>
      <c r="K2089" t="s">
        <v>112</v>
      </c>
      <c r="L2089" t="s">
        <v>171</v>
      </c>
      <c r="M2089" t="s">
        <v>172</v>
      </c>
      <c r="N2089" t="s">
        <v>96</v>
      </c>
      <c r="O2089" t="s">
        <v>97</v>
      </c>
    </row>
    <row r="2090" spans="1:15" x14ac:dyDescent="0.2">
      <c r="A2090">
        <v>330</v>
      </c>
      <c r="B2090">
        <v>331</v>
      </c>
      <c r="C2090">
        <v>330</v>
      </c>
      <c r="D2090">
        <v>329</v>
      </c>
      <c r="E2090" t="s">
        <v>57</v>
      </c>
      <c r="F2090" t="s">
        <v>66</v>
      </c>
      <c r="G2090">
        <v>41</v>
      </c>
      <c r="H2090" t="s">
        <v>173</v>
      </c>
      <c r="I2090">
        <v>0</v>
      </c>
      <c r="J2090">
        <v>0</v>
      </c>
      <c r="K2090" t="s">
        <v>166</v>
      </c>
      <c r="L2090" t="s">
        <v>174</v>
      </c>
      <c r="M2090" t="s">
        <v>175</v>
      </c>
      <c r="N2090" t="s">
        <v>107</v>
      </c>
      <c r="O2090" t="s">
        <v>97</v>
      </c>
    </row>
    <row r="2091" spans="1:15" x14ac:dyDescent="0.2">
      <c r="A2091">
        <v>330</v>
      </c>
      <c r="B2091">
        <v>331</v>
      </c>
      <c r="C2091">
        <v>330</v>
      </c>
      <c r="D2091">
        <v>329</v>
      </c>
      <c r="E2091" t="s">
        <v>57</v>
      </c>
      <c r="F2091" t="s">
        <v>66</v>
      </c>
      <c r="G2091">
        <v>42</v>
      </c>
      <c r="H2091" t="s">
        <v>176</v>
      </c>
      <c r="I2091">
        <v>0</v>
      </c>
      <c r="J2091" t="s">
        <v>198</v>
      </c>
      <c r="K2091" t="s">
        <v>153</v>
      </c>
      <c r="L2091" t="s">
        <v>177</v>
      </c>
      <c r="M2091" t="s">
        <v>178</v>
      </c>
      <c r="N2091" t="s">
        <v>107</v>
      </c>
      <c r="O2091" t="s">
        <v>97</v>
      </c>
    </row>
    <row r="2092" spans="1:15" x14ac:dyDescent="0.2">
      <c r="A2092">
        <v>330</v>
      </c>
      <c r="B2092">
        <v>331</v>
      </c>
      <c r="C2092">
        <v>330</v>
      </c>
      <c r="D2092">
        <v>329</v>
      </c>
      <c r="E2092" t="s">
        <v>57</v>
      </c>
      <c r="F2092" t="s">
        <v>66</v>
      </c>
      <c r="G2092">
        <v>43</v>
      </c>
      <c r="H2092" t="s">
        <v>179</v>
      </c>
      <c r="I2092">
        <v>0</v>
      </c>
      <c r="J2092">
        <v>0</v>
      </c>
      <c r="K2092" t="s">
        <v>166</v>
      </c>
      <c r="L2092" t="s">
        <v>180</v>
      </c>
      <c r="M2092" t="s">
        <v>181</v>
      </c>
      <c r="N2092" t="s">
        <v>107</v>
      </c>
      <c r="O2092" t="s">
        <v>97</v>
      </c>
    </row>
    <row r="2093" spans="1:15" x14ac:dyDescent="0.2">
      <c r="A2093">
        <v>330</v>
      </c>
      <c r="B2093">
        <v>331</v>
      </c>
      <c r="C2093">
        <v>330</v>
      </c>
      <c r="D2093">
        <v>329</v>
      </c>
      <c r="E2093" t="s">
        <v>57</v>
      </c>
      <c r="F2093" t="s">
        <v>66</v>
      </c>
      <c r="G2093">
        <v>44</v>
      </c>
      <c r="H2093" t="s">
        <v>182</v>
      </c>
      <c r="I2093">
        <v>0</v>
      </c>
      <c r="J2093">
        <v>1</v>
      </c>
      <c r="K2093" t="s">
        <v>166</v>
      </c>
      <c r="L2093" t="s">
        <v>183</v>
      </c>
      <c r="M2093" t="s">
        <v>184</v>
      </c>
      <c r="N2093" t="s">
        <v>107</v>
      </c>
      <c r="O2093" t="s">
        <v>97</v>
      </c>
    </row>
    <row r="2094" spans="1:15" x14ac:dyDescent="0.2">
      <c r="A2094">
        <v>330</v>
      </c>
      <c r="B2094">
        <v>331</v>
      </c>
      <c r="C2094">
        <v>330</v>
      </c>
      <c r="D2094">
        <v>329</v>
      </c>
      <c r="E2094" t="s">
        <v>57</v>
      </c>
      <c r="F2094" t="s">
        <v>66</v>
      </c>
      <c r="G2094">
        <v>45</v>
      </c>
      <c r="H2094" t="s">
        <v>185</v>
      </c>
      <c r="I2094">
        <v>0</v>
      </c>
      <c r="J2094">
        <v>1</v>
      </c>
      <c r="K2094" t="s">
        <v>166</v>
      </c>
      <c r="L2094" t="s">
        <v>186</v>
      </c>
      <c r="M2094" t="s">
        <v>139</v>
      </c>
      <c r="N2094" t="s">
        <v>107</v>
      </c>
      <c r="O2094" t="s">
        <v>97</v>
      </c>
    </row>
    <row r="2095" spans="1:15" x14ac:dyDescent="0.2">
      <c r="A2095">
        <v>330</v>
      </c>
      <c r="B2095">
        <v>331</v>
      </c>
      <c r="C2095">
        <v>330</v>
      </c>
      <c r="D2095">
        <v>329</v>
      </c>
      <c r="E2095" t="s">
        <v>57</v>
      </c>
      <c r="F2095" t="s">
        <v>66</v>
      </c>
      <c r="G2095">
        <v>47</v>
      </c>
      <c r="H2095" t="s">
        <v>187</v>
      </c>
      <c r="I2095">
        <v>0.2</v>
      </c>
      <c r="J2095">
        <v>0.2</v>
      </c>
      <c r="K2095" t="s">
        <v>93</v>
      </c>
      <c r="L2095" t="s">
        <v>188</v>
      </c>
      <c r="M2095" t="s">
        <v>95</v>
      </c>
      <c r="N2095" t="s">
        <v>96</v>
      </c>
      <c r="O2095" t="s">
        <v>97</v>
      </c>
    </row>
    <row r="2096" spans="1:15" x14ac:dyDescent="0.2">
      <c r="A2096">
        <v>330</v>
      </c>
      <c r="B2096">
        <v>331</v>
      </c>
      <c r="C2096">
        <v>330</v>
      </c>
      <c r="D2096">
        <v>329</v>
      </c>
      <c r="E2096" t="s">
        <v>57</v>
      </c>
      <c r="F2096" t="s">
        <v>66</v>
      </c>
      <c r="G2096">
        <v>48</v>
      </c>
      <c r="H2096" t="s">
        <v>189</v>
      </c>
      <c r="I2096">
        <v>0.2</v>
      </c>
      <c r="J2096">
        <v>0.2</v>
      </c>
      <c r="K2096" t="s">
        <v>93</v>
      </c>
      <c r="L2096" t="s">
        <v>190</v>
      </c>
      <c r="M2096" t="s">
        <v>95</v>
      </c>
      <c r="N2096" t="s">
        <v>96</v>
      </c>
      <c r="O2096" t="s">
        <v>97</v>
      </c>
    </row>
    <row r="2097" spans="1:15" x14ac:dyDescent="0.2">
      <c r="A2097">
        <v>330</v>
      </c>
      <c r="B2097">
        <v>331</v>
      </c>
      <c r="C2097">
        <v>330</v>
      </c>
      <c r="D2097">
        <v>329</v>
      </c>
      <c r="E2097" t="s">
        <v>57</v>
      </c>
      <c r="F2097" t="s">
        <v>66</v>
      </c>
      <c r="G2097">
        <v>49</v>
      </c>
      <c r="H2097" t="s">
        <v>191</v>
      </c>
      <c r="I2097">
        <v>0.2</v>
      </c>
      <c r="J2097">
        <v>0.2</v>
      </c>
      <c r="K2097" t="s">
        <v>93</v>
      </c>
      <c r="L2097" t="s">
        <v>192</v>
      </c>
      <c r="M2097" t="s">
        <v>95</v>
      </c>
      <c r="N2097" t="s">
        <v>96</v>
      </c>
      <c r="O2097" t="s">
        <v>97</v>
      </c>
    </row>
    <row r="2098" spans="1:15" x14ac:dyDescent="0.2">
      <c r="A2098">
        <v>330</v>
      </c>
      <c r="B2098">
        <v>331</v>
      </c>
      <c r="C2098">
        <v>330</v>
      </c>
      <c r="D2098">
        <v>329</v>
      </c>
      <c r="E2098" t="s">
        <v>57</v>
      </c>
      <c r="F2098" t="s">
        <v>66</v>
      </c>
      <c r="G2098">
        <v>50</v>
      </c>
      <c r="H2098" t="s">
        <v>193</v>
      </c>
      <c r="I2098">
        <v>0</v>
      </c>
      <c r="J2098">
        <v>0</v>
      </c>
      <c r="K2098" t="s">
        <v>93</v>
      </c>
      <c r="L2098" t="s">
        <v>194</v>
      </c>
      <c r="M2098" t="s">
        <v>95</v>
      </c>
      <c r="N2098" t="s">
        <v>96</v>
      </c>
      <c r="O2098" t="s">
        <v>97</v>
      </c>
    </row>
    <row r="2099" spans="1:15" x14ac:dyDescent="0.2">
      <c r="A2099">
        <v>330</v>
      </c>
      <c r="B2099">
        <v>331</v>
      </c>
      <c r="C2099">
        <v>330</v>
      </c>
      <c r="D2099">
        <v>329</v>
      </c>
      <c r="E2099" t="s">
        <v>57</v>
      </c>
      <c r="F2099" t="s">
        <v>66</v>
      </c>
      <c r="G2099">
        <v>51</v>
      </c>
      <c r="H2099" t="s">
        <v>193</v>
      </c>
      <c r="I2099">
        <v>0</v>
      </c>
      <c r="J2099">
        <v>0</v>
      </c>
      <c r="K2099" t="s">
        <v>93</v>
      </c>
      <c r="L2099" t="s">
        <v>194</v>
      </c>
      <c r="M2099" t="s">
        <v>95</v>
      </c>
      <c r="N2099" t="s">
        <v>96</v>
      </c>
      <c r="O2099" t="s">
        <v>97</v>
      </c>
    </row>
    <row r="2100" spans="1:15" x14ac:dyDescent="0.2">
      <c r="A2100">
        <v>330</v>
      </c>
      <c r="B2100">
        <v>331</v>
      </c>
      <c r="C2100">
        <v>330</v>
      </c>
      <c r="D2100">
        <v>329</v>
      </c>
      <c r="E2100" t="s">
        <v>57</v>
      </c>
      <c r="F2100" t="s">
        <v>66</v>
      </c>
      <c r="G2100">
        <v>97</v>
      </c>
      <c r="H2100" t="s">
        <v>152</v>
      </c>
      <c r="I2100">
        <v>0</v>
      </c>
      <c r="J2100">
        <v>0.25</v>
      </c>
      <c r="K2100" t="s">
        <v>153</v>
      </c>
      <c r="L2100" t="s">
        <v>154</v>
      </c>
      <c r="M2100" t="s">
        <v>155</v>
      </c>
      <c r="N2100" t="s">
        <v>107</v>
      </c>
      <c r="O2100" t="s">
        <v>97</v>
      </c>
    </row>
    <row r="2101" spans="1:15" x14ac:dyDescent="0.2">
      <c r="A2101">
        <v>330</v>
      </c>
      <c r="B2101">
        <v>331</v>
      </c>
      <c r="C2101">
        <v>330</v>
      </c>
      <c r="D2101">
        <v>329</v>
      </c>
      <c r="E2101" t="s">
        <v>57</v>
      </c>
      <c r="F2101" t="s">
        <v>66</v>
      </c>
      <c r="G2101">
        <v>96</v>
      </c>
      <c r="H2101" t="s">
        <v>152</v>
      </c>
      <c r="I2101">
        <v>0</v>
      </c>
      <c r="J2101">
        <v>0</v>
      </c>
      <c r="K2101" t="s">
        <v>153</v>
      </c>
      <c r="L2101" t="s">
        <v>154</v>
      </c>
      <c r="M2101" t="s">
        <v>155</v>
      </c>
      <c r="N2101" t="s">
        <v>107</v>
      </c>
      <c r="O2101" t="s">
        <v>97</v>
      </c>
    </row>
    <row r="2102" spans="1:15" x14ac:dyDescent="0.2">
      <c r="A2102">
        <v>330</v>
      </c>
      <c r="B2102">
        <v>331</v>
      </c>
      <c r="C2102">
        <v>330</v>
      </c>
      <c r="D2102">
        <v>329</v>
      </c>
      <c r="E2102" t="s">
        <v>57</v>
      </c>
      <c r="F2102" t="s">
        <v>66</v>
      </c>
      <c r="G2102">
        <v>99</v>
      </c>
      <c r="H2102" t="s">
        <v>152</v>
      </c>
      <c r="I2102">
        <v>0</v>
      </c>
      <c r="J2102">
        <v>0</v>
      </c>
      <c r="K2102" t="s">
        <v>153</v>
      </c>
      <c r="L2102" t="s">
        <v>154</v>
      </c>
      <c r="M2102" t="s">
        <v>155</v>
      </c>
      <c r="N2102" t="s">
        <v>107</v>
      </c>
      <c r="O2102" t="s">
        <v>97</v>
      </c>
    </row>
    <row r="2103" spans="1:15" x14ac:dyDescent="0.2">
      <c r="A2103">
        <v>330</v>
      </c>
      <c r="B2103">
        <v>331</v>
      </c>
      <c r="C2103">
        <v>330</v>
      </c>
      <c r="D2103">
        <v>329</v>
      </c>
      <c r="E2103" t="s">
        <v>57</v>
      </c>
      <c r="F2103" t="s">
        <v>66</v>
      </c>
      <c r="G2103">
        <v>98</v>
      </c>
      <c r="H2103" t="s">
        <v>204</v>
      </c>
      <c r="I2103">
        <v>0.5</v>
      </c>
      <c r="J2103">
        <v>1</v>
      </c>
      <c r="K2103" t="s">
        <v>122</v>
      </c>
      <c r="L2103" t="s">
        <v>205</v>
      </c>
      <c r="M2103" t="s">
        <v>206</v>
      </c>
      <c r="N2103" t="s">
        <v>207</v>
      </c>
      <c r="O2103" t="s">
        <v>97</v>
      </c>
    </row>
    <row r="2104" spans="1:15" x14ac:dyDescent="0.2">
      <c r="A2104">
        <v>325</v>
      </c>
      <c r="B2104">
        <v>326</v>
      </c>
      <c r="C2104">
        <v>325</v>
      </c>
      <c r="D2104">
        <v>324</v>
      </c>
      <c r="E2104" t="s">
        <v>57</v>
      </c>
      <c r="F2104" t="s">
        <v>65</v>
      </c>
      <c r="G2104">
        <v>1</v>
      </c>
      <c r="H2104" t="s">
        <v>92</v>
      </c>
      <c r="I2104">
        <v>0.2</v>
      </c>
      <c r="J2104">
        <v>0.2</v>
      </c>
      <c r="K2104" t="s">
        <v>93</v>
      </c>
      <c r="L2104" t="s">
        <v>94</v>
      </c>
      <c r="M2104" t="s">
        <v>95</v>
      </c>
      <c r="N2104" t="s">
        <v>96</v>
      </c>
      <c r="O2104" t="s">
        <v>97</v>
      </c>
    </row>
    <row r="2105" spans="1:15" x14ac:dyDescent="0.2">
      <c r="A2105">
        <v>325</v>
      </c>
      <c r="B2105">
        <v>326</v>
      </c>
      <c r="C2105">
        <v>325</v>
      </c>
      <c r="D2105">
        <v>324</v>
      </c>
      <c r="E2105" t="s">
        <v>57</v>
      </c>
      <c r="F2105" t="s">
        <v>65</v>
      </c>
      <c r="G2105">
        <v>2</v>
      </c>
      <c r="H2105" t="s">
        <v>98</v>
      </c>
      <c r="I2105">
        <v>0.5</v>
      </c>
      <c r="J2105">
        <v>0.5</v>
      </c>
      <c r="K2105" t="s">
        <v>93</v>
      </c>
      <c r="L2105" t="s">
        <v>99</v>
      </c>
      <c r="M2105" t="s">
        <v>95</v>
      </c>
      <c r="N2105" t="s">
        <v>96</v>
      </c>
      <c r="O2105" t="s">
        <v>97</v>
      </c>
    </row>
    <row r="2106" spans="1:15" x14ac:dyDescent="0.2">
      <c r="A2106">
        <v>325</v>
      </c>
      <c r="B2106">
        <v>326</v>
      </c>
      <c r="C2106">
        <v>325</v>
      </c>
      <c r="D2106">
        <v>324</v>
      </c>
      <c r="E2106" t="s">
        <v>57</v>
      </c>
      <c r="F2106" t="s">
        <v>65</v>
      </c>
      <c r="G2106">
        <v>3</v>
      </c>
      <c r="H2106" t="s">
        <v>100</v>
      </c>
      <c r="I2106">
        <v>0</v>
      </c>
      <c r="J2106">
        <v>1</v>
      </c>
      <c r="K2106" t="s">
        <v>101</v>
      </c>
      <c r="L2106" t="s">
        <v>102</v>
      </c>
      <c r="M2106" t="s">
        <v>103</v>
      </c>
      <c r="N2106" t="s">
        <v>96</v>
      </c>
      <c r="O2106" t="s">
        <v>97</v>
      </c>
    </row>
    <row r="2107" spans="1:15" x14ac:dyDescent="0.2">
      <c r="A2107">
        <v>325</v>
      </c>
      <c r="B2107">
        <v>326</v>
      </c>
      <c r="C2107">
        <v>325</v>
      </c>
      <c r="D2107">
        <v>324</v>
      </c>
      <c r="E2107" t="s">
        <v>57</v>
      </c>
      <c r="F2107" t="s">
        <v>65</v>
      </c>
      <c r="G2107">
        <v>4</v>
      </c>
      <c r="H2107" t="s">
        <v>104</v>
      </c>
      <c r="I2107">
        <v>0</v>
      </c>
      <c r="J2107">
        <v>1</v>
      </c>
      <c r="K2107" t="s">
        <v>101</v>
      </c>
      <c r="L2107" t="s">
        <v>105</v>
      </c>
      <c r="M2107" t="s">
        <v>106</v>
      </c>
      <c r="N2107" t="s">
        <v>107</v>
      </c>
      <c r="O2107" t="s">
        <v>97</v>
      </c>
    </row>
    <row r="2108" spans="1:15" x14ac:dyDescent="0.2">
      <c r="A2108">
        <v>325</v>
      </c>
      <c r="B2108">
        <v>326</v>
      </c>
      <c r="C2108">
        <v>325</v>
      </c>
      <c r="D2108">
        <v>324</v>
      </c>
      <c r="E2108" t="s">
        <v>57</v>
      </c>
      <c r="F2108" t="s">
        <v>65</v>
      </c>
      <c r="G2108">
        <v>5</v>
      </c>
      <c r="H2108" t="s">
        <v>108</v>
      </c>
      <c r="I2108">
        <v>0.5</v>
      </c>
      <c r="J2108">
        <v>1</v>
      </c>
      <c r="K2108" t="s">
        <v>101</v>
      </c>
      <c r="L2108" t="s">
        <v>109</v>
      </c>
      <c r="M2108" t="s">
        <v>110</v>
      </c>
      <c r="N2108" t="s">
        <v>107</v>
      </c>
      <c r="O2108" t="s">
        <v>97</v>
      </c>
    </row>
    <row r="2109" spans="1:15" x14ac:dyDescent="0.2">
      <c r="A2109">
        <v>325</v>
      </c>
      <c r="B2109">
        <v>326</v>
      </c>
      <c r="C2109">
        <v>325</v>
      </c>
      <c r="D2109">
        <v>324</v>
      </c>
      <c r="E2109" t="s">
        <v>57</v>
      </c>
      <c r="F2109" t="s">
        <v>65</v>
      </c>
      <c r="G2109">
        <v>9</v>
      </c>
      <c r="H2109" t="s">
        <v>111</v>
      </c>
      <c r="I2109">
        <v>0</v>
      </c>
      <c r="J2109">
        <v>0.5</v>
      </c>
      <c r="K2109" t="s">
        <v>112</v>
      </c>
      <c r="L2109" t="s">
        <v>113</v>
      </c>
      <c r="M2109" t="s">
        <v>114</v>
      </c>
      <c r="N2109" t="s">
        <v>96</v>
      </c>
      <c r="O2109" t="s">
        <v>97</v>
      </c>
    </row>
    <row r="2110" spans="1:15" x14ac:dyDescent="0.2">
      <c r="A2110">
        <v>325</v>
      </c>
      <c r="B2110">
        <v>326</v>
      </c>
      <c r="C2110">
        <v>325</v>
      </c>
      <c r="D2110">
        <v>324</v>
      </c>
      <c r="E2110" t="s">
        <v>57</v>
      </c>
      <c r="F2110" t="s">
        <v>65</v>
      </c>
      <c r="G2110">
        <v>10</v>
      </c>
      <c r="H2110" t="s">
        <v>115</v>
      </c>
      <c r="I2110">
        <v>0</v>
      </c>
      <c r="J2110">
        <v>0.5</v>
      </c>
      <c r="K2110" t="s">
        <v>112</v>
      </c>
      <c r="L2110" t="s">
        <v>116</v>
      </c>
      <c r="M2110" t="s">
        <v>117</v>
      </c>
      <c r="N2110" t="s">
        <v>96</v>
      </c>
      <c r="O2110" t="s">
        <v>97</v>
      </c>
    </row>
    <row r="2111" spans="1:15" x14ac:dyDescent="0.2">
      <c r="A2111">
        <v>325</v>
      </c>
      <c r="B2111">
        <v>326</v>
      </c>
      <c r="C2111">
        <v>325</v>
      </c>
      <c r="D2111">
        <v>324</v>
      </c>
      <c r="E2111" t="s">
        <v>57</v>
      </c>
      <c r="F2111" t="s">
        <v>65</v>
      </c>
      <c r="G2111">
        <v>11</v>
      </c>
      <c r="H2111" t="s">
        <v>118</v>
      </c>
      <c r="I2111">
        <v>0.5</v>
      </c>
      <c r="J2111">
        <v>1</v>
      </c>
      <c r="K2111" t="s">
        <v>112</v>
      </c>
      <c r="L2111" t="s">
        <v>119</v>
      </c>
      <c r="M2111" t="s">
        <v>120</v>
      </c>
      <c r="N2111" t="s">
        <v>107</v>
      </c>
      <c r="O2111" t="s">
        <v>97</v>
      </c>
    </row>
    <row r="2112" spans="1:15" x14ac:dyDescent="0.2">
      <c r="A2112">
        <v>325</v>
      </c>
      <c r="B2112">
        <v>326</v>
      </c>
      <c r="C2112">
        <v>325</v>
      </c>
      <c r="D2112">
        <v>324</v>
      </c>
      <c r="E2112" t="s">
        <v>57</v>
      </c>
      <c r="F2112" t="s">
        <v>65</v>
      </c>
      <c r="G2112">
        <v>12</v>
      </c>
      <c r="H2112" t="s">
        <v>121</v>
      </c>
      <c r="I2112">
        <v>0.5</v>
      </c>
      <c r="J2112">
        <v>0.5</v>
      </c>
      <c r="K2112" t="s">
        <v>122</v>
      </c>
      <c r="L2112" t="s">
        <v>113</v>
      </c>
      <c r="M2112" t="s">
        <v>123</v>
      </c>
      <c r="N2112" t="s">
        <v>96</v>
      </c>
      <c r="O2112" t="s">
        <v>97</v>
      </c>
    </row>
    <row r="2113" spans="1:15" x14ac:dyDescent="0.2">
      <c r="A2113">
        <v>325</v>
      </c>
      <c r="B2113">
        <v>326</v>
      </c>
      <c r="C2113">
        <v>325</v>
      </c>
      <c r="D2113">
        <v>324</v>
      </c>
      <c r="E2113" t="s">
        <v>57</v>
      </c>
      <c r="F2113" t="s">
        <v>65</v>
      </c>
      <c r="G2113">
        <v>13</v>
      </c>
      <c r="H2113" t="s">
        <v>124</v>
      </c>
      <c r="I2113">
        <v>0</v>
      </c>
      <c r="J2113">
        <v>0.5</v>
      </c>
      <c r="K2113" t="s">
        <v>122</v>
      </c>
      <c r="L2113" t="s">
        <v>125</v>
      </c>
      <c r="M2113" t="s">
        <v>126</v>
      </c>
      <c r="N2113" t="s">
        <v>96</v>
      </c>
      <c r="O2113" t="s">
        <v>97</v>
      </c>
    </row>
    <row r="2114" spans="1:15" x14ac:dyDescent="0.2">
      <c r="A2114">
        <v>325</v>
      </c>
      <c r="B2114">
        <v>326</v>
      </c>
      <c r="C2114">
        <v>325</v>
      </c>
      <c r="D2114">
        <v>324</v>
      </c>
      <c r="E2114" t="s">
        <v>57</v>
      </c>
      <c r="F2114" t="s">
        <v>65</v>
      </c>
      <c r="G2114">
        <v>14</v>
      </c>
      <c r="H2114" t="s">
        <v>127</v>
      </c>
      <c r="I2114">
        <v>1</v>
      </c>
      <c r="J2114">
        <v>1</v>
      </c>
      <c r="K2114" t="s">
        <v>122</v>
      </c>
      <c r="L2114" t="s">
        <v>119</v>
      </c>
      <c r="M2114" t="s">
        <v>128</v>
      </c>
      <c r="N2114" t="s">
        <v>107</v>
      </c>
      <c r="O2114" t="s">
        <v>97</v>
      </c>
    </row>
    <row r="2115" spans="1:15" x14ac:dyDescent="0.2">
      <c r="A2115">
        <v>325</v>
      </c>
      <c r="B2115">
        <v>326</v>
      </c>
      <c r="C2115">
        <v>325</v>
      </c>
      <c r="D2115">
        <v>324</v>
      </c>
      <c r="E2115" t="s">
        <v>57</v>
      </c>
      <c r="F2115" t="s">
        <v>65</v>
      </c>
      <c r="G2115">
        <v>15</v>
      </c>
      <c r="H2115" t="s">
        <v>129</v>
      </c>
      <c r="I2115">
        <v>0</v>
      </c>
      <c r="J2115">
        <v>1</v>
      </c>
      <c r="K2115" t="s">
        <v>130</v>
      </c>
      <c r="L2115" t="s">
        <v>131</v>
      </c>
      <c r="M2115" t="s">
        <v>132</v>
      </c>
      <c r="N2115" t="s">
        <v>107</v>
      </c>
      <c r="O2115" t="s">
        <v>97</v>
      </c>
    </row>
    <row r="2116" spans="1:15" x14ac:dyDescent="0.2">
      <c r="A2116">
        <v>325</v>
      </c>
      <c r="B2116">
        <v>326</v>
      </c>
      <c r="C2116">
        <v>325</v>
      </c>
      <c r="D2116">
        <v>324</v>
      </c>
      <c r="E2116" t="s">
        <v>57</v>
      </c>
      <c r="F2116" t="s">
        <v>65</v>
      </c>
      <c r="G2116">
        <v>16</v>
      </c>
      <c r="H2116" t="s">
        <v>133</v>
      </c>
      <c r="I2116">
        <v>0</v>
      </c>
      <c r="J2116">
        <v>0</v>
      </c>
      <c r="K2116" t="e">
        <v>#N/A</v>
      </c>
      <c r="L2116" t="e">
        <v>#N/A</v>
      </c>
      <c r="M2116" t="e">
        <v>#N/A</v>
      </c>
      <c r="N2116" t="e">
        <v>#N/A</v>
      </c>
      <c r="O2116" t="s">
        <v>97</v>
      </c>
    </row>
    <row r="2117" spans="1:15" x14ac:dyDescent="0.2">
      <c r="A2117">
        <v>325</v>
      </c>
      <c r="B2117">
        <v>326</v>
      </c>
      <c r="C2117">
        <v>325</v>
      </c>
      <c r="D2117">
        <v>324</v>
      </c>
      <c r="E2117" t="s">
        <v>57</v>
      </c>
      <c r="F2117" t="s">
        <v>65</v>
      </c>
      <c r="G2117">
        <v>17</v>
      </c>
      <c r="H2117" t="s">
        <v>134</v>
      </c>
      <c r="I2117">
        <v>1</v>
      </c>
      <c r="J2117">
        <v>1</v>
      </c>
      <c r="K2117" t="s">
        <v>112</v>
      </c>
      <c r="L2117" t="s">
        <v>135</v>
      </c>
      <c r="M2117" t="s">
        <v>136</v>
      </c>
      <c r="N2117" t="s">
        <v>107</v>
      </c>
      <c r="O2117" t="s">
        <v>97</v>
      </c>
    </row>
    <row r="2118" spans="1:15" x14ac:dyDescent="0.2">
      <c r="A2118">
        <v>325</v>
      </c>
      <c r="B2118">
        <v>326</v>
      </c>
      <c r="C2118">
        <v>325</v>
      </c>
      <c r="D2118">
        <v>324</v>
      </c>
      <c r="E2118" t="s">
        <v>57</v>
      </c>
      <c r="F2118" t="s">
        <v>65</v>
      </c>
      <c r="G2118">
        <v>18</v>
      </c>
      <c r="H2118" t="s">
        <v>137</v>
      </c>
      <c r="I2118">
        <v>1</v>
      </c>
      <c r="J2118">
        <v>1</v>
      </c>
      <c r="K2118" t="s">
        <v>112</v>
      </c>
      <c r="L2118" t="s">
        <v>138</v>
      </c>
      <c r="M2118" t="s">
        <v>139</v>
      </c>
      <c r="N2118" t="s">
        <v>107</v>
      </c>
      <c r="O2118" t="s">
        <v>97</v>
      </c>
    </row>
    <row r="2119" spans="1:15" x14ac:dyDescent="0.2">
      <c r="A2119">
        <v>325</v>
      </c>
      <c r="B2119">
        <v>326</v>
      </c>
      <c r="C2119">
        <v>325</v>
      </c>
      <c r="D2119">
        <v>324</v>
      </c>
      <c r="E2119" t="s">
        <v>57</v>
      </c>
      <c r="F2119" t="s">
        <v>65</v>
      </c>
      <c r="G2119">
        <v>19</v>
      </c>
      <c r="H2119" t="s">
        <v>140</v>
      </c>
      <c r="I2119">
        <v>0.5</v>
      </c>
      <c r="J2119">
        <v>1</v>
      </c>
      <c r="K2119" t="s">
        <v>122</v>
      </c>
      <c r="L2119" t="s">
        <v>141</v>
      </c>
      <c r="M2119" t="s">
        <v>142</v>
      </c>
      <c r="N2119" t="s">
        <v>107</v>
      </c>
      <c r="O2119" t="s">
        <v>97</v>
      </c>
    </row>
    <row r="2120" spans="1:15" x14ac:dyDescent="0.2">
      <c r="A2120">
        <v>325</v>
      </c>
      <c r="B2120">
        <v>326</v>
      </c>
      <c r="C2120">
        <v>325</v>
      </c>
      <c r="D2120">
        <v>324</v>
      </c>
      <c r="E2120" t="s">
        <v>57</v>
      </c>
      <c r="F2120" t="s">
        <v>65</v>
      </c>
      <c r="G2120">
        <v>20</v>
      </c>
      <c r="H2120" t="s">
        <v>143</v>
      </c>
      <c r="I2120">
        <v>1</v>
      </c>
      <c r="J2120">
        <v>1</v>
      </c>
      <c r="K2120" t="s">
        <v>122</v>
      </c>
      <c r="L2120" t="s">
        <v>144</v>
      </c>
      <c r="M2120" t="s">
        <v>145</v>
      </c>
      <c r="N2120" t="s">
        <v>107</v>
      </c>
      <c r="O2120" t="s">
        <v>97</v>
      </c>
    </row>
    <row r="2121" spans="1:15" x14ac:dyDescent="0.2">
      <c r="A2121">
        <v>325</v>
      </c>
      <c r="B2121">
        <v>326</v>
      </c>
      <c r="C2121">
        <v>325</v>
      </c>
      <c r="D2121">
        <v>324</v>
      </c>
      <c r="E2121" t="s">
        <v>57</v>
      </c>
      <c r="F2121" t="s">
        <v>65</v>
      </c>
      <c r="G2121">
        <v>21</v>
      </c>
      <c r="H2121" t="s">
        <v>146</v>
      </c>
      <c r="I2121">
        <v>1</v>
      </c>
      <c r="J2121">
        <v>1</v>
      </c>
      <c r="K2121" t="s">
        <v>147</v>
      </c>
      <c r="L2121" t="s">
        <v>148</v>
      </c>
      <c r="M2121" t="s">
        <v>149</v>
      </c>
      <c r="N2121" t="s">
        <v>96</v>
      </c>
      <c r="O2121" t="s">
        <v>97</v>
      </c>
    </row>
    <row r="2122" spans="1:15" x14ac:dyDescent="0.2">
      <c r="A2122">
        <v>325</v>
      </c>
      <c r="B2122">
        <v>326</v>
      </c>
      <c r="C2122">
        <v>325</v>
      </c>
      <c r="D2122">
        <v>324</v>
      </c>
      <c r="E2122" t="s">
        <v>57</v>
      </c>
      <c r="F2122" t="s">
        <v>65</v>
      </c>
      <c r="G2122">
        <v>22</v>
      </c>
      <c r="H2122" t="s">
        <v>150</v>
      </c>
      <c r="I2122">
        <v>0</v>
      </c>
      <c r="J2122">
        <v>1</v>
      </c>
      <c r="K2122" t="s">
        <v>147</v>
      </c>
      <c r="L2122" t="s">
        <v>151</v>
      </c>
      <c r="M2122" t="s">
        <v>149</v>
      </c>
      <c r="N2122" t="s">
        <v>107</v>
      </c>
      <c r="O2122" t="s">
        <v>97</v>
      </c>
    </row>
    <row r="2123" spans="1:15" x14ac:dyDescent="0.2">
      <c r="A2123">
        <v>325</v>
      </c>
      <c r="B2123">
        <v>326</v>
      </c>
      <c r="C2123">
        <v>325</v>
      </c>
      <c r="D2123">
        <v>324</v>
      </c>
      <c r="E2123" t="s">
        <v>57</v>
      </c>
      <c r="F2123" t="s">
        <v>65</v>
      </c>
      <c r="G2123">
        <v>23</v>
      </c>
      <c r="H2123" t="s">
        <v>152</v>
      </c>
      <c r="I2123">
        <v>0</v>
      </c>
      <c r="J2123">
        <v>0</v>
      </c>
      <c r="K2123" t="s">
        <v>153</v>
      </c>
      <c r="L2123" t="s">
        <v>154</v>
      </c>
      <c r="M2123" t="s">
        <v>155</v>
      </c>
      <c r="N2123" t="s">
        <v>107</v>
      </c>
      <c r="O2123" t="s">
        <v>97</v>
      </c>
    </row>
    <row r="2124" spans="1:15" x14ac:dyDescent="0.2">
      <c r="A2124">
        <v>325</v>
      </c>
      <c r="B2124">
        <v>326</v>
      </c>
      <c r="C2124">
        <v>325</v>
      </c>
      <c r="D2124">
        <v>324</v>
      </c>
      <c r="E2124" t="s">
        <v>57</v>
      </c>
      <c r="F2124" t="s">
        <v>65</v>
      </c>
      <c r="G2124">
        <v>24</v>
      </c>
      <c r="H2124" t="s">
        <v>156</v>
      </c>
      <c r="I2124">
        <v>0.5</v>
      </c>
      <c r="J2124">
        <v>0.5</v>
      </c>
      <c r="K2124" t="s">
        <v>122</v>
      </c>
      <c r="L2124" t="s">
        <v>157</v>
      </c>
      <c r="M2124" t="s">
        <v>158</v>
      </c>
      <c r="N2124" t="s">
        <v>107</v>
      </c>
      <c r="O2124" t="s">
        <v>97</v>
      </c>
    </row>
    <row r="2125" spans="1:15" x14ac:dyDescent="0.2">
      <c r="A2125">
        <v>325</v>
      </c>
      <c r="B2125">
        <v>326</v>
      </c>
      <c r="C2125">
        <v>325</v>
      </c>
      <c r="D2125">
        <v>324</v>
      </c>
      <c r="E2125" t="s">
        <v>57</v>
      </c>
      <c r="F2125" t="s">
        <v>65</v>
      </c>
      <c r="G2125">
        <v>25</v>
      </c>
      <c r="H2125" t="s">
        <v>156</v>
      </c>
      <c r="I2125">
        <v>0.5</v>
      </c>
      <c r="J2125">
        <v>0.5</v>
      </c>
      <c r="K2125" t="s">
        <v>122</v>
      </c>
      <c r="L2125" t="s">
        <v>157</v>
      </c>
      <c r="M2125" t="s">
        <v>158</v>
      </c>
      <c r="N2125" t="s">
        <v>107</v>
      </c>
      <c r="O2125" t="s">
        <v>97</v>
      </c>
    </row>
    <row r="2126" spans="1:15" x14ac:dyDescent="0.2">
      <c r="A2126">
        <v>325</v>
      </c>
      <c r="B2126">
        <v>326</v>
      </c>
      <c r="C2126">
        <v>325</v>
      </c>
      <c r="D2126">
        <v>324</v>
      </c>
      <c r="E2126" t="s">
        <v>57</v>
      </c>
      <c r="F2126" t="s">
        <v>65</v>
      </c>
      <c r="G2126">
        <v>26</v>
      </c>
      <c r="H2126" t="s">
        <v>152</v>
      </c>
      <c r="I2126">
        <v>0</v>
      </c>
      <c r="J2126">
        <v>0</v>
      </c>
      <c r="K2126" t="s">
        <v>153</v>
      </c>
      <c r="L2126" t="s">
        <v>154</v>
      </c>
      <c r="M2126" t="s">
        <v>155</v>
      </c>
      <c r="N2126" t="s">
        <v>107</v>
      </c>
      <c r="O2126" t="s">
        <v>97</v>
      </c>
    </row>
    <row r="2127" spans="1:15" x14ac:dyDescent="0.2">
      <c r="A2127">
        <v>325</v>
      </c>
      <c r="B2127">
        <v>326</v>
      </c>
      <c r="C2127">
        <v>325</v>
      </c>
      <c r="D2127">
        <v>324</v>
      </c>
      <c r="E2127" t="s">
        <v>57</v>
      </c>
      <c r="F2127" t="s">
        <v>65</v>
      </c>
      <c r="G2127">
        <v>27</v>
      </c>
      <c r="H2127" t="s">
        <v>159</v>
      </c>
      <c r="I2127">
        <v>0</v>
      </c>
      <c r="J2127">
        <v>0.5</v>
      </c>
      <c r="K2127" t="s">
        <v>122</v>
      </c>
      <c r="L2127" t="s">
        <v>160</v>
      </c>
      <c r="M2127" t="s">
        <v>161</v>
      </c>
      <c r="N2127" t="s">
        <v>107</v>
      </c>
      <c r="O2127" t="s">
        <v>97</v>
      </c>
    </row>
    <row r="2128" spans="1:15" x14ac:dyDescent="0.2">
      <c r="A2128">
        <v>325</v>
      </c>
      <c r="B2128">
        <v>326</v>
      </c>
      <c r="C2128">
        <v>325</v>
      </c>
      <c r="D2128">
        <v>324</v>
      </c>
      <c r="E2128" t="s">
        <v>57</v>
      </c>
      <c r="F2128" t="s">
        <v>65</v>
      </c>
      <c r="G2128">
        <v>28</v>
      </c>
      <c r="H2128" t="s">
        <v>159</v>
      </c>
      <c r="I2128">
        <v>0.5</v>
      </c>
      <c r="J2128">
        <v>0.5</v>
      </c>
      <c r="K2128" t="s">
        <v>122</v>
      </c>
      <c r="L2128" t="s">
        <v>160</v>
      </c>
      <c r="M2128" t="s">
        <v>161</v>
      </c>
      <c r="N2128" t="s">
        <v>107</v>
      </c>
      <c r="O2128" t="s">
        <v>97</v>
      </c>
    </row>
    <row r="2129" spans="1:15" x14ac:dyDescent="0.2">
      <c r="A2129">
        <v>325</v>
      </c>
      <c r="B2129">
        <v>326</v>
      </c>
      <c r="C2129">
        <v>325</v>
      </c>
      <c r="D2129">
        <v>324</v>
      </c>
      <c r="E2129" t="s">
        <v>57</v>
      </c>
      <c r="F2129" t="s">
        <v>65</v>
      </c>
      <c r="G2129">
        <v>29</v>
      </c>
      <c r="H2129" t="s">
        <v>152</v>
      </c>
      <c r="I2129">
        <v>0</v>
      </c>
      <c r="J2129">
        <v>0</v>
      </c>
      <c r="K2129" t="s">
        <v>153</v>
      </c>
      <c r="L2129" t="s">
        <v>154</v>
      </c>
      <c r="M2129" t="s">
        <v>155</v>
      </c>
      <c r="N2129" t="s">
        <v>107</v>
      </c>
      <c r="O2129" t="s">
        <v>97</v>
      </c>
    </row>
    <row r="2130" spans="1:15" x14ac:dyDescent="0.2">
      <c r="A2130">
        <v>325</v>
      </c>
      <c r="B2130">
        <v>326</v>
      </c>
      <c r="C2130">
        <v>325</v>
      </c>
      <c r="D2130">
        <v>324</v>
      </c>
      <c r="E2130" t="s">
        <v>57</v>
      </c>
      <c r="F2130" t="s">
        <v>65</v>
      </c>
      <c r="G2130">
        <v>30</v>
      </c>
      <c r="H2130" t="s">
        <v>162</v>
      </c>
      <c r="I2130">
        <v>0.5</v>
      </c>
      <c r="J2130">
        <v>1</v>
      </c>
      <c r="K2130" t="s">
        <v>112</v>
      </c>
      <c r="L2130" t="s">
        <v>163</v>
      </c>
      <c r="M2130" t="s">
        <v>164</v>
      </c>
      <c r="N2130" t="s">
        <v>107</v>
      </c>
      <c r="O2130" t="s">
        <v>97</v>
      </c>
    </row>
    <row r="2131" spans="1:15" x14ac:dyDescent="0.2">
      <c r="A2131">
        <v>325</v>
      </c>
      <c r="B2131">
        <v>326</v>
      </c>
      <c r="C2131">
        <v>325</v>
      </c>
      <c r="D2131">
        <v>324</v>
      </c>
      <c r="E2131" t="s">
        <v>57</v>
      </c>
      <c r="F2131" t="s">
        <v>65</v>
      </c>
      <c r="G2131">
        <v>31</v>
      </c>
      <c r="H2131" t="s">
        <v>162</v>
      </c>
      <c r="I2131">
        <v>0</v>
      </c>
      <c r="J2131">
        <v>0</v>
      </c>
      <c r="K2131" t="s">
        <v>112</v>
      </c>
      <c r="L2131" t="s">
        <v>163</v>
      </c>
      <c r="M2131" t="s">
        <v>164</v>
      </c>
      <c r="N2131" t="s">
        <v>107</v>
      </c>
      <c r="O2131" t="s">
        <v>97</v>
      </c>
    </row>
    <row r="2132" spans="1:15" x14ac:dyDescent="0.2">
      <c r="A2132">
        <v>325</v>
      </c>
      <c r="B2132">
        <v>326</v>
      </c>
      <c r="C2132">
        <v>325</v>
      </c>
      <c r="D2132">
        <v>324</v>
      </c>
      <c r="E2132" t="s">
        <v>57</v>
      </c>
      <c r="F2132" t="s">
        <v>65</v>
      </c>
      <c r="G2132">
        <v>32</v>
      </c>
      <c r="H2132" t="s">
        <v>162</v>
      </c>
      <c r="I2132">
        <v>0</v>
      </c>
      <c r="J2132">
        <v>0</v>
      </c>
      <c r="K2132" t="s">
        <v>112</v>
      </c>
      <c r="L2132" t="s">
        <v>163</v>
      </c>
      <c r="M2132" t="s">
        <v>164</v>
      </c>
      <c r="N2132" t="s">
        <v>107</v>
      </c>
      <c r="O2132" t="s">
        <v>97</v>
      </c>
    </row>
    <row r="2133" spans="1:15" x14ac:dyDescent="0.2">
      <c r="A2133">
        <v>325</v>
      </c>
      <c r="B2133">
        <v>326</v>
      </c>
      <c r="C2133">
        <v>325</v>
      </c>
      <c r="D2133">
        <v>324</v>
      </c>
      <c r="E2133" t="s">
        <v>57</v>
      </c>
      <c r="F2133" t="s">
        <v>65</v>
      </c>
      <c r="G2133">
        <v>33</v>
      </c>
      <c r="H2133" t="s">
        <v>152</v>
      </c>
      <c r="I2133">
        <v>1</v>
      </c>
      <c r="J2133">
        <v>1</v>
      </c>
      <c r="K2133" t="s">
        <v>153</v>
      </c>
      <c r="L2133" t="s">
        <v>154</v>
      </c>
      <c r="M2133" t="s">
        <v>155</v>
      </c>
      <c r="N2133" t="s">
        <v>107</v>
      </c>
      <c r="O2133" t="s">
        <v>97</v>
      </c>
    </row>
    <row r="2134" spans="1:15" x14ac:dyDescent="0.2">
      <c r="A2134">
        <v>325</v>
      </c>
      <c r="B2134">
        <v>326</v>
      </c>
      <c r="C2134">
        <v>325</v>
      </c>
      <c r="D2134">
        <v>324</v>
      </c>
      <c r="E2134" t="s">
        <v>57</v>
      </c>
      <c r="F2134" t="s">
        <v>65</v>
      </c>
      <c r="G2134">
        <v>34</v>
      </c>
      <c r="H2134" t="s">
        <v>152</v>
      </c>
      <c r="I2134">
        <v>0</v>
      </c>
      <c r="J2134">
        <v>0</v>
      </c>
      <c r="K2134" t="s">
        <v>153</v>
      </c>
      <c r="L2134" t="s">
        <v>154</v>
      </c>
      <c r="M2134" t="s">
        <v>155</v>
      </c>
      <c r="N2134" t="s">
        <v>107</v>
      </c>
      <c r="O2134" t="s">
        <v>97</v>
      </c>
    </row>
    <row r="2135" spans="1:15" x14ac:dyDescent="0.2">
      <c r="A2135">
        <v>325</v>
      </c>
      <c r="B2135">
        <v>326</v>
      </c>
      <c r="C2135">
        <v>325</v>
      </c>
      <c r="D2135">
        <v>324</v>
      </c>
      <c r="E2135" t="s">
        <v>57</v>
      </c>
      <c r="F2135" t="s">
        <v>65</v>
      </c>
      <c r="G2135">
        <v>35</v>
      </c>
      <c r="H2135" t="s">
        <v>165</v>
      </c>
      <c r="I2135">
        <v>1</v>
      </c>
      <c r="J2135">
        <v>1</v>
      </c>
      <c r="K2135" t="s">
        <v>166</v>
      </c>
      <c r="L2135" t="s">
        <v>167</v>
      </c>
      <c r="M2135" t="s">
        <v>168</v>
      </c>
      <c r="N2135" t="s">
        <v>107</v>
      </c>
      <c r="O2135" t="s">
        <v>97</v>
      </c>
    </row>
    <row r="2136" spans="1:15" x14ac:dyDescent="0.2">
      <c r="A2136">
        <v>325</v>
      </c>
      <c r="B2136">
        <v>326</v>
      </c>
      <c r="C2136">
        <v>325</v>
      </c>
      <c r="D2136">
        <v>324</v>
      </c>
      <c r="E2136" t="s">
        <v>57</v>
      </c>
      <c r="F2136" t="s">
        <v>65</v>
      </c>
      <c r="G2136">
        <v>36</v>
      </c>
      <c r="H2136" t="s">
        <v>169</v>
      </c>
      <c r="I2136">
        <v>0</v>
      </c>
      <c r="J2136">
        <v>0</v>
      </c>
      <c r="K2136" t="e">
        <v>#N/A</v>
      </c>
      <c r="L2136" t="e">
        <v>#N/A</v>
      </c>
      <c r="M2136" t="e">
        <v>#N/A</v>
      </c>
      <c r="N2136" t="e">
        <v>#N/A</v>
      </c>
      <c r="O2136" t="s">
        <v>97</v>
      </c>
    </row>
    <row r="2137" spans="1:15" x14ac:dyDescent="0.2">
      <c r="A2137">
        <v>325</v>
      </c>
      <c r="B2137">
        <v>326</v>
      </c>
      <c r="C2137">
        <v>325</v>
      </c>
      <c r="D2137">
        <v>324</v>
      </c>
      <c r="E2137" t="s">
        <v>57</v>
      </c>
      <c r="F2137" t="s">
        <v>65</v>
      </c>
      <c r="G2137">
        <v>38</v>
      </c>
      <c r="H2137" t="s">
        <v>170</v>
      </c>
      <c r="I2137">
        <v>0</v>
      </c>
      <c r="J2137">
        <v>0.5</v>
      </c>
      <c r="K2137" t="s">
        <v>112</v>
      </c>
      <c r="L2137" t="s">
        <v>171</v>
      </c>
      <c r="M2137" t="s">
        <v>172</v>
      </c>
      <c r="N2137" t="s">
        <v>96</v>
      </c>
      <c r="O2137" t="s">
        <v>97</v>
      </c>
    </row>
    <row r="2138" spans="1:15" x14ac:dyDescent="0.2">
      <c r="A2138">
        <v>325</v>
      </c>
      <c r="B2138">
        <v>326</v>
      </c>
      <c r="C2138">
        <v>325</v>
      </c>
      <c r="D2138">
        <v>324</v>
      </c>
      <c r="E2138" t="s">
        <v>57</v>
      </c>
      <c r="F2138" t="s">
        <v>65</v>
      </c>
      <c r="G2138">
        <v>39</v>
      </c>
      <c r="H2138" t="s">
        <v>170</v>
      </c>
      <c r="I2138">
        <v>0</v>
      </c>
      <c r="J2138">
        <v>0.5</v>
      </c>
      <c r="K2138" t="s">
        <v>112</v>
      </c>
      <c r="L2138" t="s">
        <v>171</v>
      </c>
      <c r="M2138" t="s">
        <v>172</v>
      </c>
      <c r="N2138" t="s">
        <v>96</v>
      </c>
      <c r="O2138" t="s">
        <v>97</v>
      </c>
    </row>
    <row r="2139" spans="1:15" x14ac:dyDescent="0.2">
      <c r="A2139">
        <v>325</v>
      </c>
      <c r="B2139">
        <v>326</v>
      </c>
      <c r="C2139">
        <v>325</v>
      </c>
      <c r="D2139">
        <v>324</v>
      </c>
      <c r="E2139" t="s">
        <v>57</v>
      </c>
      <c r="F2139" t="s">
        <v>65</v>
      </c>
      <c r="G2139">
        <v>40</v>
      </c>
      <c r="H2139" t="s">
        <v>170</v>
      </c>
      <c r="I2139">
        <v>0.5</v>
      </c>
      <c r="J2139">
        <v>0.5</v>
      </c>
      <c r="K2139" t="s">
        <v>112</v>
      </c>
      <c r="L2139" t="s">
        <v>171</v>
      </c>
      <c r="M2139" t="s">
        <v>172</v>
      </c>
      <c r="N2139" t="s">
        <v>96</v>
      </c>
      <c r="O2139" t="s">
        <v>97</v>
      </c>
    </row>
    <row r="2140" spans="1:15" x14ac:dyDescent="0.2">
      <c r="A2140">
        <v>325</v>
      </c>
      <c r="B2140">
        <v>326</v>
      </c>
      <c r="C2140">
        <v>325</v>
      </c>
      <c r="D2140">
        <v>324</v>
      </c>
      <c r="E2140" t="s">
        <v>57</v>
      </c>
      <c r="F2140" t="s">
        <v>65</v>
      </c>
      <c r="G2140">
        <v>41</v>
      </c>
      <c r="H2140" t="s">
        <v>173</v>
      </c>
      <c r="I2140">
        <v>0</v>
      </c>
      <c r="J2140" t="s">
        <v>195</v>
      </c>
      <c r="K2140" t="s">
        <v>166</v>
      </c>
      <c r="L2140" t="s">
        <v>174</v>
      </c>
      <c r="M2140" t="s">
        <v>175</v>
      </c>
      <c r="N2140" t="s">
        <v>107</v>
      </c>
      <c r="O2140" t="s">
        <v>97</v>
      </c>
    </row>
    <row r="2141" spans="1:15" x14ac:dyDescent="0.2">
      <c r="A2141">
        <v>325</v>
      </c>
      <c r="B2141">
        <v>326</v>
      </c>
      <c r="C2141">
        <v>325</v>
      </c>
      <c r="D2141">
        <v>324</v>
      </c>
      <c r="E2141" t="s">
        <v>57</v>
      </c>
      <c r="F2141" t="s">
        <v>65</v>
      </c>
      <c r="G2141">
        <v>42</v>
      </c>
      <c r="H2141" t="s">
        <v>176</v>
      </c>
      <c r="I2141">
        <v>1</v>
      </c>
      <c r="J2141">
        <v>1</v>
      </c>
      <c r="K2141" t="s">
        <v>153</v>
      </c>
      <c r="L2141" t="s">
        <v>177</v>
      </c>
      <c r="M2141" t="s">
        <v>178</v>
      </c>
      <c r="N2141" t="s">
        <v>107</v>
      </c>
      <c r="O2141" t="s">
        <v>97</v>
      </c>
    </row>
    <row r="2142" spans="1:15" x14ac:dyDescent="0.2">
      <c r="A2142">
        <v>325</v>
      </c>
      <c r="B2142">
        <v>326</v>
      </c>
      <c r="C2142">
        <v>325</v>
      </c>
      <c r="D2142">
        <v>324</v>
      </c>
      <c r="E2142" t="s">
        <v>57</v>
      </c>
      <c r="F2142" t="s">
        <v>65</v>
      </c>
      <c r="G2142">
        <v>43</v>
      </c>
      <c r="H2142" t="s">
        <v>179</v>
      </c>
      <c r="I2142">
        <v>0</v>
      </c>
      <c r="J2142">
        <v>0</v>
      </c>
      <c r="K2142" t="s">
        <v>166</v>
      </c>
      <c r="L2142" t="s">
        <v>180</v>
      </c>
      <c r="M2142" t="s">
        <v>181</v>
      </c>
      <c r="N2142" t="s">
        <v>107</v>
      </c>
      <c r="O2142" t="s">
        <v>97</v>
      </c>
    </row>
    <row r="2143" spans="1:15" x14ac:dyDescent="0.2">
      <c r="A2143">
        <v>325</v>
      </c>
      <c r="B2143">
        <v>326</v>
      </c>
      <c r="C2143">
        <v>325</v>
      </c>
      <c r="D2143">
        <v>324</v>
      </c>
      <c r="E2143" t="s">
        <v>57</v>
      </c>
      <c r="F2143" t="s">
        <v>65</v>
      </c>
      <c r="G2143">
        <v>44</v>
      </c>
      <c r="H2143" t="s">
        <v>182</v>
      </c>
      <c r="I2143">
        <v>1</v>
      </c>
      <c r="J2143">
        <v>1</v>
      </c>
      <c r="K2143" t="s">
        <v>166</v>
      </c>
      <c r="L2143" t="s">
        <v>183</v>
      </c>
      <c r="M2143" t="s">
        <v>184</v>
      </c>
      <c r="N2143" t="s">
        <v>107</v>
      </c>
      <c r="O2143" t="s">
        <v>97</v>
      </c>
    </row>
    <row r="2144" spans="1:15" x14ac:dyDescent="0.2">
      <c r="A2144">
        <v>325</v>
      </c>
      <c r="B2144">
        <v>326</v>
      </c>
      <c r="C2144">
        <v>325</v>
      </c>
      <c r="D2144">
        <v>324</v>
      </c>
      <c r="E2144" t="s">
        <v>57</v>
      </c>
      <c r="F2144" t="s">
        <v>65</v>
      </c>
      <c r="G2144">
        <v>45</v>
      </c>
      <c r="H2144" t="s">
        <v>185</v>
      </c>
      <c r="I2144">
        <v>1</v>
      </c>
      <c r="J2144">
        <v>1</v>
      </c>
      <c r="K2144" t="s">
        <v>166</v>
      </c>
      <c r="L2144" t="s">
        <v>186</v>
      </c>
      <c r="M2144" t="s">
        <v>139</v>
      </c>
      <c r="N2144" t="s">
        <v>107</v>
      </c>
      <c r="O2144" t="s">
        <v>97</v>
      </c>
    </row>
    <row r="2145" spans="1:15" x14ac:dyDescent="0.2">
      <c r="A2145">
        <v>325</v>
      </c>
      <c r="B2145">
        <v>326</v>
      </c>
      <c r="C2145">
        <v>325</v>
      </c>
      <c r="D2145">
        <v>324</v>
      </c>
      <c r="E2145" t="s">
        <v>57</v>
      </c>
      <c r="F2145" t="s">
        <v>65</v>
      </c>
      <c r="G2145">
        <v>47</v>
      </c>
      <c r="H2145" t="s">
        <v>187</v>
      </c>
      <c r="I2145">
        <v>0.2</v>
      </c>
      <c r="J2145">
        <v>0.2</v>
      </c>
      <c r="K2145" t="s">
        <v>93</v>
      </c>
      <c r="L2145" t="s">
        <v>188</v>
      </c>
      <c r="M2145" t="s">
        <v>95</v>
      </c>
      <c r="N2145" t="s">
        <v>96</v>
      </c>
      <c r="O2145" t="s">
        <v>97</v>
      </c>
    </row>
    <row r="2146" spans="1:15" x14ac:dyDescent="0.2">
      <c r="A2146">
        <v>325</v>
      </c>
      <c r="B2146">
        <v>326</v>
      </c>
      <c r="C2146">
        <v>325</v>
      </c>
      <c r="D2146">
        <v>324</v>
      </c>
      <c r="E2146" t="s">
        <v>57</v>
      </c>
      <c r="F2146" t="s">
        <v>65</v>
      </c>
      <c r="G2146">
        <v>48</v>
      </c>
      <c r="H2146" t="s">
        <v>189</v>
      </c>
      <c r="I2146">
        <v>0.2</v>
      </c>
      <c r="J2146">
        <v>0.2</v>
      </c>
      <c r="K2146" t="s">
        <v>93</v>
      </c>
      <c r="L2146" t="s">
        <v>190</v>
      </c>
      <c r="M2146" t="s">
        <v>95</v>
      </c>
      <c r="N2146" t="s">
        <v>96</v>
      </c>
      <c r="O2146" t="s">
        <v>97</v>
      </c>
    </row>
    <row r="2147" spans="1:15" x14ac:dyDescent="0.2">
      <c r="A2147">
        <v>325</v>
      </c>
      <c r="B2147">
        <v>326</v>
      </c>
      <c r="C2147">
        <v>325</v>
      </c>
      <c r="D2147">
        <v>324</v>
      </c>
      <c r="E2147" t="s">
        <v>57</v>
      </c>
      <c r="F2147" t="s">
        <v>65</v>
      </c>
      <c r="G2147">
        <v>49</v>
      </c>
      <c r="H2147" t="s">
        <v>191</v>
      </c>
      <c r="I2147">
        <v>0.2</v>
      </c>
      <c r="J2147">
        <v>0.2</v>
      </c>
      <c r="K2147" t="s">
        <v>93</v>
      </c>
      <c r="L2147" t="s">
        <v>192</v>
      </c>
      <c r="M2147" t="s">
        <v>95</v>
      </c>
      <c r="N2147" t="s">
        <v>96</v>
      </c>
      <c r="O2147" t="s">
        <v>97</v>
      </c>
    </row>
    <row r="2148" spans="1:15" x14ac:dyDescent="0.2">
      <c r="A2148">
        <v>325</v>
      </c>
      <c r="B2148">
        <v>326</v>
      </c>
      <c r="C2148">
        <v>325</v>
      </c>
      <c r="D2148">
        <v>324</v>
      </c>
      <c r="E2148" t="s">
        <v>57</v>
      </c>
      <c r="F2148" t="s">
        <v>65</v>
      </c>
      <c r="G2148">
        <v>50</v>
      </c>
      <c r="H2148" t="s">
        <v>193</v>
      </c>
      <c r="I2148">
        <v>0</v>
      </c>
      <c r="J2148">
        <v>0.1</v>
      </c>
      <c r="K2148" t="s">
        <v>93</v>
      </c>
      <c r="L2148" t="s">
        <v>194</v>
      </c>
      <c r="M2148" t="s">
        <v>95</v>
      </c>
      <c r="N2148" t="s">
        <v>96</v>
      </c>
      <c r="O2148" t="s">
        <v>97</v>
      </c>
    </row>
    <row r="2149" spans="1:15" x14ac:dyDescent="0.2">
      <c r="A2149">
        <v>325</v>
      </c>
      <c r="B2149">
        <v>326</v>
      </c>
      <c r="C2149">
        <v>325</v>
      </c>
      <c r="D2149">
        <v>324</v>
      </c>
      <c r="E2149" t="s">
        <v>57</v>
      </c>
      <c r="F2149" t="s">
        <v>65</v>
      </c>
      <c r="G2149">
        <v>51</v>
      </c>
      <c r="H2149" t="s">
        <v>193</v>
      </c>
      <c r="I2149">
        <v>0</v>
      </c>
      <c r="J2149">
        <v>0.1</v>
      </c>
      <c r="K2149" t="s">
        <v>93</v>
      </c>
      <c r="L2149" t="s">
        <v>194</v>
      </c>
      <c r="M2149" t="s">
        <v>95</v>
      </c>
      <c r="N2149" t="s">
        <v>96</v>
      </c>
      <c r="O2149" t="s">
        <v>97</v>
      </c>
    </row>
    <row r="2150" spans="1:15" x14ac:dyDescent="0.2">
      <c r="A2150">
        <v>325</v>
      </c>
      <c r="B2150">
        <v>326</v>
      </c>
      <c r="C2150">
        <v>325</v>
      </c>
      <c r="D2150">
        <v>324</v>
      </c>
      <c r="E2150" t="s">
        <v>57</v>
      </c>
      <c r="F2150" t="s">
        <v>65</v>
      </c>
      <c r="G2150">
        <v>97</v>
      </c>
      <c r="H2150" t="s">
        <v>152</v>
      </c>
      <c r="I2150">
        <v>0.25</v>
      </c>
      <c r="J2150">
        <v>0.25</v>
      </c>
      <c r="K2150" t="s">
        <v>153</v>
      </c>
      <c r="L2150" t="s">
        <v>154</v>
      </c>
      <c r="M2150" t="s">
        <v>155</v>
      </c>
      <c r="N2150" t="s">
        <v>107</v>
      </c>
      <c r="O2150" t="s">
        <v>97</v>
      </c>
    </row>
    <row r="2151" spans="1:15" x14ac:dyDescent="0.2">
      <c r="A2151">
        <v>325</v>
      </c>
      <c r="B2151">
        <v>326</v>
      </c>
      <c r="C2151">
        <v>325</v>
      </c>
      <c r="D2151">
        <v>324</v>
      </c>
      <c r="E2151" t="s">
        <v>57</v>
      </c>
      <c r="F2151" t="s">
        <v>65</v>
      </c>
      <c r="G2151">
        <v>96</v>
      </c>
      <c r="H2151" t="s">
        <v>152</v>
      </c>
      <c r="I2151">
        <v>0</v>
      </c>
      <c r="J2151">
        <v>0</v>
      </c>
      <c r="K2151" t="s">
        <v>153</v>
      </c>
      <c r="L2151" t="s">
        <v>154</v>
      </c>
      <c r="M2151" t="s">
        <v>155</v>
      </c>
      <c r="N2151" t="s">
        <v>107</v>
      </c>
      <c r="O2151" t="s">
        <v>97</v>
      </c>
    </row>
    <row r="2152" spans="1:15" x14ac:dyDescent="0.2">
      <c r="A2152">
        <v>325</v>
      </c>
      <c r="B2152">
        <v>326</v>
      </c>
      <c r="C2152">
        <v>325</v>
      </c>
      <c r="D2152">
        <v>324</v>
      </c>
      <c r="E2152" t="s">
        <v>57</v>
      </c>
      <c r="F2152" t="s">
        <v>65</v>
      </c>
      <c r="G2152">
        <v>99</v>
      </c>
      <c r="H2152" t="s">
        <v>152</v>
      </c>
      <c r="I2152">
        <v>0</v>
      </c>
      <c r="J2152">
        <v>0</v>
      </c>
      <c r="K2152" t="s">
        <v>153</v>
      </c>
      <c r="L2152" t="s">
        <v>154</v>
      </c>
      <c r="M2152" t="s">
        <v>155</v>
      </c>
      <c r="N2152" t="s">
        <v>107</v>
      </c>
      <c r="O2152" t="s">
        <v>97</v>
      </c>
    </row>
    <row r="2153" spans="1:15" x14ac:dyDescent="0.2">
      <c r="A2153">
        <v>325</v>
      </c>
      <c r="B2153">
        <v>326</v>
      </c>
      <c r="C2153">
        <v>325</v>
      </c>
      <c r="D2153">
        <v>324</v>
      </c>
      <c r="E2153" t="s">
        <v>57</v>
      </c>
      <c r="F2153" t="s">
        <v>65</v>
      </c>
      <c r="G2153">
        <v>98</v>
      </c>
      <c r="H2153" t="s">
        <v>204</v>
      </c>
      <c r="I2153">
        <v>1</v>
      </c>
      <c r="J2153">
        <v>1</v>
      </c>
      <c r="K2153" t="s">
        <v>122</v>
      </c>
      <c r="L2153" t="s">
        <v>205</v>
      </c>
      <c r="M2153" t="s">
        <v>206</v>
      </c>
      <c r="N2153" t="s">
        <v>207</v>
      </c>
      <c r="O2153" t="s">
        <v>97</v>
      </c>
    </row>
    <row r="2154" spans="1:15" x14ac:dyDescent="0.2">
      <c r="A2154">
        <v>18</v>
      </c>
      <c r="B2154">
        <v>19</v>
      </c>
      <c r="C2154">
        <v>18</v>
      </c>
      <c r="D2154">
        <v>17</v>
      </c>
      <c r="E2154" t="s">
        <v>251</v>
      </c>
      <c r="F2154" t="s">
        <v>252</v>
      </c>
      <c r="G2154">
        <v>17</v>
      </c>
      <c r="H2154" t="s">
        <v>134</v>
      </c>
      <c r="I2154">
        <v>0.5</v>
      </c>
      <c r="J2154">
        <v>1</v>
      </c>
      <c r="K2154" t="s">
        <v>112</v>
      </c>
      <c r="L2154" t="s">
        <v>135</v>
      </c>
      <c r="M2154" t="s">
        <v>136</v>
      </c>
      <c r="N2154" t="s">
        <v>107</v>
      </c>
      <c r="O2154" t="s">
        <v>256</v>
      </c>
    </row>
    <row r="2155" spans="1:15" x14ac:dyDescent="0.2">
      <c r="A2155">
        <v>18</v>
      </c>
      <c r="B2155">
        <v>19</v>
      </c>
      <c r="C2155">
        <v>18</v>
      </c>
      <c r="D2155">
        <v>17</v>
      </c>
      <c r="E2155" t="s">
        <v>251</v>
      </c>
      <c r="F2155" t="s">
        <v>252</v>
      </c>
      <c r="G2155">
        <v>18</v>
      </c>
      <c r="H2155" t="s">
        <v>137</v>
      </c>
      <c r="I2155">
        <v>1</v>
      </c>
      <c r="J2155">
        <v>1</v>
      </c>
      <c r="K2155" t="s">
        <v>112</v>
      </c>
      <c r="L2155" t="s">
        <v>138</v>
      </c>
      <c r="M2155" t="s">
        <v>139</v>
      </c>
      <c r="N2155" t="s">
        <v>107</v>
      </c>
      <c r="O2155" t="s">
        <v>256</v>
      </c>
    </row>
    <row r="2156" spans="1:15" x14ac:dyDescent="0.2">
      <c r="A2156">
        <v>18</v>
      </c>
      <c r="B2156">
        <v>19</v>
      </c>
      <c r="C2156">
        <v>18</v>
      </c>
      <c r="D2156">
        <v>17</v>
      </c>
      <c r="E2156" t="s">
        <v>251</v>
      </c>
      <c r="F2156" t="s">
        <v>252</v>
      </c>
      <c r="G2156">
        <v>19</v>
      </c>
      <c r="H2156" t="s">
        <v>140</v>
      </c>
      <c r="I2156">
        <v>0.5</v>
      </c>
      <c r="J2156">
        <v>1</v>
      </c>
      <c r="K2156" t="s">
        <v>122</v>
      </c>
      <c r="L2156" t="s">
        <v>141</v>
      </c>
      <c r="M2156" t="s">
        <v>142</v>
      </c>
      <c r="N2156" t="s">
        <v>107</v>
      </c>
      <c r="O2156" t="s">
        <v>256</v>
      </c>
    </row>
    <row r="2157" spans="1:15" x14ac:dyDescent="0.2">
      <c r="A2157">
        <v>18</v>
      </c>
      <c r="B2157">
        <v>19</v>
      </c>
      <c r="C2157">
        <v>18</v>
      </c>
      <c r="D2157">
        <v>17</v>
      </c>
      <c r="E2157" t="s">
        <v>251</v>
      </c>
      <c r="F2157" t="s">
        <v>252</v>
      </c>
      <c r="G2157">
        <v>20</v>
      </c>
      <c r="H2157" t="s">
        <v>143</v>
      </c>
      <c r="I2157">
        <v>1</v>
      </c>
      <c r="J2157">
        <v>1</v>
      </c>
      <c r="K2157" t="s">
        <v>122</v>
      </c>
      <c r="L2157" t="s">
        <v>144</v>
      </c>
      <c r="M2157" t="s">
        <v>145</v>
      </c>
      <c r="N2157" t="s">
        <v>107</v>
      </c>
      <c r="O2157" t="s">
        <v>256</v>
      </c>
    </row>
    <row r="2158" spans="1:15" x14ac:dyDescent="0.2">
      <c r="A2158">
        <v>18</v>
      </c>
      <c r="B2158">
        <v>19</v>
      </c>
      <c r="C2158">
        <v>18</v>
      </c>
      <c r="D2158">
        <v>17</v>
      </c>
      <c r="E2158" t="s">
        <v>251</v>
      </c>
      <c r="F2158" t="s">
        <v>252</v>
      </c>
      <c r="G2158">
        <v>22</v>
      </c>
      <c r="H2158" t="s">
        <v>150</v>
      </c>
      <c r="I2158">
        <v>0</v>
      </c>
      <c r="J2158">
        <v>1</v>
      </c>
      <c r="K2158" t="s">
        <v>147</v>
      </c>
      <c r="L2158" t="s">
        <v>151</v>
      </c>
      <c r="M2158" t="s">
        <v>149</v>
      </c>
      <c r="N2158" t="s">
        <v>107</v>
      </c>
      <c r="O2158" t="s">
        <v>256</v>
      </c>
    </row>
    <row r="2159" spans="1:15" x14ac:dyDescent="0.2">
      <c r="A2159">
        <v>18</v>
      </c>
      <c r="B2159">
        <v>19</v>
      </c>
      <c r="C2159">
        <v>18</v>
      </c>
      <c r="D2159">
        <v>17</v>
      </c>
      <c r="E2159" t="s">
        <v>251</v>
      </c>
      <c r="F2159" t="s">
        <v>252</v>
      </c>
      <c r="G2159">
        <v>224</v>
      </c>
      <c r="H2159" t="s">
        <v>152</v>
      </c>
      <c r="I2159">
        <v>1</v>
      </c>
      <c r="J2159">
        <v>1</v>
      </c>
      <c r="K2159" t="s">
        <v>153</v>
      </c>
      <c r="L2159" t="s">
        <v>154</v>
      </c>
      <c r="M2159" t="s">
        <v>155</v>
      </c>
      <c r="N2159" t="s">
        <v>107</v>
      </c>
      <c r="O2159" t="s">
        <v>256</v>
      </c>
    </row>
    <row r="2160" spans="1:15" x14ac:dyDescent="0.2">
      <c r="A2160">
        <v>18</v>
      </c>
      <c r="B2160">
        <v>19</v>
      </c>
      <c r="C2160">
        <v>18</v>
      </c>
      <c r="D2160">
        <v>17</v>
      </c>
      <c r="E2160" t="s">
        <v>251</v>
      </c>
      <c r="F2160" t="s">
        <v>252</v>
      </c>
      <c r="G2160">
        <v>222</v>
      </c>
      <c r="H2160" t="s">
        <v>152</v>
      </c>
      <c r="I2160">
        <v>0</v>
      </c>
      <c r="J2160">
        <v>1</v>
      </c>
      <c r="K2160" t="s">
        <v>153</v>
      </c>
      <c r="L2160" t="s">
        <v>154</v>
      </c>
      <c r="M2160" t="s">
        <v>155</v>
      </c>
      <c r="N2160" t="s">
        <v>107</v>
      </c>
      <c r="O2160" t="s">
        <v>256</v>
      </c>
    </row>
    <row r="2161" spans="1:15" x14ac:dyDescent="0.2">
      <c r="A2161">
        <v>18</v>
      </c>
      <c r="B2161">
        <v>19</v>
      </c>
      <c r="C2161">
        <v>18</v>
      </c>
      <c r="D2161">
        <v>17</v>
      </c>
      <c r="E2161" t="s">
        <v>251</v>
      </c>
      <c r="F2161" t="s">
        <v>252</v>
      </c>
      <c r="G2161">
        <v>23</v>
      </c>
      <c r="H2161" t="s">
        <v>152</v>
      </c>
      <c r="I2161">
        <v>1</v>
      </c>
      <c r="J2161">
        <v>1</v>
      </c>
      <c r="K2161" t="s">
        <v>153</v>
      </c>
      <c r="L2161" t="s">
        <v>154</v>
      </c>
      <c r="M2161" t="s">
        <v>155</v>
      </c>
      <c r="N2161" t="s">
        <v>107</v>
      </c>
      <c r="O2161" t="s">
        <v>256</v>
      </c>
    </row>
    <row r="2162" spans="1:15" x14ac:dyDescent="0.2">
      <c r="A2162">
        <v>18</v>
      </c>
      <c r="B2162">
        <v>19</v>
      </c>
      <c r="C2162">
        <v>18</v>
      </c>
      <c r="D2162">
        <v>17</v>
      </c>
      <c r="E2162" t="s">
        <v>251</v>
      </c>
      <c r="F2162" t="s">
        <v>252</v>
      </c>
      <c r="G2162">
        <v>223</v>
      </c>
      <c r="H2162" t="s">
        <v>152</v>
      </c>
      <c r="I2162">
        <v>0</v>
      </c>
      <c r="J2162">
        <v>1</v>
      </c>
      <c r="K2162" t="s">
        <v>153</v>
      </c>
      <c r="L2162" t="s">
        <v>154</v>
      </c>
      <c r="M2162" t="s">
        <v>155</v>
      </c>
      <c r="N2162" t="s">
        <v>107</v>
      </c>
      <c r="O2162" t="s">
        <v>256</v>
      </c>
    </row>
    <row r="2163" spans="1:15" x14ac:dyDescent="0.2">
      <c r="A2163">
        <v>18</v>
      </c>
      <c r="B2163">
        <v>19</v>
      </c>
      <c r="C2163">
        <v>18</v>
      </c>
      <c r="D2163">
        <v>17</v>
      </c>
      <c r="E2163" t="s">
        <v>251</v>
      </c>
      <c r="F2163" t="s">
        <v>252</v>
      </c>
      <c r="G2163">
        <v>999</v>
      </c>
      <c r="H2163" t="s">
        <v>152</v>
      </c>
      <c r="I2163" t="s">
        <v>261</v>
      </c>
      <c r="J2163" t="s">
        <v>261</v>
      </c>
      <c r="K2163" t="s">
        <v>153</v>
      </c>
      <c r="L2163" t="s">
        <v>154</v>
      </c>
      <c r="M2163" t="s">
        <v>155</v>
      </c>
      <c r="N2163" t="s">
        <v>107</v>
      </c>
      <c r="O2163" t="s">
        <v>256</v>
      </c>
    </row>
    <row r="2164" spans="1:15" x14ac:dyDescent="0.2">
      <c r="A2164">
        <v>18</v>
      </c>
      <c r="B2164">
        <v>19</v>
      </c>
      <c r="C2164">
        <v>18</v>
      </c>
      <c r="D2164">
        <v>17</v>
      </c>
      <c r="E2164" t="s">
        <v>251</v>
      </c>
      <c r="F2164" t="s">
        <v>252</v>
      </c>
      <c r="G2164">
        <v>2222</v>
      </c>
      <c r="H2164" t="s">
        <v>152</v>
      </c>
      <c r="I2164" t="s">
        <v>261</v>
      </c>
      <c r="J2164" t="s">
        <v>261</v>
      </c>
      <c r="K2164" t="s">
        <v>153</v>
      </c>
      <c r="L2164" t="s">
        <v>154</v>
      </c>
      <c r="M2164" t="s">
        <v>155</v>
      </c>
      <c r="N2164" t="s">
        <v>107</v>
      </c>
      <c r="O2164" t="s">
        <v>256</v>
      </c>
    </row>
    <row r="2165" spans="1:15" x14ac:dyDescent="0.2">
      <c r="A2165">
        <v>18</v>
      </c>
      <c r="B2165">
        <v>19</v>
      </c>
      <c r="C2165">
        <v>18</v>
      </c>
      <c r="D2165">
        <v>17</v>
      </c>
      <c r="E2165" t="s">
        <v>251</v>
      </c>
      <c r="F2165" t="s">
        <v>252</v>
      </c>
      <c r="G2165">
        <v>1111</v>
      </c>
      <c r="H2165" t="s">
        <v>152</v>
      </c>
      <c r="I2165" t="s">
        <v>261</v>
      </c>
      <c r="J2165" t="s">
        <v>261</v>
      </c>
      <c r="K2165" t="s">
        <v>153</v>
      </c>
      <c r="L2165" t="s">
        <v>154</v>
      </c>
      <c r="M2165" t="s">
        <v>155</v>
      </c>
      <c r="N2165" t="s">
        <v>107</v>
      </c>
      <c r="O2165" t="s">
        <v>256</v>
      </c>
    </row>
    <row r="2166" spans="1:15" x14ac:dyDescent="0.2">
      <c r="A2166">
        <v>18</v>
      </c>
      <c r="B2166">
        <v>19</v>
      </c>
      <c r="C2166">
        <v>18</v>
      </c>
      <c r="D2166">
        <v>17</v>
      </c>
      <c r="E2166" t="s">
        <v>251</v>
      </c>
      <c r="F2166" t="s">
        <v>252</v>
      </c>
      <c r="G2166">
        <v>26</v>
      </c>
      <c r="H2166" t="s">
        <v>152</v>
      </c>
      <c r="I2166" t="s">
        <v>261</v>
      </c>
      <c r="J2166" t="s">
        <v>261</v>
      </c>
      <c r="K2166" t="s">
        <v>153</v>
      </c>
      <c r="L2166" t="s">
        <v>154</v>
      </c>
      <c r="M2166" t="s">
        <v>155</v>
      </c>
      <c r="N2166" t="s">
        <v>107</v>
      </c>
      <c r="O2166" t="s">
        <v>256</v>
      </c>
    </row>
    <row r="2167" spans="1:15" x14ac:dyDescent="0.2">
      <c r="A2167">
        <v>18</v>
      </c>
      <c r="B2167">
        <v>19</v>
      </c>
      <c r="C2167">
        <v>18</v>
      </c>
      <c r="D2167">
        <v>17</v>
      </c>
      <c r="E2167" t="s">
        <v>251</v>
      </c>
      <c r="F2167" t="s">
        <v>252</v>
      </c>
      <c r="G2167">
        <v>1112</v>
      </c>
      <c r="H2167" t="s">
        <v>152</v>
      </c>
      <c r="I2167" t="s">
        <v>261</v>
      </c>
      <c r="J2167" t="s">
        <v>261</v>
      </c>
      <c r="K2167" t="s">
        <v>153</v>
      </c>
      <c r="L2167" t="s">
        <v>154</v>
      </c>
      <c r="M2167" t="s">
        <v>155</v>
      </c>
      <c r="N2167" t="s">
        <v>107</v>
      </c>
      <c r="O2167" t="s">
        <v>256</v>
      </c>
    </row>
    <row r="2168" spans="1:15" x14ac:dyDescent="0.2">
      <c r="A2168">
        <v>18</v>
      </c>
      <c r="B2168">
        <v>19</v>
      </c>
      <c r="C2168">
        <v>18</v>
      </c>
      <c r="D2168">
        <v>17</v>
      </c>
      <c r="E2168" t="s">
        <v>251</v>
      </c>
      <c r="F2168" t="s">
        <v>252</v>
      </c>
      <c r="G2168">
        <v>1113</v>
      </c>
      <c r="H2168" t="s">
        <v>152</v>
      </c>
      <c r="I2168">
        <v>0</v>
      </c>
      <c r="J2168" t="s">
        <v>261</v>
      </c>
      <c r="K2168" t="s">
        <v>153</v>
      </c>
      <c r="L2168" t="s">
        <v>154</v>
      </c>
      <c r="M2168" t="s">
        <v>155</v>
      </c>
      <c r="N2168" t="s">
        <v>107</v>
      </c>
      <c r="O2168" t="s">
        <v>256</v>
      </c>
    </row>
    <row r="2169" spans="1:15" x14ac:dyDescent="0.2">
      <c r="A2169">
        <v>18</v>
      </c>
      <c r="B2169">
        <v>19</v>
      </c>
      <c r="C2169">
        <v>18</v>
      </c>
      <c r="D2169">
        <v>17</v>
      </c>
      <c r="E2169" t="s">
        <v>251</v>
      </c>
      <c r="F2169" t="s">
        <v>252</v>
      </c>
      <c r="G2169">
        <v>1114</v>
      </c>
      <c r="H2169" t="s">
        <v>152</v>
      </c>
      <c r="I2169">
        <v>0</v>
      </c>
      <c r="J2169">
        <v>0</v>
      </c>
      <c r="K2169" t="s">
        <v>153</v>
      </c>
      <c r="L2169" t="s">
        <v>154</v>
      </c>
      <c r="M2169" t="s">
        <v>155</v>
      </c>
      <c r="N2169" t="s">
        <v>107</v>
      </c>
      <c r="O2169" t="s">
        <v>256</v>
      </c>
    </row>
    <row r="2170" spans="1:15" x14ac:dyDescent="0.2">
      <c r="A2170">
        <v>18</v>
      </c>
      <c r="B2170">
        <v>19</v>
      </c>
      <c r="C2170">
        <v>18</v>
      </c>
      <c r="D2170">
        <v>17</v>
      </c>
      <c r="E2170" t="s">
        <v>251</v>
      </c>
      <c r="F2170" t="s">
        <v>252</v>
      </c>
      <c r="G2170">
        <v>500</v>
      </c>
      <c r="H2170" t="s">
        <v>156</v>
      </c>
      <c r="I2170">
        <v>0.5</v>
      </c>
      <c r="J2170">
        <v>1</v>
      </c>
      <c r="K2170" t="s">
        <v>122</v>
      </c>
      <c r="L2170" t="s">
        <v>157</v>
      </c>
      <c r="M2170" t="s">
        <v>158</v>
      </c>
      <c r="N2170" t="s">
        <v>107</v>
      </c>
      <c r="O2170" t="s">
        <v>256</v>
      </c>
    </row>
    <row r="2171" spans="1:15" x14ac:dyDescent="0.2">
      <c r="A2171">
        <v>18</v>
      </c>
      <c r="B2171">
        <v>19</v>
      </c>
      <c r="C2171">
        <v>18</v>
      </c>
      <c r="D2171">
        <v>17</v>
      </c>
      <c r="E2171" t="s">
        <v>251</v>
      </c>
      <c r="F2171" t="s">
        <v>252</v>
      </c>
      <c r="G2171">
        <v>501</v>
      </c>
      <c r="H2171" t="s">
        <v>156</v>
      </c>
      <c r="I2171">
        <v>0</v>
      </c>
      <c r="J2171">
        <v>0</v>
      </c>
      <c r="K2171" t="s">
        <v>122</v>
      </c>
      <c r="L2171" t="s">
        <v>157</v>
      </c>
      <c r="M2171" t="s">
        <v>158</v>
      </c>
      <c r="N2171" t="s">
        <v>107</v>
      </c>
      <c r="O2171" t="s">
        <v>256</v>
      </c>
    </row>
    <row r="2172" spans="1:15" x14ac:dyDescent="0.2">
      <c r="A2172">
        <v>18</v>
      </c>
      <c r="B2172">
        <v>19</v>
      </c>
      <c r="C2172">
        <v>18</v>
      </c>
      <c r="D2172">
        <v>17</v>
      </c>
      <c r="E2172" t="s">
        <v>251</v>
      </c>
      <c r="F2172" t="s">
        <v>252</v>
      </c>
      <c r="G2172">
        <v>502</v>
      </c>
      <c r="H2172" t="s">
        <v>156</v>
      </c>
      <c r="I2172">
        <v>0</v>
      </c>
      <c r="J2172">
        <v>0</v>
      </c>
      <c r="K2172" t="s">
        <v>122</v>
      </c>
      <c r="L2172" t="s">
        <v>157</v>
      </c>
      <c r="M2172" t="s">
        <v>158</v>
      </c>
      <c r="N2172" t="s">
        <v>107</v>
      </c>
      <c r="O2172" t="s">
        <v>256</v>
      </c>
    </row>
    <row r="2173" spans="1:15" x14ac:dyDescent="0.2">
      <c r="A2173">
        <v>18</v>
      </c>
      <c r="B2173">
        <v>19</v>
      </c>
      <c r="C2173">
        <v>18</v>
      </c>
      <c r="D2173">
        <v>17</v>
      </c>
      <c r="E2173" t="s">
        <v>251</v>
      </c>
      <c r="F2173" t="s">
        <v>252</v>
      </c>
      <c r="G2173">
        <v>504</v>
      </c>
      <c r="H2173" t="s">
        <v>262</v>
      </c>
      <c r="I2173">
        <v>0</v>
      </c>
      <c r="J2173">
        <v>0</v>
      </c>
      <c r="K2173" t="s">
        <v>153</v>
      </c>
      <c r="L2173" t="s">
        <v>263</v>
      </c>
      <c r="M2173" t="s">
        <v>264</v>
      </c>
      <c r="N2173" t="s">
        <v>107</v>
      </c>
      <c r="O2173" t="s">
        <v>256</v>
      </c>
    </row>
    <row r="2174" spans="1:15" x14ac:dyDescent="0.2">
      <c r="A2174">
        <v>18</v>
      </c>
      <c r="B2174">
        <v>19</v>
      </c>
      <c r="C2174">
        <v>18</v>
      </c>
      <c r="D2174">
        <v>17</v>
      </c>
      <c r="E2174" t="s">
        <v>251</v>
      </c>
      <c r="F2174" t="s">
        <v>252</v>
      </c>
      <c r="G2174">
        <v>505</v>
      </c>
      <c r="H2174" t="s">
        <v>262</v>
      </c>
      <c r="I2174">
        <v>0</v>
      </c>
      <c r="J2174">
        <v>0</v>
      </c>
      <c r="K2174" t="s">
        <v>153</v>
      </c>
      <c r="L2174" t="s">
        <v>263</v>
      </c>
      <c r="M2174" t="s">
        <v>264</v>
      </c>
      <c r="N2174" t="s">
        <v>107</v>
      </c>
      <c r="O2174" t="s">
        <v>256</v>
      </c>
    </row>
    <row r="2175" spans="1:15" x14ac:dyDescent="0.2">
      <c r="A2175">
        <v>18</v>
      </c>
      <c r="B2175">
        <v>19</v>
      </c>
      <c r="C2175">
        <v>18</v>
      </c>
      <c r="D2175">
        <v>17</v>
      </c>
      <c r="E2175" t="s">
        <v>251</v>
      </c>
      <c r="F2175" t="s">
        <v>252</v>
      </c>
      <c r="G2175">
        <v>225</v>
      </c>
      <c r="H2175" t="s">
        <v>265</v>
      </c>
      <c r="I2175">
        <v>0.25</v>
      </c>
      <c r="J2175">
        <v>0.25</v>
      </c>
      <c r="K2175" t="s">
        <v>112</v>
      </c>
      <c r="L2175" t="s">
        <v>266</v>
      </c>
      <c r="M2175" t="s">
        <v>267</v>
      </c>
      <c r="N2175" t="s">
        <v>96</v>
      </c>
      <c r="O2175" t="s">
        <v>256</v>
      </c>
    </row>
    <row r="2176" spans="1:15" x14ac:dyDescent="0.2">
      <c r="A2176">
        <v>18</v>
      </c>
      <c r="B2176">
        <v>19</v>
      </c>
      <c r="C2176">
        <v>18</v>
      </c>
      <c r="D2176">
        <v>17</v>
      </c>
      <c r="E2176" t="s">
        <v>251</v>
      </c>
      <c r="F2176" t="s">
        <v>252</v>
      </c>
      <c r="G2176">
        <v>35</v>
      </c>
      <c r="H2176" t="s">
        <v>165</v>
      </c>
      <c r="I2176">
        <v>0</v>
      </c>
      <c r="J2176">
        <v>1</v>
      </c>
      <c r="K2176" t="s">
        <v>166</v>
      </c>
      <c r="L2176" t="s">
        <v>167</v>
      </c>
      <c r="M2176" t="s">
        <v>168</v>
      </c>
      <c r="N2176" t="s">
        <v>107</v>
      </c>
      <c r="O2176" t="s">
        <v>256</v>
      </c>
    </row>
    <row r="2177" spans="1:15" x14ac:dyDescent="0.2">
      <c r="A2177">
        <v>18</v>
      </c>
      <c r="B2177">
        <v>19</v>
      </c>
      <c r="C2177">
        <v>18</v>
      </c>
      <c r="D2177">
        <v>17</v>
      </c>
      <c r="E2177" t="s">
        <v>251</v>
      </c>
      <c r="F2177" t="s">
        <v>252</v>
      </c>
      <c r="G2177">
        <v>44</v>
      </c>
      <c r="H2177" t="s">
        <v>182</v>
      </c>
      <c r="I2177">
        <v>0</v>
      </c>
      <c r="J2177">
        <v>1</v>
      </c>
      <c r="K2177" t="s">
        <v>166</v>
      </c>
      <c r="L2177" t="s">
        <v>183</v>
      </c>
      <c r="M2177" t="s">
        <v>184</v>
      </c>
      <c r="N2177" t="s">
        <v>107</v>
      </c>
      <c r="O2177" t="s">
        <v>256</v>
      </c>
    </row>
    <row r="2178" spans="1:15" x14ac:dyDescent="0.2">
      <c r="A2178">
        <v>19</v>
      </c>
      <c r="B2178">
        <v>20</v>
      </c>
      <c r="C2178">
        <v>19</v>
      </c>
      <c r="D2178">
        <v>18</v>
      </c>
      <c r="E2178" t="s">
        <v>30</v>
      </c>
      <c r="F2178" t="s">
        <v>268</v>
      </c>
      <c r="G2178">
        <v>1</v>
      </c>
      <c r="H2178" t="s">
        <v>92</v>
      </c>
      <c r="I2178">
        <v>0.2</v>
      </c>
      <c r="J2178">
        <v>0.2</v>
      </c>
      <c r="K2178" t="s">
        <v>93</v>
      </c>
      <c r="L2178" t="s">
        <v>94</v>
      </c>
      <c r="M2178" t="s">
        <v>95</v>
      </c>
      <c r="N2178" t="s">
        <v>96</v>
      </c>
      <c r="O2178" t="s">
        <v>97</v>
      </c>
    </row>
    <row r="2179" spans="1:15" x14ac:dyDescent="0.2">
      <c r="A2179">
        <v>19</v>
      </c>
      <c r="B2179">
        <v>20</v>
      </c>
      <c r="C2179">
        <v>19</v>
      </c>
      <c r="D2179">
        <v>18</v>
      </c>
      <c r="E2179" t="s">
        <v>30</v>
      </c>
      <c r="F2179" t="s">
        <v>268</v>
      </c>
      <c r="G2179">
        <v>2</v>
      </c>
      <c r="H2179" t="s">
        <v>98</v>
      </c>
      <c r="I2179">
        <v>0.5</v>
      </c>
      <c r="J2179">
        <v>0.5</v>
      </c>
      <c r="K2179" t="s">
        <v>93</v>
      </c>
      <c r="L2179" t="s">
        <v>99</v>
      </c>
      <c r="M2179" t="s">
        <v>95</v>
      </c>
      <c r="N2179" t="s">
        <v>96</v>
      </c>
      <c r="O2179" t="s">
        <v>97</v>
      </c>
    </row>
    <row r="2180" spans="1:15" x14ac:dyDescent="0.2">
      <c r="A2180">
        <v>19</v>
      </c>
      <c r="B2180">
        <v>20</v>
      </c>
      <c r="C2180">
        <v>19</v>
      </c>
      <c r="D2180">
        <v>18</v>
      </c>
      <c r="E2180" t="s">
        <v>30</v>
      </c>
      <c r="F2180" t="s">
        <v>268</v>
      </c>
      <c r="G2180">
        <v>3</v>
      </c>
      <c r="H2180" t="s">
        <v>100</v>
      </c>
      <c r="I2180">
        <v>0</v>
      </c>
      <c r="J2180">
        <v>1</v>
      </c>
      <c r="K2180" t="s">
        <v>101</v>
      </c>
      <c r="L2180" t="s">
        <v>102</v>
      </c>
      <c r="M2180" t="s">
        <v>103</v>
      </c>
      <c r="N2180" t="s">
        <v>96</v>
      </c>
      <c r="O2180" t="s">
        <v>97</v>
      </c>
    </row>
    <row r="2181" spans="1:15" x14ac:dyDescent="0.2">
      <c r="A2181">
        <v>19</v>
      </c>
      <c r="B2181">
        <v>20</v>
      </c>
      <c r="C2181">
        <v>19</v>
      </c>
      <c r="D2181">
        <v>18</v>
      </c>
      <c r="E2181" t="s">
        <v>30</v>
      </c>
      <c r="F2181" t="s">
        <v>268</v>
      </c>
      <c r="G2181">
        <v>4</v>
      </c>
      <c r="H2181" t="s">
        <v>104</v>
      </c>
      <c r="I2181">
        <v>0.5</v>
      </c>
      <c r="J2181">
        <v>1</v>
      </c>
      <c r="K2181" t="s">
        <v>101</v>
      </c>
      <c r="L2181" t="s">
        <v>105</v>
      </c>
      <c r="M2181" t="s">
        <v>106</v>
      </c>
      <c r="N2181" t="s">
        <v>107</v>
      </c>
      <c r="O2181" t="s">
        <v>97</v>
      </c>
    </row>
    <row r="2182" spans="1:15" x14ac:dyDescent="0.2">
      <c r="A2182">
        <v>19</v>
      </c>
      <c r="B2182">
        <v>20</v>
      </c>
      <c r="C2182">
        <v>19</v>
      </c>
      <c r="D2182">
        <v>18</v>
      </c>
      <c r="E2182" t="s">
        <v>30</v>
      </c>
      <c r="F2182" t="s">
        <v>268</v>
      </c>
      <c r="G2182">
        <v>5</v>
      </c>
      <c r="H2182" t="s">
        <v>108</v>
      </c>
      <c r="I2182">
        <v>0.5</v>
      </c>
      <c r="J2182">
        <v>1</v>
      </c>
      <c r="K2182" t="s">
        <v>101</v>
      </c>
      <c r="L2182" t="s">
        <v>109</v>
      </c>
      <c r="M2182" t="s">
        <v>110</v>
      </c>
      <c r="N2182" t="s">
        <v>107</v>
      </c>
      <c r="O2182" t="s">
        <v>97</v>
      </c>
    </row>
    <row r="2183" spans="1:15" x14ac:dyDescent="0.2">
      <c r="A2183">
        <v>19</v>
      </c>
      <c r="B2183">
        <v>20</v>
      </c>
      <c r="C2183">
        <v>19</v>
      </c>
      <c r="D2183">
        <v>18</v>
      </c>
      <c r="E2183" t="s">
        <v>30</v>
      </c>
      <c r="F2183" t="s">
        <v>268</v>
      </c>
      <c r="G2183">
        <v>9</v>
      </c>
      <c r="H2183" t="s">
        <v>111</v>
      </c>
      <c r="I2183">
        <v>0.5</v>
      </c>
      <c r="J2183">
        <v>0.5</v>
      </c>
      <c r="K2183" t="s">
        <v>112</v>
      </c>
      <c r="L2183" t="s">
        <v>113</v>
      </c>
      <c r="M2183" t="s">
        <v>114</v>
      </c>
      <c r="N2183" t="s">
        <v>96</v>
      </c>
      <c r="O2183" t="s">
        <v>97</v>
      </c>
    </row>
    <row r="2184" spans="1:15" x14ac:dyDescent="0.2">
      <c r="A2184">
        <v>19</v>
      </c>
      <c r="B2184">
        <v>20</v>
      </c>
      <c r="C2184">
        <v>19</v>
      </c>
      <c r="D2184">
        <v>18</v>
      </c>
      <c r="E2184" t="s">
        <v>30</v>
      </c>
      <c r="F2184" t="s">
        <v>268</v>
      </c>
      <c r="G2184">
        <v>10</v>
      </c>
      <c r="H2184" t="s">
        <v>115</v>
      </c>
      <c r="I2184">
        <v>0.25</v>
      </c>
      <c r="J2184">
        <v>0.5</v>
      </c>
      <c r="K2184" t="s">
        <v>112</v>
      </c>
      <c r="L2184" t="s">
        <v>116</v>
      </c>
      <c r="M2184" t="s">
        <v>117</v>
      </c>
      <c r="N2184" t="s">
        <v>96</v>
      </c>
      <c r="O2184" t="s">
        <v>97</v>
      </c>
    </row>
    <row r="2185" spans="1:15" x14ac:dyDescent="0.2">
      <c r="A2185">
        <v>19</v>
      </c>
      <c r="B2185">
        <v>20</v>
      </c>
      <c r="C2185">
        <v>19</v>
      </c>
      <c r="D2185">
        <v>18</v>
      </c>
      <c r="E2185" t="s">
        <v>30</v>
      </c>
      <c r="F2185" t="s">
        <v>268</v>
      </c>
      <c r="G2185">
        <v>11</v>
      </c>
      <c r="H2185" t="s">
        <v>118</v>
      </c>
      <c r="I2185">
        <v>1</v>
      </c>
      <c r="J2185">
        <v>1</v>
      </c>
      <c r="K2185" t="s">
        <v>112</v>
      </c>
      <c r="L2185" t="s">
        <v>119</v>
      </c>
      <c r="M2185" t="s">
        <v>120</v>
      </c>
      <c r="N2185" t="s">
        <v>107</v>
      </c>
      <c r="O2185" t="s">
        <v>97</v>
      </c>
    </row>
    <row r="2186" spans="1:15" x14ac:dyDescent="0.2">
      <c r="A2186">
        <v>19</v>
      </c>
      <c r="B2186">
        <v>20</v>
      </c>
      <c r="C2186">
        <v>19</v>
      </c>
      <c r="D2186">
        <v>18</v>
      </c>
      <c r="E2186" t="s">
        <v>30</v>
      </c>
      <c r="F2186" t="s">
        <v>268</v>
      </c>
      <c r="G2186">
        <v>12</v>
      </c>
      <c r="H2186" t="s">
        <v>121</v>
      </c>
      <c r="I2186">
        <v>0</v>
      </c>
      <c r="J2186" t="s">
        <v>195</v>
      </c>
      <c r="K2186" t="s">
        <v>122</v>
      </c>
      <c r="L2186" t="s">
        <v>113</v>
      </c>
      <c r="M2186" t="s">
        <v>123</v>
      </c>
      <c r="N2186" t="s">
        <v>96</v>
      </c>
      <c r="O2186" t="s">
        <v>97</v>
      </c>
    </row>
    <row r="2187" spans="1:15" x14ac:dyDescent="0.2">
      <c r="A2187">
        <v>19</v>
      </c>
      <c r="B2187">
        <v>20</v>
      </c>
      <c r="C2187">
        <v>19</v>
      </c>
      <c r="D2187">
        <v>18</v>
      </c>
      <c r="E2187" t="s">
        <v>30</v>
      </c>
      <c r="F2187" t="s">
        <v>268</v>
      </c>
      <c r="G2187">
        <v>13</v>
      </c>
      <c r="H2187" t="s">
        <v>124</v>
      </c>
      <c r="I2187">
        <v>0</v>
      </c>
      <c r="J2187" t="s">
        <v>195</v>
      </c>
      <c r="K2187" t="s">
        <v>122</v>
      </c>
      <c r="L2187" t="s">
        <v>125</v>
      </c>
      <c r="M2187" t="s">
        <v>126</v>
      </c>
      <c r="N2187" t="s">
        <v>96</v>
      </c>
      <c r="O2187" t="s">
        <v>97</v>
      </c>
    </row>
    <row r="2188" spans="1:15" x14ac:dyDescent="0.2">
      <c r="A2188">
        <v>19</v>
      </c>
      <c r="B2188">
        <v>20</v>
      </c>
      <c r="C2188">
        <v>19</v>
      </c>
      <c r="D2188">
        <v>18</v>
      </c>
      <c r="E2188" t="s">
        <v>30</v>
      </c>
      <c r="F2188" t="s">
        <v>268</v>
      </c>
      <c r="G2188">
        <v>14</v>
      </c>
      <c r="H2188" t="s">
        <v>127</v>
      </c>
      <c r="I2188">
        <v>0</v>
      </c>
      <c r="J2188">
        <v>0</v>
      </c>
      <c r="K2188" t="s">
        <v>122</v>
      </c>
      <c r="L2188" t="s">
        <v>119</v>
      </c>
      <c r="M2188" t="s">
        <v>128</v>
      </c>
      <c r="N2188" t="s">
        <v>107</v>
      </c>
      <c r="O2188" t="s">
        <v>97</v>
      </c>
    </row>
    <row r="2189" spans="1:15" x14ac:dyDescent="0.2">
      <c r="A2189">
        <v>19</v>
      </c>
      <c r="B2189">
        <v>20</v>
      </c>
      <c r="C2189">
        <v>19</v>
      </c>
      <c r="D2189">
        <v>18</v>
      </c>
      <c r="E2189" t="s">
        <v>30</v>
      </c>
      <c r="F2189" t="s">
        <v>268</v>
      </c>
      <c r="G2189">
        <v>15</v>
      </c>
      <c r="H2189" t="s">
        <v>129</v>
      </c>
      <c r="I2189">
        <v>0</v>
      </c>
      <c r="J2189">
        <v>1</v>
      </c>
      <c r="K2189" t="s">
        <v>130</v>
      </c>
      <c r="L2189" t="s">
        <v>131</v>
      </c>
      <c r="M2189" t="s">
        <v>132</v>
      </c>
      <c r="N2189" t="s">
        <v>107</v>
      </c>
      <c r="O2189" t="s">
        <v>97</v>
      </c>
    </row>
    <row r="2190" spans="1:15" x14ac:dyDescent="0.2">
      <c r="A2190">
        <v>19</v>
      </c>
      <c r="B2190">
        <v>20</v>
      </c>
      <c r="C2190">
        <v>19</v>
      </c>
      <c r="D2190">
        <v>18</v>
      </c>
      <c r="E2190" t="s">
        <v>30</v>
      </c>
      <c r="F2190" t="s">
        <v>268</v>
      </c>
      <c r="G2190">
        <v>16</v>
      </c>
      <c r="H2190" t="s">
        <v>133</v>
      </c>
      <c r="I2190">
        <v>0</v>
      </c>
      <c r="J2190">
        <v>0</v>
      </c>
      <c r="K2190" t="e">
        <v>#N/A</v>
      </c>
      <c r="L2190" t="e">
        <v>#N/A</v>
      </c>
      <c r="M2190" t="e">
        <v>#N/A</v>
      </c>
      <c r="N2190" t="e">
        <v>#N/A</v>
      </c>
      <c r="O2190" t="s">
        <v>97</v>
      </c>
    </row>
    <row r="2191" spans="1:15" x14ac:dyDescent="0.2">
      <c r="A2191">
        <v>19</v>
      </c>
      <c r="B2191">
        <v>20</v>
      </c>
      <c r="C2191">
        <v>19</v>
      </c>
      <c r="D2191">
        <v>18</v>
      </c>
      <c r="E2191" t="s">
        <v>30</v>
      </c>
      <c r="F2191" t="s">
        <v>268</v>
      </c>
      <c r="G2191">
        <v>17</v>
      </c>
      <c r="H2191" t="s">
        <v>134</v>
      </c>
      <c r="I2191">
        <v>0.5</v>
      </c>
      <c r="J2191">
        <v>1</v>
      </c>
      <c r="K2191" t="s">
        <v>112</v>
      </c>
      <c r="L2191" t="s">
        <v>135</v>
      </c>
      <c r="M2191" t="s">
        <v>136</v>
      </c>
      <c r="N2191" t="s">
        <v>107</v>
      </c>
      <c r="O2191" t="s">
        <v>97</v>
      </c>
    </row>
    <row r="2192" spans="1:15" x14ac:dyDescent="0.2">
      <c r="A2192">
        <v>19</v>
      </c>
      <c r="B2192">
        <v>20</v>
      </c>
      <c r="C2192">
        <v>19</v>
      </c>
      <c r="D2192">
        <v>18</v>
      </c>
      <c r="E2192" t="s">
        <v>30</v>
      </c>
      <c r="F2192" t="s">
        <v>268</v>
      </c>
      <c r="G2192">
        <v>18</v>
      </c>
      <c r="H2192" t="s">
        <v>137</v>
      </c>
      <c r="I2192">
        <v>1</v>
      </c>
      <c r="J2192">
        <v>1</v>
      </c>
      <c r="K2192" t="s">
        <v>112</v>
      </c>
      <c r="L2192" t="s">
        <v>138</v>
      </c>
      <c r="M2192" t="s">
        <v>139</v>
      </c>
      <c r="N2192" t="s">
        <v>107</v>
      </c>
      <c r="O2192" t="s">
        <v>97</v>
      </c>
    </row>
    <row r="2193" spans="1:15" x14ac:dyDescent="0.2">
      <c r="A2193">
        <v>19</v>
      </c>
      <c r="B2193">
        <v>20</v>
      </c>
      <c r="C2193">
        <v>19</v>
      </c>
      <c r="D2193">
        <v>18</v>
      </c>
      <c r="E2193" t="s">
        <v>30</v>
      </c>
      <c r="F2193" t="s">
        <v>268</v>
      </c>
      <c r="G2193">
        <v>19</v>
      </c>
      <c r="H2193" t="s">
        <v>140</v>
      </c>
      <c r="I2193">
        <v>0.5</v>
      </c>
      <c r="J2193">
        <v>1</v>
      </c>
      <c r="K2193" t="s">
        <v>122</v>
      </c>
      <c r="L2193" t="s">
        <v>141</v>
      </c>
      <c r="M2193" t="s">
        <v>142</v>
      </c>
      <c r="N2193" t="s">
        <v>107</v>
      </c>
      <c r="O2193" t="s">
        <v>97</v>
      </c>
    </row>
    <row r="2194" spans="1:15" x14ac:dyDescent="0.2">
      <c r="A2194">
        <v>315</v>
      </c>
      <c r="B2194">
        <v>316</v>
      </c>
      <c r="C2194">
        <v>315</v>
      </c>
      <c r="D2194">
        <v>314</v>
      </c>
      <c r="E2194" t="s">
        <v>57</v>
      </c>
      <c r="F2194" t="s">
        <v>63</v>
      </c>
      <c r="G2194">
        <v>1</v>
      </c>
      <c r="H2194" t="s">
        <v>92</v>
      </c>
      <c r="I2194">
        <v>0</v>
      </c>
      <c r="J2194">
        <v>0</v>
      </c>
      <c r="K2194" t="s">
        <v>93</v>
      </c>
      <c r="L2194" t="s">
        <v>94</v>
      </c>
      <c r="M2194" t="s">
        <v>95</v>
      </c>
      <c r="N2194" t="s">
        <v>96</v>
      </c>
      <c r="O2194" t="s">
        <v>97</v>
      </c>
    </row>
    <row r="2195" spans="1:15" x14ac:dyDescent="0.2">
      <c r="A2195">
        <v>315</v>
      </c>
      <c r="B2195">
        <v>316</v>
      </c>
      <c r="C2195">
        <v>315</v>
      </c>
      <c r="D2195">
        <v>314</v>
      </c>
      <c r="E2195" t="s">
        <v>57</v>
      </c>
      <c r="F2195" t="s">
        <v>63</v>
      </c>
      <c r="G2195">
        <v>2</v>
      </c>
      <c r="H2195" t="s">
        <v>98</v>
      </c>
      <c r="I2195">
        <v>0.5</v>
      </c>
      <c r="J2195">
        <v>0.5</v>
      </c>
      <c r="K2195" t="s">
        <v>93</v>
      </c>
      <c r="L2195" t="s">
        <v>99</v>
      </c>
      <c r="M2195" t="s">
        <v>95</v>
      </c>
      <c r="N2195" t="s">
        <v>96</v>
      </c>
      <c r="O2195" t="s">
        <v>97</v>
      </c>
    </row>
    <row r="2196" spans="1:15" x14ac:dyDescent="0.2">
      <c r="A2196">
        <v>315</v>
      </c>
      <c r="B2196">
        <v>316</v>
      </c>
      <c r="C2196">
        <v>315</v>
      </c>
      <c r="D2196">
        <v>314</v>
      </c>
      <c r="E2196" t="s">
        <v>57</v>
      </c>
      <c r="F2196" t="s">
        <v>63</v>
      </c>
      <c r="G2196">
        <v>3</v>
      </c>
      <c r="H2196" t="s">
        <v>100</v>
      </c>
      <c r="I2196">
        <v>0</v>
      </c>
      <c r="J2196">
        <v>1</v>
      </c>
      <c r="K2196" t="s">
        <v>101</v>
      </c>
      <c r="L2196" t="s">
        <v>102</v>
      </c>
      <c r="M2196" t="s">
        <v>103</v>
      </c>
      <c r="N2196" t="s">
        <v>96</v>
      </c>
      <c r="O2196" t="s">
        <v>97</v>
      </c>
    </row>
    <row r="2197" spans="1:15" x14ac:dyDescent="0.2">
      <c r="A2197">
        <v>315</v>
      </c>
      <c r="B2197">
        <v>316</v>
      </c>
      <c r="C2197">
        <v>315</v>
      </c>
      <c r="D2197">
        <v>314</v>
      </c>
      <c r="E2197" t="s">
        <v>57</v>
      </c>
      <c r="F2197" t="s">
        <v>63</v>
      </c>
      <c r="G2197">
        <v>4</v>
      </c>
      <c r="H2197" t="s">
        <v>104</v>
      </c>
      <c r="I2197">
        <v>0</v>
      </c>
      <c r="J2197">
        <v>1</v>
      </c>
      <c r="K2197" t="s">
        <v>101</v>
      </c>
      <c r="L2197" t="s">
        <v>105</v>
      </c>
      <c r="M2197" t="s">
        <v>106</v>
      </c>
      <c r="N2197" t="s">
        <v>107</v>
      </c>
      <c r="O2197" t="s">
        <v>97</v>
      </c>
    </row>
    <row r="2198" spans="1:15" x14ac:dyDescent="0.2">
      <c r="A2198">
        <v>315</v>
      </c>
      <c r="B2198">
        <v>316</v>
      </c>
      <c r="C2198">
        <v>315</v>
      </c>
      <c r="D2198">
        <v>314</v>
      </c>
      <c r="E2198" t="s">
        <v>57</v>
      </c>
      <c r="F2198" t="s">
        <v>63</v>
      </c>
      <c r="G2198">
        <v>5</v>
      </c>
      <c r="H2198" t="s">
        <v>108</v>
      </c>
      <c r="I2198">
        <v>0.5</v>
      </c>
      <c r="J2198">
        <v>1</v>
      </c>
      <c r="K2198" t="s">
        <v>101</v>
      </c>
      <c r="L2198" t="s">
        <v>109</v>
      </c>
      <c r="M2198" t="s">
        <v>110</v>
      </c>
      <c r="N2198" t="s">
        <v>107</v>
      </c>
      <c r="O2198" t="s">
        <v>97</v>
      </c>
    </row>
    <row r="2199" spans="1:15" x14ac:dyDescent="0.2">
      <c r="A2199">
        <v>315</v>
      </c>
      <c r="B2199">
        <v>316</v>
      </c>
      <c r="C2199">
        <v>315</v>
      </c>
      <c r="D2199">
        <v>314</v>
      </c>
      <c r="E2199" t="s">
        <v>57</v>
      </c>
      <c r="F2199" t="s">
        <v>63</v>
      </c>
      <c r="G2199">
        <v>9</v>
      </c>
      <c r="H2199" t="s">
        <v>111</v>
      </c>
      <c r="I2199">
        <v>0</v>
      </c>
      <c r="J2199" t="s">
        <v>195</v>
      </c>
      <c r="K2199" t="s">
        <v>112</v>
      </c>
      <c r="L2199" t="s">
        <v>113</v>
      </c>
      <c r="M2199" t="s">
        <v>114</v>
      </c>
      <c r="N2199" t="s">
        <v>96</v>
      </c>
      <c r="O2199" t="s">
        <v>97</v>
      </c>
    </row>
    <row r="2200" spans="1:15" x14ac:dyDescent="0.2">
      <c r="A2200">
        <v>315</v>
      </c>
      <c r="B2200">
        <v>316</v>
      </c>
      <c r="C2200">
        <v>315</v>
      </c>
      <c r="D2200">
        <v>314</v>
      </c>
      <c r="E2200" t="s">
        <v>57</v>
      </c>
      <c r="F2200" t="s">
        <v>63</v>
      </c>
      <c r="G2200">
        <v>10</v>
      </c>
      <c r="H2200" t="s">
        <v>115</v>
      </c>
      <c r="I2200">
        <v>0</v>
      </c>
      <c r="J2200">
        <v>0.5</v>
      </c>
      <c r="K2200" t="s">
        <v>112</v>
      </c>
      <c r="L2200" t="s">
        <v>116</v>
      </c>
      <c r="M2200" t="s">
        <v>117</v>
      </c>
      <c r="N2200" t="s">
        <v>96</v>
      </c>
      <c r="O2200" t="s">
        <v>97</v>
      </c>
    </row>
    <row r="2201" spans="1:15" x14ac:dyDescent="0.2">
      <c r="A2201">
        <v>315</v>
      </c>
      <c r="B2201">
        <v>316</v>
      </c>
      <c r="C2201">
        <v>315</v>
      </c>
      <c r="D2201">
        <v>314</v>
      </c>
      <c r="E2201" t="s">
        <v>57</v>
      </c>
      <c r="F2201" t="s">
        <v>63</v>
      </c>
      <c r="G2201">
        <v>11</v>
      </c>
      <c r="H2201" t="s">
        <v>118</v>
      </c>
      <c r="I2201">
        <v>0.5</v>
      </c>
      <c r="J2201">
        <v>1</v>
      </c>
      <c r="K2201" t="s">
        <v>112</v>
      </c>
      <c r="L2201" t="s">
        <v>119</v>
      </c>
      <c r="M2201" t="s">
        <v>120</v>
      </c>
      <c r="N2201" t="s">
        <v>107</v>
      </c>
      <c r="O2201" t="s">
        <v>97</v>
      </c>
    </row>
    <row r="2202" spans="1:15" x14ac:dyDescent="0.2">
      <c r="A2202">
        <v>315</v>
      </c>
      <c r="B2202">
        <v>316</v>
      </c>
      <c r="C2202">
        <v>315</v>
      </c>
      <c r="D2202">
        <v>314</v>
      </c>
      <c r="E2202" t="s">
        <v>57</v>
      </c>
      <c r="F2202" t="s">
        <v>63</v>
      </c>
      <c r="G2202">
        <v>12</v>
      </c>
      <c r="H2202" t="s">
        <v>121</v>
      </c>
      <c r="I2202">
        <v>0.25</v>
      </c>
      <c r="J2202">
        <v>0.5</v>
      </c>
      <c r="K2202" t="s">
        <v>122</v>
      </c>
      <c r="L2202" t="s">
        <v>113</v>
      </c>
      <c r="M2202" t="s">
        <v>123</v>
      </c>
      <c r="N2202" t="s">
        <v>96</v>
      </c>
      <c r="O2202" t="s">
        <v>97</v>
      </c>
    </row>
    <row r="2203" spans="1:15" x14ac:dyDescent="0.2">
      <c r="A2203">
        <v>315</v>
      </c>
      <c r="B2203">
        <v>316</v>
      </c>
      <c r="C2203">
        <v>315</v>
      </c>
      <c r="D2203">
        <v>314</v>
      </c>
      <c r="E2203" t="s">
        <v>57</v>
      </c>
      <c r="F2203" t="s">
        <v>63</v>
      </c>
      <c r="G2203">
        <v>13</v>
      </c>
      <c r="H2203" t="s">
        <v>124</v>
      </c>
      <c r="I2203">
        <v>0</v>
      </c>
      <c r="J2203">
        <v>0.5</v>
      </c>
      <c r="K2203" t="s">
        <v>122</v>
      </c>
      <c r="L2203" t="s">
        <v>125</v>
      </c>
      <c r="M2203" t="s">
        <v>126</v>
      </c>
      <c r="N2203" t="s">
        <v>96</v>
      </c>
      <c r="O2203" t="s">
        <v>97</v>
      </c>
    </row>
    <row r="2204" spans="1:15" x14ac:dyDescent="0.2">
      <c r="A2204">
        <v>315</v>
      </c>
      <c r="B2204">
        <v>316</v>
      </c>
      <c r="C2204">
        <v>315</v>
      </c>
      <c r="D2204">
        <v>314</v>
      </c>
      <c r="E2204" t="s">
        <v>57</v>
      </c>
      <c r="F2204" t="s">
        <v>63</v>
      </c>
      <c r="G2204">
        <v>14</v>
      </c>
      <c r="H2204" t="s">
        <v>127</v>
      </c>
      <c r="I2204">
        <v>0.5</v>
      </c>
      <c r="J2204">
        <v>1</v>
      </c>
      <c r="K2204" t="s">
        <v>122</v>
      </c>
      <c r="L2204" t="s">
        <v>119</v>
      </c>
      <c r="M2204" t="s">
        <v>128</v>
      </c>
      <c r="N2204" t="s">
        <v>107</v>
      </c>
      <c r="O2204" t="s">
        <v>97</v>
      </c>
    </row>
    <row r="2205" spans="1:15" x14ac:dyDescent="0.2">
      <c r="A2205">
        <v>315</v>
      </c>
      <c r="B2205">
        <v>316</v>
      </c>
      <c r="C2205">
        <v>315</v>
      </c>
      <c r="D2205">
        <v>314</v>
      </c>
      <c r="E2205" t="s">
        <v>57</v>
      </c>
      <c r="F2205" t="s">
        <v>63</v>
      </c>
      <c r="G2205">
        <v>15</v>
      </c>
      <c r="H2205" t="s">
        <v>129</v>
      </c>
      <c r="I2205">
        <v>0</v>
      </c>
      <c r="J2205">
        <v>1</v>
      </c>
      <c r="K2205" t="s">
        <v>130</v>
      </c>
      <c r="L2205" t="s">
        <v>131</v>
      </c>
      <c r="M2205" t="s">
        <v>132</v>
      </c>
      <c r="N2205" t="s">
        <v>107</v>
      </c>
      <c r="O2205" t="s">
        <v>97</v>
      </c>
    </row>
    <row r="2206" spans="1:15" x14ac:dyDescent="0.2">
      <c r="A2206">
        <v>315</v>
      </c>
      <c r="B2206">
        <v>316</v>
      </c>
      <c r="C2206">
        <v>315</v>
      </c>
      <c r="D2206">
        <v>314</v>
      </c>
      <c r="E2206" t="s">
        <v>57</v>
      </c>
      <c r="F2206" t="s">
        <v>63</v>
      </c>
      <c r="G2206">
        <v>16</v>
      </c>
      <c r="H2206" t="s">
        <v>133</v>
      </c>
      <c r="I2206">
        <v>0</v>
      </c>
      <c r="J2206">
        <v>0</v>
      </c>
      <c r="K2206" t="e">
        <v>#N/A</v>
      </c>
      <c r="L2206" t="e">
        <v>#N/A</v>
      </c>
      <c r="M2206" t="e">
        <v>#N/A</v>
      </c>
      <c r="N2206" t="e">
        <v>#N/A</v>
      </c>
      <c r="O2206" t="s">
        <v>97</v>
      </c>
    </row>
    <row r="2207" spans="1:15" x14ac:dyDescent="0.2">
      <c r="A2207">
        <v>315</v>
      </c>
      <c r="B2207">
        <v>316</v>
      </c>
      <c r="C2207">
        <v>315</v>
      </c>
      <c r="D2207">
        <v>314</v>
      </c>
      <c r="E2207" t="s">
        <v>57</v>
      </c>
      <c r="F2207" t="s">
        <v>63</v>
      </c>
      <c r="G2207">
        <v>17</v>
      </c>
      <c r="H2207" t="s">
        <v>134</v>
      </c>
      <c r="I2207">
        <v>0.5</v>
      </c>
      <c r="J2207">
        <v>1</v>
      </c>
      <c r="K2207" t="s">
        <v>112</v>
      </c>
      <c r="L2207" t="s">
        <v>135</v>
      </c>
      <c r="M2207" t="s">
        <v>136</v>
      </c>
      <c r="N2207" t="s">
        <v>107</v>
      </c>
      <c r="O2207" t="s">
        <v>97</v>
      </c>
    </row>
    <row r="2208" spans="1:15" x14ac:dyDescent="0.2">
      <c r="A2208">
        <v>315</v>
      </c>
      <c r="B2208">
        <v>316</v>
      </c>
      <c r="C2208">
        <v>315</v>
      </c>
      <c r="D2208">
        <v>314</v>
      </c>
      <c r="E2208" t="s">
        <v>57</v>
      </c>
      <c r="F2208" t="s">
        <v>63</v>
      </c>
      <c r="G2208">
        <v>18</v>
      </c>
      <c r="H2208" t="s">
        <v>137</v>
      </c>
      <c r="I2208">
        <v>1</v>
      </c>
      <c r="J2208">
        <v>1</v>
      </c>
      <c r="K2208" t="s">
        <v>112</v>
      </c>
      <c r="L2208" t="s">
        <v>138</v>
      </c>
      <c r="M2208" t="s">
        <v>139</v>
      </c>
      <c r="N2208" t="s">
        <v>107</v>
      </c>
      <c r="O2208" t="s">
        <v>97</v>
      </c>
    </row>
    <row r="2209" spans="1:15" x14ac:dyDescent="0.2">
      <c r="A2209">
        <v>315</v>
      </c>
      <c r="B2209">
        <v>316</v>
      </c>
      <c r="C2209">
        <v>315</v>
      </c>
      <c r="D2209">
        <v>314</v>
      </c>
      <c r="E2209" t="s">
        <v>57</v>
      </c>
      <c r="F2209" t="s">
        <v>63</v>
      </c>
      <c r="G2209">
        <v>19</v>
      </c>
      <c r="H2209" t="s">
        <v>140</v>
      </c>
      <c r="I2209">
        <v>0</v>
      </c>
      <c r="J2209">
        <v>1</v>
      </c>
      <c r="K2209" t="s">
        <v>122</v>
      </c>
      <c r="L2209" t="s">
        <v>141</v>
      </c>
      <c r="M2209" t="s">
        <v>142</v>
      </c>
      <c r="N2209" t="s">
        <v>107</v>
      </c>
      <c r="O2209" t="s">
        <v>97</v>
      </c>
    </row>
    <row r="2210" spans="1:15" x14ac:dyDescent="0.2">
      <c r="A2210">
        <v>315</v>
      </c>
      <c r="B2210">
        <v>316</v>
      </c>
      <c r="C2210">
        <v>315</v>
      </c>
      <c r="D2210">
        <v>314</v>
      </c>
      <c r="E2210" t="s">
        <v>57</v>
      </c>
      <c r="F2210" t="s">
        <v>63</v>
      </c>
      <c r="G2210">
        <v>20</v>
      </c>
      <c r="H2210" t="s">
        <v>143</v>
      </c>
      <c r="I2210">
        <v>0</v>
      </c>
      <c r="J2210">
        <v>1</v>
      </c>
      <c r="K2210" t="s">
        <v>122</v>
      </c>
      <c r="L2210" t="s">
        <v>144</v>
      </c>
      <c r="M2210" t="s">
        <v>145</v>
      </c>
      <c r="N2210" t="s">
        <v>107</v>
      </c>
      <c r="O2210" t="s">
        <v>97</v>
      </c>
    </row>
    <row r="2211" spans="1:15" x14ac:dyDescent="0.2">
      <c r="A2211">
        <v>315</v>
      </c>
      <c r="B2211">
        <v>316</v>
      </c>
      <c r="C2211">
        <v>315</v>
      </c>
      <c r="D2211">
        <v>314</v>
      </c>
      <c r="E2211" t="s">
        <v>57</v>
      </c>
      <c r="F2211" t="s">
        <v>63</v>
      </c>
      <c r="G2211">
        <v>21</v>
      </c>
      <c r="H2211" t="s">
        <v>146</v>
      </c>
      <c r="I2211">
        <v>1</v>
      </c>
      <c r="J2211">
        <v>1</v>
      </c>
      <c r="K2211" t="s">
        <v>147</v>
      </c>
      <c r="L2211" t="s">
        <v>148</v>
      </c>
      <c r="M2211" t="s">
        <v>149</v>
      </c>
      <c r="N2211" t="s">
        <v>96</v>
      </c>
      <c r="O2211" t="s">
        <v>97</v>
      </c>
    </row>
    <row r="2212" spans="1:15" x14ac:dyDescent="0.2">
      <c r="A2212">
        <v>315</v>
      </c>
      <c r="B2212">
        <v>316</v>
      </c>
      <c r="C2212">
        <v>315</v>
      </c>
      <c r="D2212">
        <v>314</v>
      </c>
      <c r="E2212" t="s">
        <v>57</v>
      </c>
      <c r="F2212" t="s">
        <v>63</v>
      </c>
      <c r="G2212">
        <v>22</v>
      </c>
      <c r="H2212" t="s">
        <v>150</v>
      </c>
      <c r="I2212">
        <v>0</v>
      </c>
      <c r="J2212">
        <v>1</v>
      </c>
      <c r="K2212" t="s">
        <v>147</v>
      </c>
      <c r="L2212" t="s">
        <v>151</v>
      </c>
      <c r="M2212" t="s">
        <v>149</v>
      </c>
      <c r="N2212" t="s">
        <v>107</v>
      </c>
      <c r="O2212" t="s">
        <v>97</v>
      </c>
    </row>
    <row r="2213" spans="1:15" x14ac:dyDescent="0.2">
      <c r="A2213">
        <v>315</v>
      </c>
      <c r="B2213">
        <v>316</v>
      </c>
      <c r="C2213">
        <v>315</v>
      </c>
      <c r="D2213">
        <v>314</v>
      </c>
      <c r="E2213" t="s">
        <v>57</v>
      </c>
      <c r="F2213" t="s">
        <v>63</v>
      </c>
      <c r="G2213">
        <v>23</v>
      </c>
      <c r="H2213" t="s">
        <v>152</v>
      </c>
      <c r="I2213">
        <v>0</v>
      </c>
      <c r="J2213">
        <v>0</v>
      </c>
      <c r="K2213" t="s">
        <v>153</v>
      </c>
      <c r="L2213" t="s">
        <v>154</v>
      </c>
      <c r="M2213" t="s">
        <v>155</v>
      </c>
      <c r="N2213" t="s">
        <v>107</v>
      </c>
      <c r="O2213" t="s">
        <v>97</v>
      </c>
    </row>
    <row r="2214" spans="1:15" x14ac:dyDescent="0.2">
      <c r="A2214">
        <v>315</v>
      </c>
      <c r="B2214">
        <v>316</v>
      </c>
      <c r="C2214">
        <v>315</v>
      </c>
      <c r="D2214">
        <v>314</v>
      </c>
      <c r="E2214" t="s">
        <v>57</v>
      </c>
      <c r="F2214" t="s">
        <v>63</v>
      </c>
      <c r="G2214">
        <v>24</v>
      </c>
      <c r="H2214" t="s">
        <v>156</v>
      </c>
      <c r="I2214">
        <v>0</v>
      </c>
      <c r="J2214">
        <v>0.5</v>
      </c>
      <c r="K2214" t="s">
        <v>122</v>
      </c>
      <c r="L2214" t="s">
        <v>157</v>
      </c>
      <c r="M2214" t="s">
        <v>158</v>
      </c>
      <c r="N2214" t="s">
        <v>107</v>
      </c>
      <c r="O2214" t="s">
        <v>97</v>
      </c>
    </row>
    <row r="2215" spans="1:15" x14ac:dyDescent="0.2">
      <c r="A2215">
        <v>315</v>
      </c>
      <c r="B2215">
        <v>316</v>
      </c>
      <c r="C2215">
        <v>315</v>
      </c>
      <c r="D2215">
        <v>314</v>
      </c>
      <c r="E2215" t="s">
        <v>57</v>
      </c>
      <c r="F2215" t="s">
        <v>63</v>
      </c>
      <c r="G2215">
        <v>25</v>
      </c>
      <c r="H2215" t="s">
        <v>156</v>
      </c>
      <c r="I2215">
        <v>0</v>
      </c>
      <c r="J2215">
        <v>0.5</v>
      </c>
      <c r="K2215" t="s">
        <v>122</v>
      </c>
      <c r="L2215" t="s">
        <v>157</v>
      </c>
      <c r="M2215" t="s">
        <v>158</v>
      </c>
      <c r="N2215" t="s">
        <v>107</v>
      </c>
      <c r="O2215" t="s">
        <v>97</v>
      </c>
    </row>
    <row r="2216" spans="1:15" x14ac:dyDescent="0.2">
      <c r="A2216">
        <v>315</v>
      </c>
      <c r="B2216">
        <v>316</v>
      </c>
      <c r="C2216">
        <v>315</v>
      </c>
      <c r="D2216">
        <v>314</v>
      </c>
      <c r="E2216" t="s">
        <v>57</v>
      </c>
      <c r="F2216" t="s">
        <v>63</v>
      </c>
      <c r="G2216">
        <v>26</v>
      </c>
      <c r="H2216" t="s">
        <v>152</v>
      </c>
      <c r="I2216">
        <v>0</v>
      </c>
      <c r="J2216">
        <v>0</v>
      </c>
      <c r="K2216" t="s">
        <v>153</v>
      </c>
      <c r="L2216" t="s">
        <v>154</v>
      </c>
      <c r="M2216" t="s">
        <v>155</v>
      </c>
      <c r="N2216" t="s">
        <v>107</v>
      </c>
      <c r="O2216" t="s">
        <v>97</v>
      </c>
    </row>
    <row r="2217" spans="1:15" x14ac:dyDescent="0.2">
      <c r="A2217">
        <v>315</v>
      </c>
      <c r="B2217">
        <v>316</v>
      </c>
      <c r="C2217">
        <v>315</v>
      </c>
      <c r="D2217">
        <v>314</v>
      </c>
      <c r="E2217" t="s">
        <v>57</v>
      </c>
      <c r="F2217" t="s">
        <v>63</v>
      </c>
      <c r="G2217">
        <v>27</v>
      </c>
      <c r="H2217" t="s">
        <v>159</v>
      </c>
      <c r="I2217">
        <v>0.5</v>
      </c>
      <c r="J2217">
        <v>0.5</v>
      </c>
      <c r="K2217" t="s">
        <v>122</v>
      </c>
      <c r="L2217" t="s">
        <v>160</v>
      </c>
      <c r="M2217" t="s">
        <v>161</v>
      </c>
      <c r="N2217" t="s">
        <v>107</v>
      </c>
      <c r="O2217" t="s">
        <v>97</v>
      </c>
    </row>
    <row r="2218" spans="1:15" x14ac:dyDescent="0.2">
      <c r="A2218">
        <v>315</v>
      </c>
      <c r="B2218">
        <v>316</v>
      </c>
      <c r="C2218">
        <v>315</v>
      </c>
      <c r="D2218">
        <v>314</v>
      </c>
      <c r="E2218" t="s">
        <v>57</v>
      </c>
      <c r="F2218" t="s">
        <v>63</v>
      </c>
      <c r="G2218">
        <v>28</v>
      </c>
      <c r="H2218" t="s">
        <v>159</v>
      </c>
      <c r="I2218">
        <v>0.5</v>
      </c>
      <c r="J2218">
        <v>0.5</v>
      </c>
      <c r="K2218" t="s">
        <v>122</v>
      </c>
      <c r="L2218" t="s">
        <v>160</v>
      </c>
      <c r="M2218" t="s">
        <v>161</v>
      </c>
      <c r="N2218" t="s">
        <v>107</v>
      </c>
      <c r="O2218" t="s">
        <v>97</v>
      </c>
    </row>
    <row r="2219" spans="1:15" x14ac:dyDescent="0.2">
      <c r="A2219">
        <v>315</v>
      </c>
      <c r="B2219">
        <v>316</v>
      </c>
      <c r="C2219">
        <v>315</v>
      </c>
      <c r="D2219">
        <v>314</v>
      </c>
      <c r="E2219" t="s">
        <v>57</v>
      </c>
      <c r="F2219" t="s">
        <v>63</v>
      </c>
      <c r="G2219">
        <v>29</v>
      </c>
      <c r="H2219" t="s">
        <v>152</v>
      </c>
      <c r="I2219">
        <v>0</v>
      </c>
      <c r="J2219">
        <v>0</v>
      </c>
      <c r="K2219" t="s">
        <v>153</v>
      </c>
      <c r="L2219" t="s">
        <v>154</v>
      </c>
      <c r="M2219" t="s">
        <v>155</v>
      </c>
      <c r="N2219" t="s">
        <v>107</v>
      </c>
      <c r="O2219" t="s">
        <v>97</v>
      </c>
    </row>
    <row r="2220" spans="1:15" x14ac:dyDescent="0.2">
      <c r="A2220">
        <v>315</v>
      </c>
      <c r="B2220">
        <v>316</v>
      </c>
      <c r="C2220">
        <v>315</v>
      </c>
      <c r="D2220">
        <v>314</v>
      </c>
      <c r="E2220" t="s">
        <v>57</v>
      </c>
      <c r="F2220" t="s">
        <v>63</v>
      </c>
      <c r="G2220">
        <v>30</v>
      </c>
      <c r="H2220" t="s">
        <v>162</v>
      </c>
      <c r="I2220">
        <v>0</v>
      </c>
      <c r="J2220">
        <v>1</v>
      </c>
      <c r="K2220" t="s">
        <v>112</v>
      </c>
      <c r="L2220" t="s">
        <v>163</v>
      </c>
      <c r="M2220" t="s">
        <v>164</v>
      </c>
      <c r="N2220" t="s">
        <v>107</v>
      </c>
      <c r="O2220" t="s">
        <v>97</v>
      </c>
    </row>
    <row r="2221" spans="1:15" x14ac:dyDescent="0.2">
      <c r="A2221">
        <v>315</v>
      </c>
      <c r="B2221">
        <v>316</v>
      </c>
      <c r="C2221">
        <v>315</v>
      </c>
      <c r="D2221">
        <v>314</v>
      </c>
      <c r="E2221" t="s">
        <v>57</v>
      </c>
      <c r="F2221" t="s">
        <v>63</v>
      </c>
      <c r="G2221">
        <v>31</v>
      </c>
      <c r="H2221" t="s">
        <v>162</v>
      </c>
      <c r="I2221">
        <v>0</v>
      </c>
      <c r="J2221">
        <v>0</v>
      </c>
      <c r="K2221" t="s">
        <v>112</v>
      </c>
      <c r="L2221" t="s">
        <v>163</v>
      </c>
      <c r="M2221" t="s">
        <v>164</v>
      </c>
      <c r="N2221" t="s">
        <v>107</v>
      </c>
      <c r="O2221" t="s">
        <v>97</v>
      </c>
    </row>
    <row r="2222" spans="1:15" x14ac:dyDescent="0.2">
      <c r="A2222">
        <v>315</v>
      </c>
      <c r="B2222">
        <v>316</v>
      </c>
      <c r="C2222">
        <v>315</v>
      </c>
      <c r="D2222">
        <v>314</v>
      </c>
      <c r="E2222" t="s">
        <v>57</v>
      </c>
      <c r="F2222" t="s">
        <v>63</v>
      </c>
      <c r="G2222">
        <v>32</v>
      </c>
      <c r="H2222" t="s">
        <v>162</v>
      </c>
      <c r="I2222">
        <v>0</v>
      </c>
      <c r="J2222">
        <v>0</v>
      </c>
      <c r="K2222" t="s">
        <v>112</v>
      </c>
      <c r="L2222" t="s">
        <v>163</v>
      </c>
      <c r="M2222" t="s">
        <v>164</v>
      </c>
      <c r="N2222" t="s">
        <v>107</v>
      </c>
      <c r="O2222" t="s">
        <v>97</v>
      </c>
    </row>
    <row r="2223" spans="1:15" x14ac:dyDescent="0.2">
      <c r="A2223">
        <v>315</v>
      </c>
      <c r="B2223">
        <v>316</v>
      </c>
      <c r="C2223">
        <v>315</v>
      </c>
      <c r="D2223">
        <v>314</v>
      </c>
      <c r="E2223" t="s">
        <v>57</v>
      </c>
      <c r="F2223" t="s">
        <v>63</v>
      </c>
      <c r="G2223">
        <v>33</v>
      </c>
      <c r="H2223" t="s">
        <v>152</v>
      </c>
      <c r="I2223">
        <v>0</v>
      </c>
      <c r="J2223">
        <v>1</v>
      </c>
      <c r="K2223" t="s">
        <v>153</v>
      </c>
      <c r="L2223" t="s">
        <v>154</v>
      </c>
      <c r="M2223" t="s">
        <v>155</v>
      </c>
      <c r="N2223" t="s">
        <v>107</v>
      </c>
      <c r="O2223" t="s">
        <v>97</v>
      </c>
    </row>
    <row r="2224" spans="1:15" x14ac:dyDescent="0.2">
      <c r="A2224">
        <v>315</v>
      </c>
      <c r="B2224">
        <v>316</v>
      </c>
      <c r="C2224">
        <v>315</v>
      </c>
      <c r="D2224">
        <v>314</v>
      </c>
      <c r="E2224" t="s">
        <v>57</v>
      </c>
      <c r="F2224" t="s">
        <v>63</v>
      </c>
      <c r="G2224">
        <v>34</v>
      </c>
      <c r="H2224" t="s">
        <v>152</v>
      </c>
      <c r="I2224">
        <v>0</v>
      </c>
      <c r="J2224">
        <v>0</v>
      </c>
      <c r="K2224" t="s">
        <v>153</v>
      </c>
      <c r="L2224" t="s">
        <v>154</v>
      </c>
      <c r="M2224" t="s">
        <v>155</v>
      </c>
      <c r="N2224" t="s">
        <v>107</v>
      </c>
      <c r="O2224" t="s">
        <v>97</v>
      </c>
    </row>
    <row r="2225" spans="1:15" x14ac:dyDescent="0.2">
      <c r="A2225">
        <v>315</v>
      </c>
      <c r="B2225">
        <v>316</v>
      </c>
      <c r="C2225">
        <v>315</v>
      </c>
      <c r="D2225">
        <v>314</v>
      </c>
      <c r="E2225" t="s">
        <v>57</v>
      </c>
      <c r="F2225" t="s">
        <v>63</v>
      </c>
      <c r="G2225">
        <v>35</v>
      </c>
      <c r="H2225" t="s">
        <v>165</v>
      </c>
      <c r="I2225">
        <v>0</v>
      </c>
      <c r="J2225">
        <v>1</v>
      </c>
      <c r="K2225" t="s">
        <v>166</v>
      </c>
      <c r="L2225" t="s">
        <v>167</v>
      </c>
      <c r="M2225" t="s">
        <v>168</v>
      </c>
      <c r="N2225" t="s">
        <v>107</v>
      </c>
      <c r="O2225" t="s">
        <v>97</v>
      </c>
    </row>
    <row r="2226" spans="1:15" x14ac:dyDescent="0.2">
      <c r="A2226">
        <v>315</v>
      </c>
      <c r="B2226">
        <v>316</v>
      </c>
      <c r="C2226">
        <v>315</v>
      </c>
      <c r="D2226">
        <v>314</v>
      </c>
      <c r="E2226" t="s">
        <v>57</v>
      </c>
      <c r="F2226" t="s">
        <v>63</v>
      </c>
      <c r="G2226">
        <v>36</v>
      </c>
      <c r="H2226" t="s">
        <v>169</v>
      </c>
      <c r="I2226">
        <v>0</v>
      </c>
      <c r="J2226">
        <v>0</v>
      </c>
      <c r="K2226" t="e">
        <v>#N/A</v>
      </c>
      <c r="L2226" t="e">
        <v>#N/A</v>
      </c>
      <c r="M2226" t="e">
        <v>#N/A</v>
      </c>
      <c r="N2226" t="e">
        <v>#N/A</v>
      </c>
      <c r="O2226" t="s">
        <v>97</v>
      </c>
    </row>
    <row r="2227" spans="1:15" x14ac:dyDescent="0.2">
      <c r="A2227">
        <v>315</v>
      </c>
      <c r="B2227">
        <v>316</v>
      </c>
      <c r="C2227">
        <v>315</v>
      </c>
      <c r="D2227">
        <v>314</v>
      </c>
      <c r="E2227" t="s">
        <v>57</v>
      </c>
      <c r="F2227" t="s">
        <v>63</v>
      </c>
      <c r="G2227">
        <v>38</v>
      </c>
      <c r="H2227" t="s">
        <v>170</v>
      </c>
      <c r="I2227">
        <v>0</v>
      </c>
      <c r="J2227">
        <v>0</v>
      </c>
      <c r="K2227" t="s">
        <v>112</v>
      </c>
      <c r="L2227" t="s">
        <v>171</v>
      </c>
      <c r="M2227" t="s">
        <v>172</v>
      </c>
      <c r="N2227" t="s">
        <v>96</v>
      </c>
      <c r="O2227" t="s">
        <v>97</v>
      </c>
    </row>
    <row r="2228" spans="1:15" x14ac:dyDescent="0.2">
      <c r="A2228">
        <v>315</v>
      </c>
      <c r="B2228">
        <v>316</v>
      </c>
      <c r="C2228">
        <v>315</v>
      </c>
      <c r="D2228">
        <v>314</v>
      </c>
      <c r="E2228" t="s">
        <v>57</v>
      </c>
      <c r="F2228" t="s">
        <v>63</v>
      </c>
      <c r="G2228">
        <v>39</v>
      </c>
      <c r="H2228" t="s">
        <v>170</v>
      </c>
      <c r="I2228">
        <v>0</v>
      </c>
      <c r="J2228">
        <v>0</v>
      </c>
      <c r="K2228" t="s">
        <v>112</v>
      </c>
      <c r="L2228" t="s">
        <v>171</v>
      </c>
      <c r="M2228" t="s">
        <v>172</v>
      </c>
      <c r="N2228" t="s">
        <v>96</v>
      </c>
      <c r="O2228" t="s">
        <v>97</v>
      </c>
    </row>
    <row r="2229" spans="1:15" x14ac:dyDescent="0.2">
      <c r="A2229">
        <v>315</v>
      </c>
      <c r="B2229">
        <v>316</v>
      </c>
      <c r="C2229">
        <v>315</v>
      </c>
      <c r="D2229">
        <v>314</v>
      </c>
      <c r="E2229" t="s">
        <v>57</v>
      </c>
      <c r="F2229" t="s">
        <v>63</v>
      </c>
      <c r="G2229">
        <v>40</v>
      </c>
      <c r="H2229" t="s">
        <v>170</v>
      </c>
      <c r="I2229">
        <v>0</v>
      </c>
      <c r="J2229">
        <v>0</v>
      </c>
      <c r="K2229" t="s">
        <v>112</v>
      </c>
      <c r="L2229" t="s">
        <v>171</v>
      </c>
      <c r="M2229" t="s">
        <v>172</v>
      </c>
      <c r="N2229" t="s">
        <v>96</v>
      </c>
      <c r="O2229" t="s">
        <v>97</v>
      </c>
    </row>
    <row r="2230" spans="1:15" x14ac:dyDescent="0.2">
      <c r="A2230">
        <v>315</v>
      </c>
      <c r="B2230">
        <v>316</v>
      </c>
      <c r="C2230">
        <v>315</v>
      </c>
      <c r="D2230">
        <v>314</v>
      </c>
      <c r="E2230" t="s">
        <v>57</v>
      </c>
      <c r="F2230" t="s">
        <v>63</v>
      </c>
      <c r="G2230">
        <v>41</v>
      </c>
      <c r="H2230" t="s">
        <v>173</v>
      </c>
      <c r="I2230">
        <v>1</v>
      </c>
      <c r="J2230">
        <v>1</v>
      </c>
      <c r="K2230" t="s">
        <v>166</v>
      </c>
      <c r="L2230" t="s">
        <v>174</v>
      </c>
      <c r="M2230" t="s">
        <v>175</v>
      </c>
      <c r="N2230" t="s">
        <v>107</v>
      </c>
      <c r="O2230" t="s">
        <v>97</v>
      </c>
    </row>
    <row r="2231" spans="1:15" x14ac:dyDescent="0.2">
      <c r="A2231">
        <v>315</v>
      </c>
      <c r="B2231">
        <v>316</v>
      </c>
      <c r="C2231">
        <v>315</v>
      </c>
      <c r="D2231">
        <v>314</v>
      </c>
      <c r="E2231" t="s">
        <v>57</v>
      </c>
      <c r="F2231" t="s">
        <v>63</v>
      </c>
      <c r="G2231">
        <v>42</v>
      </c>
      <c r="H2231" t="s">
        <v>176</v>
      </c>
      <c r="I2231">
        <v>1</v>
      </c>
      <c r="J2231">
        <v>1</v>
      </c>
      <c r="K2231" t="s">
        <v>153</v>
      </c>
      <c r="L2231" t="s">
        <v>177</v>
      </c>
      <c r="M2231" t="s">
        <v>178</v>
      </c>
      <c r="N2231" t="s">
        <v>107</v>
      </c>
      <c r="O2231" t="s">
        <v>97</v>
      </c>
    </row>
    <row r="2232" spans="1:15" x14ac:dyDescent="0.2">
      <c r="A2232">
        <v>315</v>
      </c>
      <c r="B2232">
        <v>316</v>
      </c>
      <c r="C2232">
        <v>315</v>
      </c>
      <c r="D2232">
        <v>314</v>
      </c>
      <c r="E2232" t="s">
        <v>57</v>
      </c>
      <c r="F2232" t="s">
        <v>63</v>
      </c>
      <c r="G2232">
        <v>43</v>
      </c>
      <c r="H2232" t="s">
        <v>179</v>
      </c>
      <c r="I2232">
        <v>0</v>
      </c>
      <c r="J2232">
        <v>0</v>
      </c>
      <c r="K2232" t="s">
        <v>166</v>
      </c>
      <c r="L2232" t="s">
        <v>180</v>
      </c>
      <c r="M2232" t="s">
        <v>181</v>
      </c>
      <c r="N2232" t="s">
        <v>107</v>
      </c>
      <c r="O2232" t="s">
        <v>97</v>
      </c>
    </row>
    <row r="2233" spans="1:15" x14ac:dyDescent="0.2">
      <c r="A2233">
        <v>315</v>
      </c>
      <c r="B2233">
        <v>316</v>
      </c>
      <c r="C2233">
        <v>315</v>
      </c>
      <c r="D2233">
        <v>314</v>
      </c>
      <c r="E2233" t="s">
        <v>57</v>
      </c>
      <c r="F2233" t="s">
        <v>63</v>
      </c>
      <c r="G2233">
        <v>44</v>
      </c>
      <c r="H2233" t="s">
        <v>182</v>
      </c>
      <c r="I2233">
        <v>0</v>
      </c>
      <c r="J2233">
        <v>1</v>
      </c>
      <c r="K2233" t="s">
        <v>166</v>
      </c>
      <c r="L2233" t="s">
        <v>183</v>
      </c>
      <c r="M2233" t="s">
        <v>184</v>
      </c>
      <c r="N2233" t="s">
        <v>107</v>
      </c>
      <c r="O2233" t="s">
        <v>97</v>
      </c>
    </row>
    <row r="2234" spans="1:15" x14ac:dyDescent="0.2">
      <c r="A2234">
        <v>315</v>
      </c>
      <c r="B2234">
        <v>316</v>
      </c>
      <c r="C2234">
        <v>315</v>
      </c>
      <c r="D2234">
        <v>314</v>
      </c>
      <c r="E2234" t="s">
        <v>57</v>
      </c>
      <c r="F2234" t="s">
        <v>63</v>
      </c>
      <c r="G2234">
        <v>45</v>
      </c>
      <c r="H2234" t="s">
        <v>185</v>
      </c>
      <c r="I2234">
        <v>1</v>
      </c>
      <c r="J2234">
        <v>1</v>
      </c>
      <c r="K2234" t="s">
        <v>166</v>
      </c>
      <c r="L2234" t="s">
        <v>186</v>
      </c>
      <c r="M2234" t="s">
        <v>139</v>
      </c>
      <c r="N2234" t="s">
        <v>107</v>
      </c>
      <c r="O2234" t="s">
        <v>97</v>
      </c>
    </row>
    <row r="2235" spans="1:15" x14ac:dyDescent="0.2">
      <c r="A2235">
        <v>315</v>
      </c>
      <c r="B2235">
        <v>316</v>
      </c>
      <c r="C2235">
        <v>315</v>
      </c>
      <c r="D2235">
        <v>314</v>
      </c>
      <c r="E2235" t="s">
        <v>57</v>
      </c>
      <c r="F2235" t="s">
        <v>63</v>
      </c>
      <c r="G2235">
        <v>47</v>
      </c>
      <c r="H2235" t="s">
        <v>187</v>
      </c>
      <c r="I2235">
        <v>0.2</v>
      </c>
      <c r="J2235">
        <v>0.2</v>
      </c>
      <c r="K2235" t="s">
        <v>93</v>
      </c>
      <c r="L2235" t="s">
        <v>188</v>
      </c>
      <c r="M2235" t="s">
        <v>95</v>
      </c>
      <c r="N2235" t="s">
        <v>96</v>
      </c>
      <c r="O2235" t="s">
        <v>97</v>
      </c>
    </row>
    <row r="2236" spans="1:15" x14ac:dyDescent="0.2">
      <c r="A2236">
        <v>315</v>
      </c>
      <c r="B2236">
        <v>316</v>
      </c>
      <c r="C2236">
        <v>315</v>
      </c>
      <c r="D2236">
        <v>314</v>
      </c>
      <c r="E2236" t="s">
        <v>57</v>
      </c>
      <c r="F2236" t="s">
        <v>63</v>
      </c>
      <c r="G2236">
        <v>48</v>
      </c>
      <c r="H2236" t="s">
        <v>189</v>
      </c>
      <c r="I2236">
        <v>0</v>
      </c>
      <c r="J2236">
        <v>0</v>
      </c>
      <c r="K2236" t="s">
        <v>93</v>
      </c>
      <c r="L2236" t="s">
        <v>190</v>
      </c>
      <c r="M2236" t="s">
        <v>95</v>
      </c>
      <c r="N2236" t="s">
        <v>96</v>
      </c>
      <c r="O2236" t="s">
        <v>97</v>
      </c>
    </row>
    <row r="2237" spans="1:15" x14ac:dyDescent="0.2">
      <c r="A2237">
        <v>315</v>
      </c>
      <c r="B2237">
        <v>316</v>
      </c>
      <c r="C2237">
        <v>315</v>
      </c>
      <c r="D2237">
        <v>314</v>
      </c>
      <c r="E2237" t="s">
        <v>57</v>
      </c>
      <c r="F2237" t="s">
        <v>63</v>
      </c>
      <c r="G2237">
        <v>49</v>
      </c>
      <c r="H2237" t="s">
        <v>191</v>
      </c>
      <c r="I2237">
        <v>0.2</v>
      </c>
      <c r="J2237">
        <v>0.2</v>
      </c>
      <c r="K2237" t="s">
        <v>93</v>
      </c>
      <c r="L2237" t="s">
        <v>192</v>
      </c>
      <c r="M2237" t="s">
        <v>95</v>
      </c>
      <c r="N2237" t="s">
        <v>96</v>
      </c>
      <c r="O2237" t="s">
        <v>97</v>
      </c>
    </row>
    <row r="2238" spans="1:15" x14ac:dyDescent="0.2">
      <c r="A2238">
        <v>315</v>
      </c>
      <c r="B2238">
        <v>316</v>
      </c>
      <c r="C2238">
        <v>315</v>
      </c>
      <c r="D2238">
        <v>314</v>
      </c>
      <c r="E2238" t="s">
        <v>57</v>
      </c>
      <c r="F2238" t="s">
        <v>63</v>
      </c>
      <c r="G2238">
        <v>50</v>
      </c>
      <c r="H2238" t="s">
        <v>193</v>
      </c>
      <c r="I2238">
        <v>0</v>
      </c>
      <c r="J2238">
        <v>0</v>
      </c>
      <c r="K2238" t="s">
        <v>93</v>
      </c>
      <c r="L2238" t="s">
        <v>194</v>
      </c>
      <c r="M2238" t="s">
        <v>95</v>
      </c>
      <c r="N2238" t="s">
        <v>96</v>
      </c>
      <c r="O2238" t="s">
        <v>97</v>
      </c>
    </row>
    <row r="2239" spans="1:15" x14ac:dyDescent="0.2">
      <c r="A2239">
        <v>315</v>
      </c>
      <c r="B2239">
        <v>316</v>
      </c>
      <c r="C2239">
        <v>315</v>
      </c>
      <c r="D2239">
        <v>314</v>
      </c>
      <c r="E2239" t="s">
        <v>57</v>
      </c>
      <c r="F2239" t="s">
        <v>63</v>
      </c>
      <c r="G2239">
        <v>51</v>
      </c>
      <c r="H2239" t="s">
        <v>193</v>
      </c>
      <c r="I2239">
        <v>0.1</v>
      </c>
      <c r="J2239">
        <v>0.1</v>
      </c>
      <c r="K2239" t="s">
        <v>93</v>
      </c>
      <c r="L2239" t="s">
        <v>194</v>
      </c>
      <c r="M2239" t="s">
        <v>95</v>
      </c>
      <c r="N2239" t="s">
        <v>96</v>
      </c>
      <c r="O2239" t="s">
        <v>97</v>
      </c>
    </row>
    <row r="2240" spans="1:15" x14ac:dyDescent="0.2">
      <c r="A2240">
        <v>315</v>
      </c>
      <c r="B2240">
        <v>316</v>
      </c>
      <c r="C2240">
        <v>315</v>
      </c>
      <c r="D2240">
        <v>314</v>
      </c>
      <c r="E2240" t="s">
        <v>57</v>
      </c>
      <c r="F2240" t="s">
        <v>63</v>
      </c>
      <c r="G2240">
        <v>97</v>
      </c>
      <c r="H2240" t="s">
        <v>152</v>
      </c>
      <c r="I2240">
        <v>0.25</v>
      </c>
      <c r="J2240">
        <v>0.25</v>
      </c>
      <c r="K2240" t="s">
        <v>153</v>
      </c>
      <c r="L2240" t="s">
        <v>154</v>
      </c>
      <c r="M2240" t="s">
        <v>155</v>
      </c>
      <c r="N2240" t="s">
        <v>107</v>
      </c>
      <c r="O2240" t="s">
        <v>97</v>
      </c>
    </row>
    <row r="2241" spans="1:15" x14ac:dyDescent="0.2">
      <c r="A2241">
        <v>315</v>
      </c>
      <c r="B2241">
        <v>316</v>
      </c>
      <c r="C2241">
        <v>315</v>
      </c>
      <c r="D2241">
        <v>314</v>
      </c>
      <c r="E2241" t="s">
        <v>57</v>
      </c>
      <c r="F2241" t="s">
        <v>63</v>
      </c>
      <c r="G2241">
        <v>96</v>
      </c>
      <c r="H2241" t="s">
        <v>152</v>
      </c>
      <c r="I2241">
        <v>0</v>
      </c>
      <c r="J2241">
        <v>0</v>
      </c>
      <c r="K2241" t="s">
        <v>153</v>
      </c>
      <c r="L2241" t="s">
        <v>154</v>
      </c>
      <c r="M2241" t="s">
        <v>155</v>
      </c>
      <c r="N2241" t="s">
        <v>107</v>
      </c>
      <c r="O2241" t="s">
        <v>97</v>
      </c>
    </row>
    <row r="2242" spans="1:15" x14ac:dyDescent="0.2">
      <c r="A2242">
        <v>315</v>
      </c>
      <c r="B2242">
        <v>316</v>
      </c>
      <c r="C2242">
        <v>315</v>
      </c>
      <c r="D2242">
        <v>314</v>
      </c>
      <c r="E2242" t="s">
        <v>57</v>
      </c>
      <c r="F2242" t="s">
        <v>63</v>
      </c>
      <c r="G2242">
        <v>99</v>
      </c>
      <c r="H2242" t="s">
        <v>152</v>
      </c>
      <c r="I2242">
        <v>0</v>
      </c>
      <c r="J2242">
        <v>0</v>
      </c>
      <c r="K2242" t="s">
        <v>153</v>
      </c>
      <c r="L2242" t="s">
        <v>154</v>
      </c>
      <c r="M2242" t="s">
        <v>155</v>
      </c>
      <c r="N2242" t="s">
        <v>107</v>
      </c>
      <c r="O2242" t="s">
        <v>97</v>
      </c>
    </row>
    <row r="2243" spans="1:15" x14ac:dyDescent="0.2">
      <c r="A2243">
        <v>315</v>
      </c>
      <c r="B2243">
        <v>316</v>
      </c>
      <c r="C2243">
        <v>315</v>
      </c>
      <c r="D2243">
        <v>314</v>
      </c>
      <c r="E2243" t="s">
        <v>57</v>
      </c>
      <c r="F2243" t="s">
        <v>63</v>
      </c>
      <c r="G2243">
        <v>98</v>
      </c>
      <c r="H2243" t="s">
        <v>204</v>
      </c>
      <c r="I2243">
        <v>0</v>
      </c>
      <c r="J2243">
        <v>1</v>
      </c>
      <c r="K2243" t="s">
        <v>122</v>
      </c>
      <c r="L2243" t="s">
        <v>205</v>
      </c>
      <c r="M2243" t="s">
        <v>206</v>
      </c>
      <c r="N2243" t="s">
        <v>207</v>
      </c>
      <c r="O2243" t="s">
        <v>97</v>
      </c>
    </row>
    <row r="2244" spans="1:15" x14ac:dyDescent="0.2">
      <c r="A2244">
        <v>300</v>
      </c>
      <c r="B2244">
        <v>301</v>
      </c>
      <c r="C2244">
        <v>300</v>
      </c>
      <c r="D2244">
        <v>299</v>
      </c>
      <c r="E2244" t="s">
        <v>57</v>
      </c>
      <c r="F2244" t="s">
        <v>62</v>
      </c>
      <c r="G2244">
        <v>1</v>
      </c>
      <c r="H2244" t="s">
        <v>92</v>
      </c>
      <c r="I2244">
        <v>0</v>
      </c>
      <c r="J2244">
        <v>0.2</v>
      </c>
      <c r="K2244" t="s">
        <v>93</v>
      </c>
      <c r="L2244" t="s">
        <v>94</v>
      </c>
      <c r="M2244" t="s">
        <v>95</v>
      </c>
      <c r="N2244" t="s">
        <v>96</v>
      </c>
      <c r="O2244" t="s">
        <v>97</v>
      </c>
    </row>
    <row r="2245" spans="1:15" x14ac:dyDescent="0.2">
      <c r="A2245">
        <v>300</v>
      </c>
      <c r="B2245">
        <v>301</v>
      </c>
      <c r="C2245">
        <v>300</v>
      </c>
      <c r="D2245">
        <v>299</v>
      </c>
      <c r="E2245" t="s">
        <v>57</v>
      </c>
      <c r="F2245" t="s">
        <v>62</v>
      </c>
      <c r="G2245">
        <v>2</v>
      </c>
      <c r="H2245" t="s">
        <v>98</v>
      </c>
      <c r="I2245">
        <v>0.25</v>
      </c>
      <c r="J2245">
        <v>0.5</v>
      </c>
      <c r="K2245" t="s">
        <v>93</v>
      </c>
      <c r="L2245" t="s">
        <v>99</v>
      </c>
      <c r="M2245" t="s">
        <v>95</v>
      </c>
      <c r="N2245" t="s">
        <v>96</v>
      </c>
      <c r="O2245" t="s">
        <v>97</v>
      </c>
    </row>
    <row r="2246" spans="1:15" x14ac:dyDescent="0.2">
      <c r="A2246">
        <v>300</v>
      </c>
      <c r="B2246">
        <v>301</v>
      </c>
      <c r="C2246">
        <v>300</v>
      </c>
      <c r="D2246">
        <v>299</v>
      </c>
      <c r="E2246" t="s">
        <v>57</v>
      </c>
      <c r="F2246" t="s">
        <v>62</v>
      </c>
      <c r="G2246">
        <v>3</v>
      </c>
      <c r="H2246" t="s">
        <v>100</v>
      </c>
      <c r="I2246">
        <v>0.5</v>
      </c>
      <c r="J2246">
        <v>1</v>
      </c>
      <c r="K2246" t="s">
        <v>101</v>
      </c>
      <c r="L2246" t="s">
        <v>102</v>
      </c>
      <c r="M2246" t="s">
        <v>103</v>
      </c>
      <c r="N2246" t="s">
        <v>96</v>
      </c>
      <c r="O2246" t="s">
        <v>97</v>
      </c>
    </row>
    <row r="2247" spans="1:15" x14ac:dyDescent="0.2">
      <c r="A2247">
        <v>300</v>
      </c>
      <c r="B2247">
        <v>301</v>
      </c>
      <c r="C2247">
        <v>300</v>
      </c>
      <c r="D2247">
        <v>299</v>
      </c>
      <c r="E2247" t="s">
        <v>57</v>
      </c>
      <c r="F2247" t="s">
        <v>62</v>
      </c>
      <c r="G2247">
        <v>4</v>
      </c>
      <c r="H2247" t="s">
        <v>104</v>
      </c>
      <c r="I2247">
        <v>0</v>
      </c>
      <c r="J2247">
        <v>1</v>
      </c>
      <c r="K2247" t="s">
        <v>101</v>
      </c>
      <c r="L2247" t="s">
        <v>105</v>
      </c>
      <c r="M2247" t="s">
        <v>106</v>
      </c>
      <c r="N2247" t="s">
        <v>107</v>
      </c>
      <c r="O2247" t="s">
        <v>97</v>
      </c>
    </row>
    <row r="2248" spans="1:15" x14ac:dyDescent="0.2">
      <c r="A2248">
        <v>300</v>
      </c>
      <c r="B2248">
        <v>301</v>
      </c>
      <c r="C2248">
        <v>300</v>
      </c>
      <c r="D2248">
        <v>299</v>
      </c>
      <c r="E2248" t="s">
        <v>57</v>
      </c>
      <c r="F2248" t="s">
        <v>62</v>
      </c>
      <c r="G2248">
        <v>5</v>
      </c>
      <c r="H2248" t="s">
        <v>108</v>
      </c>
      <c r="I2248">
        <v>0.5</v>
      </c>
      <c r="J2248">
        <v>1</v>
      </c>
      <c r="K2248" t="s">
        <v>101</v>
      </c>
      <c r="L2248" t="s">
        <v>109</v>
      </c>
      <c r="M2248" t="s">
        <v>110</v>
      </c>
      <c r="N2248" t="s">
        <v>107</v>
      </c>
      <c r="O2248" t="s">
        <v>97</v>
      </c>
    </row>
    <row r="2249" spans="1:15" x14ac:dyDescent="0.2">
      <c r="A2249">
        <v>300</v>
      </c>
      <c r="B2249">
        <v>301</v>
      </c>
      <c r="C2249">
        <v>300</v>
      </c>
      <c r="D2249">
        <v>299</v>
      </c>
      <c r="E2249" t="s">
        <v>57</v>
      </c>
      <c r="F2249" t="s">
        <v>62</v>
      </c>
      <c r="G2249">
        <v>9</v>
      </c>
      <c r="H2249" t="s">
        <v>111</v>
      </c>
      <c r="I2249">
        <v>0.5</v>
      </c>
      <c r="J2249">
        <v>0.5</v>
      </c>
      <c r="K2249" t="s">
        <v>112</v>
      </c>
      <c r="L2249" t="s">
        <v>113</v>
      </c>
      <c r="M2249" t="s">
        <v>114</v>
      </c>
      <c r="N2249" t="s">
        <v>96</v>
      </c>
      <c r="O2249" t="s">
        <v>97</v>
      </c>
    </row>
    <row r="2250" spans="1:15" x14ac:dyDescent="0.2">
      <c r="A2250">
        <v>300</v>
      </c>
      <c r="B2250">
        <v>301</v>
      </c>
      <c r="C2250">
        <v>300</v>
      </c>
      <c r="D2250">
        <v>299</v>
      </c>
      <c r="E2250" t="s">
        <v>57</v>
      </c>
      <c r="F2250" t="s">
        <v>62</v>
      </c>
      <c r="G2250">
        <v>10</v>
      </c>
      <c r="H2250" t="s">
        <v>115</v>
      </c>
      <c r="I2250">
        <v>0.5</v>
      </c>
      <c r="J2250">
        <v>0.5</v>
      </c>
      <c r="K2250" t="s">
        <v>112</v>
      </c>
      <c r="L2250" t="s">
        <v>116</v>
      </c>
      <c r="M2250" t="s">
        <v>117</v>
      </c>
      <c r="N2250" t="s">
        <v>96</v>
      </c>
      <c r="O2250" t="s">
        <v>97</v>
      </c>
    </row>
    <row r="2251" spans="1:15" x14ac:dyDescent="0.2">
      <c r="A2251">
        <v>300</v>
      </c>
      <c r="B2251">
        <v>301</v>
      </c>
      <c r="C2251">
        <v>300</v>
      </c>
      <c r="D2251">
        <v>299</v>
      </c>
      <c r="E2251" t="s">
        <v>57</v>
      </c>
      <c r="F2251" t="s">
        <v>62</v>
      </c>
      <c r="G2251">
        <v>11</v>
      </c>
      <c r="H2251" t="s">
        <v>118</v>
      </c>
      <c r="I2251">
        <v>1</v>
      </c>
      <c r="J2251">
        <v>1</v>
      </c>
      <c r="K2251" t="s">
        <v>112</v>
      </c>
      <c r="L2251" t="s">
        <v>119</v>
      </c>
      <c r="M2251" t="s">
        <v>120</v>
      </c>
      <c r="N2251" t="s">
        <v>107</v>
      </c>
      <c r="O2251" t="s">
        <v>97</v>
      </c>
    </row>
    <row r="2252" spans="1:15" x14ac:dyDescent="0.2">
      <c r="A2252">
        <v>300</v>
      </c>
      <c r="B2252">
        <v>301</v>
      </c>
      <c r="C2252">
        <v>300</v>
      </c>
      <c r="D2252">
        <v>299</v>
      </c>
      <c r="E2252" t="s">
        <v>57</v>
      </c>
      <c r="F2252" t="s">
        <v>62</v>
      </c>
      <c r="G2252">
        <v>12</v>
      </c>
      <c r="H2252" t="s">
        <v>121</v>
      </c>
      <c r="I2252">
        <v>0.5</v>
      </c>
      <c r="J2252">
        <v>0.5</v>
      </c>
      <c r="K2252" t="s">
        <v>122</v>
      </c>
      <c r="L2252" t="s">
        <v>113</v>
      </c>
      <c r="M2252" t="s">
        <v>123</v>
      </c>
      <c r="N2252" t="s">
        <v>96</v>
      </c>
      <c r="O2252" t="s">
        <v>97</v>
      </c>
    </row>
    <row r="2253" spans="1:15" x14ac:dyDescent="0.2">
      <c r="A2253">
        <v>300</v>
      </c>
      <c r="B2253">
        <v>301</v>
      </c>
      <c r="C2253">
        <v>300</v>
      </c>
      <c r="D2253">
        <v>299</v>
      </c>
      <c r="E2253" t="s">
        <v>57</v>
      </c>
      <c r="F2253" t="s">
        <v>62</v>
      </c>
      <c r="G2253">
        <v>13</v>
      </c>
      <c r="H2253" t="s">
        <v>124</v>
      </c>
      <c r="I2253">
        <v>0</v>
      </c>
      <c r="J2253">
        <v>0.5</v>
      </c>
      <c r="K2253" t="s">
        <v>122</v>
      </c>
      <c r="L2253" t="s">
        <v>125</v>
      </c>
      <c r="M2253" t="s">
        <v>126</v>
      </c>
      <c r="N2253" t="s">
        <v>96</v>
      </c>
      <c r="O2253" t="s">
        <v>97</v>
      </c>
    </row>
    <row r="2254" spans="1:15" x14ac:dyDescent="0.2">
      <c r="A2254">
        <v>300</v>
      </c>
      <c r="B2254">
        <v>301</v>
      </c>
      <c r="C2254">
        <v>300</v>
      </c>
      <c r="D2254">
        <v>299</v>
      </c>
      <c r="E2254" t="s">
        <v>57</v>
      </c>
      <c r="F2254" t="s">
        <v>62</v>
      </c>
      <c r="G2254">
        <v>14</v>
      </c>
      <c r="H2254" t="s">
        <v>127</v>
      </c>
      <c r="I2254">
        <v>1</v>
      </c>
      <c r="J2254">
        <v>1</v>
      </c>
      <c r="K2254" t="s">
        <v>122</v>
      </c>
      <c r="L2254" t="s">
        <v>119</v>
      </c>
      <c r="M2254" t="s">
        <v>128</v>
      </c>
      <c r="N2254" t="s">
        <v>107</v>
      </c>
      <c r="O2254" t="s">
        <v>97</v>
      </c>
    </row>
    <row r="2255" spans="1:15" x14ac:dyDescent="0.2">
      <c r="A2255">
        <v>300</v>
      </c>
      <c r="B2255">
        <v>301</v>
      </c>
      <c r="C2255">
        <v>300</v>
      </c>
      <c r="D2255">
        <v>299</v>
      </c>
      <c r="E2255" t="s">
        <v>57</v>
      </c>
      <c r="F2255" t="s">
        <v>62</v>
      </c>
      <c r="G2255">
        <v>15</v>
      </c>
      <c r="H2255" t="s">
        <v>129</v>
      </c>
      <c r="I2255">
        <v>0</v>
      </c>
      <c r="J2255">
        <v>1</v>
      </c>
      <c r="K2255" t="s">
        <v>130</v>
      </c>
      <c r="L2255" t="s">
        <v>131</v>
      </c>
      <c r="M2255" t="s">
        <v>132</v>
      </c>
      <c r="N2255" t="s">
        <v>107</v>
      </c>
      <c r="O2255" t="s">
        <v>97</v>
      </c>
    </row>
    <row r="2256" spans="1:15" x14ac:dyDescent="0.2">
      <c r="A2256">
        <v>300</v>
      </c>
      <c r="B2256">
        <v>301</v>
      </c>
      <c r="C2256">
        <v>300</v>
      </c>
      <c r="D2256">
        <v>299</v>
      </c>
      <c r="E2256" t="s">
        <v>57</v>
      </c>
      <c r="F2256" t="s">
        <v>62</v>
      </c>
      <c r="G2256">
        <v>16</v>
      </c>
      <c r="H2256" t="s">
        <v>133</v>
      </c>
      <c r="I2256">
        <v>0</v>
      </c>
      <c r="J2256">
        <v>0</v>
      </c>
      <c r="K2256" t="e">
        <v>#N/A</v>
      </c>
      <c r="L2256" t="e">
        <v>#N/A</v>
      </c>
      <c r="M2256" t="e">
        <v>#N/A</v>
      </c>
      <c r="N2256" t="e">
        <v>#N/A</v>
      </c>
      <c r="O2256" t="s">
        <v>97</v>
      </c>
    </row>
    <row r="2257" spans="1:15" x14ac:dyDescent="0.2">
      <c r="A2257">
        <v>300</v>
      </c>
      <c r="B2257">
        <v>301</v>
      </c>
      <c r="C2257">
        <v>300</v>
      </c>
      <c r="D2257">
        <v>299</v>
      </c>
      <c r="E2257" t="s">
        <v>57</v>
      </c>
      <c r="F2257" t="s">
        <v>62</v>
      </c>
      <c r="G2257">
        <v>17</v>
      </c>
      <c r="H2257" t="s">
        <v>134</v>
      </c>
      <c r="I2257">
        <v>1</v>
      </c>
      <c r="J2257">
        <v>1</v>
      </c>
      <c r="K2257" t="s">
        <v>112</v>
      </c>
      <c r="L2257" t="s">
        <v>135</v>
      </c>
      <c r="M2257" t="s">
        <v>136</v>
      </c>
      <c r="N2257" t="s">
        <v>107</v>
      </c>
      <c r="O2257" t="s">
        <v>97</v>
      </c>
    </row>
    <row r="2258" spans="1:15" x14ac:dyDescent="0.2">
      <c r="A2258">
        <v>300</v>
      </c>
      <c r="B2258">
        <v>301</v>
      </c>
      <c r="C2258">
        <v>300</v>
      </c>
      <c r="D2258">
        <v>299</v>
      </c>
      <c r="E2258" t="s">
        <v>57</v>
      </c>
      <c r="F2258" t="s">
        <v>62</v>
      </c>
      <c r="G2258">
        <v>18</v>
      </c>
      <c r="H2258" t="s">
        <v>137</v>
      </c>
      <c r="I2258">
        <v>1</v>
      </c>
      <c r="J2258">
        <v>1</v>
      </c>
      <c r="K2258" t="s">
        <v>112</v>
      </c>
      <c r="L2258" t="s">
        <v>138</v>
      </c>
      <c r="M2258" t="s">
        <v>139</v>
      </c>
      <c r="N2258" t="s">
        <v>107</v>
      </c>
      <c r="O2258" t="s">
        <v>97</v>
      </c>
    </row>
    <row r="2259" spans="1:15" x14ac:dyDescent="0.2">
      <c r="A2259">
        <v>300</v>
      </c>
      <c r="B2259">
        <v>301</v>
      </c>
      <c r="C2259">
        <v>300</v>
      </c>
      <c r="D2259">
        <v>299</v>
      </c>
      <c r="E2259" t="s">
        <v>57</v>
      </c>
      <c r="F2259" t="s">
        <v>62</v>
      </c>
      <c r="G2259">
        <v>19</v>
      </c>
      <c r="H2259" t="s">
        <v>140</v>
      </c>
      <c r="I2259">
        <v>1</v>
      </c>
      <c r="J2259">
        <v>1</v>
      </c>
      <c r="K2259" t="s">
        <v>122</v>
      </c>
      <c r="L2259" t="s">
        <v>141</v>
      </c>
      <c r="M2259" t="s">
        <v>142</v>
      </c>
      <c r="N2259" t="s">
        <v>107</v>
      </c>
      <c r="O2259" t="s">
        <v>97</v>
      </c>
    </row>
    <row r="2260" spans="1:15" x14ac:dyDescent="0.2">
      <c r="A2260">
        <v>300</v>
      </c>
      <c r="B2260">
        <v>301</v>
      </c>
      <c r="C2260">
        <v>300</v>
      </c>
      <c r="D2260">
        <v>299</v>
      </c>
      <c r="E2260" t="s">
        <v>57</v>
      </c>
      <c r="F2260" t="s">
        <v>62</v>
      </c>
      <c r="G2260">
        <v>20</v>
      </c>
      <c r="H2260" t="s">
        <v>143</v>
      </c>
      <c r="I2260">
        <v>1</v>
      </c>
      <c r="J2260">
        <v>1</v>
      </c>
      <c r="K2260" t="s">
        <v>122</v>
      </c>
      <c r="L2260" t="s">
        <v>144</v>
      </c>
      <c r="M2260" t="s">
        <v>145</v>
      </c>
      <c r="N2260" t="s">
        <v>107</v>
      </c>
      <c r="O2260" t="s">
        <v>97</v>
      </c>
    </row>
    <row r="2261" spans="1:15" x14ac:dyDescent="0.2">
      <c r="A2261">
        <v>300</v>
      </c>
      <c r="B2261">
        <v>301</v>
      </c>
      <c r="C2261">
        <v>300</v>
      </c>
      <c r="D2261">
        <v>299</v>
      </c>
      <c r="E2261" t="s">
        <v>57</v>
      </c>
      <c r="F2261" t="s">
        <v>62</v>
      </c>
      <c r="G2261">
        <v>21</v>
      </c>
      <c r="H2261" t="s">
        <v>146</v>
      </c>
      <c r="I2261">
        <v>1</v>
      </c>
      <c r="J2261">
        <v>1</v>
      </c>
      <c r="K2261" t="s">
        <v>147</v>
      </c>
      <c r="L2261" t="s">
        <v>148</v>
      </c>
      <c r="M2261" t="s">
        <v>149</v>
      </c>
      <c r="N2261" t="s">
        <v>96</v>
      </c>
      <c r="O2261" t="s">
        <v>97</v>
      </c>
    </row>
    <row r="2262" spans="1:15" x14ac:dyDescent="0.2">
      <c r="A2262">
        <v>300</v>
      </c>
      <c r="B2262">
        <v>301</v>
      </c>
      <c r="C2262">
        <v>300</v>
      </c>
      <c r="D2262">
        <v>299</v>
      </c>
      <c r="E2262" t="s">
        <v>57</v>
      </c>
      <c r="F2262" t="s">
        <v>62</v>
      </c>
      <c r="G2262">
        <v>22</v>
      </c>
      <c r="H2262" t="s">
        <v>150</v>
      </c>
      <c r="I2262">
        <v>1</v>
      </c>
      <c r="J2262">
        <v>1</v>
      </c>
      <c r="K2262" t="s">
        <v>147</v>
      </c>
      <c r="L2262" t="s">
        <v>151</v>
      </c>
      <c r="M2262" t="s">
        <v>149</v>
      </c>
      <c r="N2262" t="s">
        <v>107</v>
      </c>
      <c r="O2262" t="s">
        <v>97</v>
      </c>
    </row>
    <row r="2263" spans="1:15" x14ac:dyDescent="0.2">
      <c r="A2263">
        <v>300</v>
      </c>
      <c r="B2263">
        <v>301</v>
      </c>
      <c r="C2263">
        <v>300</v>
      </c>
      <c r="D2263">
        <v>299</v>
      </c>
      <c r="E2263" t="s">
        <v>57</v>
      </c>
      <c r="F2263" t="s">
        <v>62</v>
      </c>
      <c r="G2263">
        <v>23</v>
      </c>
      <c r="H2263" t="s">
        <v>152</v>
      </c>
      <c r="I2263">
        <v>0</v>
      </c>
      <c r="J2263">
        <v>0</v>
      </c>
      <c r="K2263" t="s">
        <v>153</v>
      </c>
      <c r="L2263" t="s">
        <v>154</v>
      </c>
      <c r="M2263" t="s">
        <v>155</v>
      </c>
      <c r="N2263" t="s">
        <v>107</v>
      </c>
      <c r="O2263" t="s">
        <v>97</v>
      </c>
    </row>
    <row r="2264" spans="1:15" x14ac:dyDescent="0.2">
      <c r="A2264">
        <v>300</v>
      </c>
      <c r="B2264">
        <v>301</v>
      </c>
      <c r="C2264">
        <v>300</v>
      </c>
      <c r="D2264">
        <v>299</v>
      </c>
      <c r="E2264" t="s">
        <v>57</v>
      </c>
      <c r="F2264" t="s">
        <v>62</v>
      </c>
      <c r="G2264">
        <v>24</v>
      </c>
      <c r="H2264" t="s">
        <v>156</v>
      </c>
      <c r="I2264">
        <v>0.5</v>
      </c>
      <c r="J2264">
        <v>0.5</v>
      </c>
      <c r="K2264" t="s">
        <v>122</v>
      </c>
      <c r="L2264" t="s">
        <v>157</v>
      </c>
      <c r="M2264" t="s">
        <v>158</v>
      </c>
      <c r="N2264" t="s">
        <v>107</v>
      </c>
      <c r="O2264" t="s">
        <v>97</v>
      </c>
    </row>
    <row r="2265" spans="1:15" x14ac:dyDescent="0.2">
      <c r="A2265">
        <v>300</v>
      </c>
      <c r="B2265">
        <v>301</v>
      </c>
      <c r="C2265">
        <v>300</v>
      </c>
      <c r="D2265">
        <v>299</v>
      </c>
      <c r="E2265" t="s">
        <v>57</v>
      </c>
      <c r="F2265" t="s">
        <v>62</v>
      </c>
      <c r="G2265">
        <v>25</v>
      </c>
      <c r="H2265" t="s">
        <v>156</v>
      </c>
      <c r="I2265">
        <v>0</v>
      </c>
      <c r="J2265">
        <v>0.5</v>
      </c>
      <c r="K2265" t="s">
        <v>122</v>
      </c>
      <c r="L2265" t="s">
        <v>157</v>
      </c>
      <c r="M2265" t="s">
        <v>158</v>
      </c>
      <c r="N2265" t="s">
        <v>107</v>
      </c>
      <c r="O2265" t="s">
        <v>97</v>
      </c>
    </row>
    <row r="2266" spans="1:15" x14ac:dyDescent="0.2">
      <c r="A2266">
        <v>300</v>
      </c>
      <c r="B2266">
        <v>301</v>
      </c>
      <c r="C2266">
        <v>300</v>
      </c>
      <c r="D2266">
        <v>299</v>
      </c>
      <c r="E2266" t="s">
        <v>57</v>
      </c>
      <c r="F2266" t="s">
        <v>62</v>
      </c>
      <c r="G2266">
        <v>26</v>
      </c>
      <c r="H2266" t="s">
        <v>152</v>
      </c>
      <c r="I2266">
        <v>0</v>
      </c>
      <c r="J2266">
        <v>0</v>
      </c>
      <c r="K2266" t="s">
        <v>153</v>
      </c>
      <c r="L2266" t="s">
        <v>154</v>
      </c>
      <c r="M2266" t="s">
        <v>155</v>
      </c>
      <c r="N2266" t="s">
        <v>107</v>
      </c>
      <c r="O2266" t="s">
        <v>97</v>
      </c>
    </row>
    <row r="2267" spans="1:15" x14ac:dyDescent="0.2">
      <c r="A2267">
        <v>300</v>
      </c>
      <c r="B2267">
        <v>301</v>
      </c>
      <c r="C2267">
        <v>300</v>
      </c>
      <c r="D2267">
        <v>299</v>
      </c>
      <c r="E2267" t="s">
        <v>57</v>
      </c>
      <c r="F2267" t="s">
        <v>62</v>
      </c>
      <c r="G2267">
        <v>27</v>
      </c>
      <c r="H2267" t="s">
        <v>159</v>
      </c>
      <c r="I2267">
        <v>0.5</v>
      </c>
      <c r="J2267">
        <v>0.5</v>
      </c>
      <c r="K2267" t="s">
        <v>122</v>
      </c>
      <c r="L2267" t="s">
        <v>160</v>
      </c>
      <c r="M2267" t="s">
        <v>161</v>
      </c>
      <c r="N2267" t="s">
        <v>107</v>
      </c>
      <c r="O2267" t="s">
        <v>97</v>
      </c>
    </row>
    <row r="2268" spans="1:15" x14ac:dyDescent="0.2">
      <c r="A2268">
        <v>300</v>
      </c>
      <c r="B2268">
        <v>301</v>
      </c>
      <c r="C2268">
        <v>300</v>
      </c>
      <c r="D2268">
        <v>299</v>
      </c>
      <c r="E2268" t="s">
        <v>57</v>
      </c>
      <c r="F2268" t="s">
        <v>62</v>
      </c>
      <c r="G2268">
        <v>28</v>
      </c>
      <c r="H2268" t="s">
        <v>159</v>
      </c>
      <c r="I2268">
        <v>0</v>
      </c>
      <c r="J2268">
        <v>0.5</v>
      </c>
      <c r="K2268" t="s">
        <v>122</v>
      </c>
      <c r="L2268" t="s">
        <v>160</v>
      </c>
      <c r="M2268" t="s">
        <v>161</v>
      </c>
      <c r="N2268" t="s">
        <v>107</v>
      </c>
      <c r="O2268" t="s">
        <v>97</v>
      </c>
    </row>
    <row r="2269" spans="1:15" x14ac:dyDescent="0.2">
      <c r="A2269">
        <v>300</v>
      </c>
      <c r="B2269">
        <v>301</v>
      </c>
      <c r="C2269">
        <v>300</v>
      </c>
      <c r="D2269">
        <v>299</v>
      </c>
      <c r="E2269" t="s">
        <v>57</v>
      </c>
      <c r="F2269" t="s">
        <v>62</v>
      </c>
      <c r="G2269">
        <v>29</v>
      </c>
      <c r="H2269" t="s">
        <v>152</v>
      </c>
      <c r="I2269">
        <v>0</v>
      </c>
      <c r="J2269">
        <v>0</v>
      </c>
      <c r="K2269" t="s">
        <v>153</v>
      </c>
      <c r="L2269" t="s">
        <v>154</v>
      </c>
      <c r="M2269" t="s">
        <v>155</v>
      </c>
      <c r="N2269" t="s">
        <v>107</v>
      </c>
      <c r="O2269" t="s">
        <v>97</v>
      </c>
    </row>
    <row r="2270" spans="1:15" x14ac:dyDescent="0.2">
      <c r="A2270">
        <v>300</v>
      </c>
      <c r="B2270">
        <v>301</v>
      </c>
      <c r="C2270">
        <v>300</v>
      </c>
      <c r="D2270">
        <v>299</v>
      </c>
      <c r="E2270" t="s">
        <v>57</v>
      </c>
      <c r="F2270" t="s">
        <v>62</v>
      </c>
      <c r="G2270">
        <v>30</v>
      </c>
      <c r="H2270" t="s">
        <v>162</v>
      </c>
      <c r="I2270">
        <v>0.5</v>
      </c>
      <c r="J2270">
        <v>1</v>
      </c>
      <c r="K2270" t="s">
        <v>112</v>
      </c>
      <c r="L2270" t="s">
        <v>163</v>
      </c>
      <c r="M2270" t="s">
        <v>164</v>
      </c>
      <c r="N2270" t="s">
        <v>107</v>
      </c>
      <c r="O2270" t="s">
        <v>97</v>
      </c>
    </row>
    <row r="2271" spans="1:15" x14ac:dyDescent="0.2">
      <c r="A2271">
        <v>300</v>
      </c>
      <c r="B2271">
        <v>301</v>
      </c>
      <c r="C2271">
        <v>300</v>
      </c>
      <c r="D2271">
        <v>299</v>
      </c>
      <c r="E2271" t="s">
        <v>57</v>
      </c>
      <c r="F2271" t="s">
        <v>62</v>
      </c>
      <c r="G2271">
        <v>31</v>
      </c>
      <c r="H2271" t="s">
        <v>162</v>
      </c>
      <c r="I2271">
        <v>0</v>
      </c>
      <c r="J2271">
        <v>0</v>
      </c>
      <c r="K2271" t="s">
        <v>112</v>
      </c>
      <c r="L2271" t="s">
        <v>163</v>
      </c>
      <c r="M2271" t="s">
        <v>164</v>
      </c>
      <c r="N2271" t="s">
        <v>107</v>
      </c>
      <c r="O2271" t="s">
        <v>97</v>
      </c>
    </row>
    <row r="2272" spans="1:15" x14ac:dyDescent="0.2">
      <c r="A2272">
        <v>300</v>
      </c>
      <c r="B2272">
        <v>301</v>
      </c>
      <c r="C2272">
        <v>300</v>
      </c>
      <c r="D2272">
        <v>299</v>
      </c>
      <c r="E2272" t="s">
        <v>57</v>
      </c>
      <c r="F2272" t="s">
        <v>62</v>
      </c>
      <c r="G2272">
        <v>32</v>
      </c>
      <c r="H2272" t="s">
        <v>162</v>
      </c>
      <c r="I2272">
        <v>0</v>
      </c>
      <c r="J2272">
        <v>0</v>
      </c>
      <c r="K2272" t="s">
        <v>112</v>
      </c>
      <c r="L2272" t="s">
        <v>163</v>
      </c>
      <c r="M2272" t="s">
        <v>164</v>
      </c>
      <c r="N2272" t="s">
        <v>107</v>
      </c>
      <c r="O2272" t="s">
        <v>97</v>
      </c>
    </row>
    <row r="2273" spans="1:15" x14ac:dyDescent="0.2">
      <c r="A2273">
        <v>300</v>
      </c>
      <c r="B2273">
        <v>301</v>
      </c>
      <c r="C2273">
        <v>300</v>
      </c>
      <c r="D2273">
        <v>299</v>
      </c>
      <c r="E2273" t="s">
        <v>57</v>
      </c>
      <c r="F2273" t="s">
        <v>62</v>
      </c>
      <c r="G2273">
        <v>33</v>
      </c>
      <c r="H2273" t="s">
        <v>152</v>
      </c>
      <c r="I2273">
        <v>1</v>
      </c>
      <c r="J2273">
        <v>1</v>
      </c>
      <c r="K2273" t="s">
        <v>153</v>
      </c>
      <c r="L2273" t="s">
        <v>154</v>
      </c>
      <c r="M2273" t="s">
        <v>155</v>
      </c>
      <c r="N2273" t="s">
        <v>107</v>
      </c>
      <c r="O2273" t="s">
        <v>97</v>
      </c>
    </row>
    <row r="2274" spans="1:15" x14ac:dyDescent="0.2">
      <c r="A2274">
        <v>300</v>
      </c>
      <c r="B2274">
        <v>301</v>
      </c>
      <c r="C2274">
        <v>300</v>
      </c>
      <c r="D2274">
        <v>299</v>
      </c>
      <c r="E2274" t="s">
        <v>57</v>
      </c>
      <c r="F2274" t="s">
        <v>62</v>
      </c>
      <c r="G2274">
        <v>34</v>
      </c>
      <c r="H2274" t="s">
        <v>152</v>
      </c>
      <c r="I2274">
        <v>0</v>
      </c>
      <c r="J2274">
        <v>0</v>
      </c>
      <c r="K2274" t="s">
        <v>153</v>
      </c>
      <c r="L2274" t="s">
        <v>154</v>
      </c>
      <c r="M2274" t="s">
        <v>155</v>
      </c>
      <c r="N2274" t="s">
        <v>107</v>
      </c>
      <c r="O2274" t="s">
        <v>97</v>
      </c>
    </row>
    <row r="2275" spans="1:15" x14ac:dyDescent="0.2">
      <c r="A2275">
        <v>300</v>
      </c>
      <c r="B2275">
        <v>301</v>
      </c>
      <c r="C2275">
        <v>300</v>
      </c>
      <c r="D2275">
        <v>299</v>
      </c>
      <c r="E2275" t="s">
        <v>57</v>
      </c>
      <c r="F2275" t="s">
        <v>62</v>
      </c>
      <c r="G2275">
        <v>35</v>
      </c>
      <c r="H2275" t="s">
        <v>165</v>
      </c>
      <c r="I2275">
        <v>0</v>
      </c>
      <c r="J2275">
        <v>1</v>
      </c>
      <c r="K2275" t="s">
        <v>166</v>
      </c>
      <c r="L2275" t="s">
        <v>167</v>
      </c>
      <c r="M2275" t="s">
        <v>168</v>
      </c>
      <c r="N2275" t="s">
        <v>107</v>
      </c>
      <c r="O2275" t="s">
        <v>97</v>
      </c>
    </row>
    <row r="2276" spans="1:15" x14ac:dyDescent="0.2">
      <c r="A2276">
        <v>300</v>
      </c>
      <c r="B2276">
        <v>301</v>
      </c>
      <c r="C2276">
        <v>300</v>
      </c>
      <c r="D2276">
        <v>299</v>
      </c>
      <c r="E2276" t="s">
        <v>57</v>
      </c>
      <c r="F2276" t="s">
        <v>62</v>
      </c>
      <c r="G2276">
        <v>36</v>
      </c>
      <c r="H2276" t="s">
        <v>169</v>
      </c>
      <c r="I2276">
        <v>0</v>
      </c>
      <c r="J2276">
        <v>0</v>
      </c>
      <c r="K2276" t="e">
        <v>#N/A</v>
      </c>
      <c r="L2276" t="e">
        <v>#N/A</v>
      </c>
      <c r="M2276" t="e">
        <v>#N/A</v>
      </c>
      <c r="N2276" t="e">
        <v>#N/A</v>
      </c>
      <c r="O2276" t="s">
        <v>97</v>
      </c>
    </row>
    <row r="2277" spans="1:15" x14ac:dyDescent="0.2">
      <c r="A2277">
        <v>300</v>
      </c>
      <c r="B2277">
        <v>301</v>
      </c>
      <c r="C2277">
        <v>300</v>
      </c>
      <c r="D2277">
        <v>299</v>
      </c>
      <c r="E2277" t="s">
        <v>57</v>
      </c>
      <c r="F2277" t="s">
        <v>62</v>
      </c>
      <c r="G2277">
        <v>38</v>
      </c>
      <c r="H2277" t="s">
        <v>170</v>
      </c>
      <c r="I2277">
        <v>0.5</v>
      </c>
      <c r="J2277">
        <v>0.5</v>
      </c>
      <c r="K2277" t="s">
        <v>112</v>
      </c>
      <c r="L2277" t="s">
        <v>171</v>
      </c>
      <c r="M2277" t="s">
        <v>172</v>
      </c>
      <c r="N2277" t="s">
        <v>96</v>
      </c>
      <c r="O2277" t="s">
        <v>97</v>
      </c>
    </row>
    <row r="2278" spans="1:15" x14ac:dyDescent="0.2">
      <c r="A2278">
        <v>300</v>
      </c>
      <c r="B2278">
        <v>301</v>
      </c>
      <c r="C2278">
        <v>300</v>
      </c>
      <c r="D2278">
        <v>299</v>
      </c>
      <c r="E2278" t="s">
        <v>57</v>
      </c>
      <c r="F2278" t="s">
        <v>62</v>
      </c>
      <c r="G2278">
        <v>39</v>
      </c>
      <c r="H2278" t="s">
        <v>170</v>
      </c>
      <c r="I2278">
        <v>0</v>
      </c>
      <c r="J2278">
        <v>0.5</v>
      </c>
      <c r="K2278" t="s">
        <v>112</v>
      </c>
      <c r="L2278" t="s">
        <v>171</v>
      </c>
      <c r="M2278" t="s">
        <v>172</v>
      </c>
      <c r="N2278" t="s">
        <v>96</v>
      </c>
      <c r="O2278" t="s">
        <v>97</v>
      </c>
    </row>
    <row r="2279" spans="1:15" x14ac:dyDescent="0.2">
      <c r="A2279">
        <v>300</v>
      </c>
      <c r="B2279">
        <v>301</v>
      </c>
      <c r="C2279">
        <v>300</v>
      </c>
      <c r="D2279">
        <v>299</v>
      </c>
      <c r="E2279" t="s">
        <v>57</v>
      </c>
      <c r="F2279" t="s">
        <v>62</v>
      </c>
      <c r="G2279">
        <v>40</v>
      </c>
      <c r="H2279" t="s">
        <v>170</v>
      </c>
      <c r="I2279">
        <v>0.5</v>
      </c>
      <c r="J2279">
        <v>0.5</v>
      </c>
      <c r="K2279" t="s">
        <v>112</v>
      </c>
      <c r="L2279" t="s">
        <v>171</v>
      </c>
      <c r="M2279" t="s">
        <v>172</v>
      </c>
      <c r="N2279" t="s">
        <v>96</v>
      </c>
      <c r="O2279" t="s">
        <v>97</v>
      </c>
    </row>
    <row r="2280" spans="1:15" x14ac:dyDescent="0.2">
      <c r="A2280">
        <v>300</v>
      </c>
      <c r="B2280">
        <v>301</v>
      </c>
      <c r="C2280">
        <v>300</v>
      </c>
      <c r="D2280">
        <v>299</v>
      </c>
      <c r="E2280" t="s">
        <v>57</v>
      </c>
      <c r="F2280" t="s">
        <v>62</v>
      </c>
      <c r="G2280">
        <v>41</v>
      </c>
      <c r="H2280" t="s">
        <v>173</v>
      </c>
      <c r="I2280">
        <v>0</v>
      </c>
      <c r="J2280">
        <v>0</v>
      </c>
      <c r="K2280" t="s">
        <v>166</v>
      </c>
      <c r="L2280" t="s">
        <v>174</v>
      </c>
      <c r="M2280" t="s">
        <v>175</v>
      </c>
      <c r="N2280" t="s">
        <v>107</v>
      </c>
      <c r="O2280" t="s">
        <v>97</v>
      </c>
    </row>
    <row r="2281" spans="1:15" x14ac:dyDescent="0.2">
      <c r="A2281">
        <v>300</v>
      </c>
      <c r="B2281">
        <v>301</v>
      </c>
      <c r="C2281">
        <v>300</v>
      </c>
      <c r="D2281">
        <v>299</v>
      </c>
      <c r="E2281" t="s">
        <v>57</v>
      </c>
      <c r="F2281" t="s">
        <v>62</v>
      </c>
      <c r="G2281">
        <v>42</v>
      </c>
      <c r="H2281" t="s">
        <v>176</v>
      </c>
      <c r="I2281">
        <v>0.5</v>
      </c>
      <c r="J2281">
        <v>1</v>
      </c>
      <c r="K2281" t="s">
        <v>153</v>
      </c>
      <c r="L2281" t="s">
        <v>177</v>
      </c>
      <c r="M2281" t="s">
        <v>178</v>
      </c>
      <c r="N2281" t="s">
        <v>107</v>
      </c>
      <c r="O2281" t="s">
        <v>97</v>
      </c>
    </row>
    <row r="2282" spans="1:15" x14ac:dyDescent="0.2">
      <c r="A2282">
        <v>300</v>
      </c>
      <c r="B2282">
        <v>301</v>
      </c>
      <c r="C2282">
        <v>300</v>
      </c>
      <c r="D2282">
        <v>299</v>
      </c>
      <c r="E2282" t="s">
        <v>57</v>
      </c>
      <c r="F2282" t="s">
        <v>62</v>
      </c>
      <c r="G2282">
        <v>43</v>
      </c>
      <c r="H2282" t="s">
        <v>179</v>
      </c>
      <c r="I2282">
        <v>0</v>
      </c>
      <c r="J2282">
        <v>0</v>
      </c>
      <c r="K2282" t="s">
        <v>166</v>
      </c>
      <c r="L2282" t="s">
        <v>180</v>
      </c>
      <c r="M2282" t="s">
        <v>181</v>
      </c>
      <c r="N2282" t="s">
        <v>107</v>
      </c>
      <c r="O2282" t="s">
        <v>97</v>
      </c>
    </row>
    <row r="2283" spans="1:15" x14ac:dyDescent="0.2">
      <c r="A2283">
        <v>300</v>
      </c>
      <c r="B2283">
        <v>301</v>
      </c>
      <c r="C2283">
        <v>300</v>
      </c>
      <c r="D2283">
        <v>299</v>
      </c>
      <c r="E2283" t="s">
        <v>57</v>
      </c>
      <c r="F2283" t="s">
        <v>62</v>
      </c>
      <c r="G2283">
        <v>44</v>
      </c>
      <c r="H2283" t="s">
        <v>182</v>
      </c>
      <c r="I2283">
        <v>0</v>
      </c>
      <c r="J2283">
        <v>1</v>
      </c>
      <c r="K2283" t="s">
        <v>166</v>
      </c>
      <c r="L2283" t="s">
        <v>183</v>
      </c>
      <c r="M2283" t="s">
        <v>184</v>
      </c>
      <c r="N2283" t="s">
        <v>107</v>
      </c>
      <c r="O2283" t="s">
        <v>97</v>
      </c>
    </row>
    <row r="2284" spans="1:15" x14ac:dyDescent="0.2">
      <c r="A2284">
        <v>300</v>
      </c>
      <c r="B2284">
        <v>301</v>
      </c>
      <c r="C2284">
        <v>300</v>
      </c>
      <c r="D2284">
        <v>299</v>
      </c>
      <c r="E2284" t="s">
        <v>57</v>
      </c>
      <c r="F2284" t="s">
        <v>62</v>
      </c>
      <c r="G2284">
        <v>45</v>
      </c>
      <c r="H2284" t="s">
        <v>185</v>
      </c>
      <c r="I2284">
        <v>1</v>
      </c>
      <c r="J2284">
        <v>1</v>
      </c>
      <c r="K2284" t="s">
        <v>166</v>
      </c>
      <c r="L2284" t="s">
        <v>186</v>
      </c>
      <c r="M2284" t="s">
        <v>139</v>
      </c>
      <c r="N2284" t="s">
        <v>107</v>
      </c>
      <c r="O2284" t="s">
        <v>97</v>
      </c>
    </row>
    <row r="2285" spans="1:15" x14ac:dyDescent="0.2">
      <c r="A2285">
        <v>300</v>
      </c>
      <c r="B2285">
        <v>301</v>
      </c>
      <c r="C2285">
        <v>300</v>
      </c>
      <c r="D2285">
        <v>299</v>
      </c>
      <c r="E2285" t="s">
        <v>57</v>
      </c>
      <c r="F2285" t="s">
        <v>62</v>
      </c>
      <c r="G2285">
        <v>47</v>
      </c>
      <c r="H2285" t="s">
        <v>187</v>
      </c>
      <c r="I2285">
        <v>0</v>
      </c>
      <c r="J2285">
        <v>0.2</v>
      </c>
      <c r="K2285" t="s">
        <v>93</v>
      </c>
      <c r="L2285" t="s">
        <v>188</v>
      </c>
      <c r="M2285" t="s">
        <v>95</v>
      </c>
      <c r="N2285" t="s">
        <v>96</v>
      </c>
      <c r="O2285" t="s">
        <v>97</v>
      </c>
    </row>
    <row r="2286" spans="1:15" x14ac:dyDescent="0.2">
      <c r="A2286">
        <v>300</v>
      </c>
      <c r="B2286">
        <v>301</v>
      </c>
      <c r="C2286">
        <v>300</v>
      </c>
      <c r="D2286">
        <v>299</v>
      </c>
      <c r="E2286" t="s">
        <v>57</v>
      </c>
      <c r="F2286" t="s">
        <v>62</v>
      </c>
      <c r="G2286">
        <v>48</v>
      </c>
      <c r="H2286" t="s">
        <v>189</v>
      </c>
      <c r="I2286">
        <v>0</v>
      </c>
      <c r="J2286">
        <v>0.2</v>
      </c>
      <c r="K2286" t="s">
        <v>93</v>
      </c>
      <c r="L2286" t="s">
        <v>190</v>
      </c>
      <c r="M2286" t="s">
        <v>95</v>
      </c>
      <c r="N2286" t="s">
        <v>96</v>
      </c>
      <c r="O2286" t="s">
        <v>97</v>
      </c>
    </row>
    <row r="2287" spans="1:15" x14ac:dyDescent="0.2">
      <c r="A2287">
        <v>300</v>
      </c>
      <c r="B2287">
        <v>301</v>
      </c>
      <c r="C2287">
        <v>300</v>
      </c>
      <c r="D2287">
        <v>299</v>
      </c>
      <c r="E2287" t="s">
        <v>57</v>
      </c>
      <c r="F2287" t="s">
        <v>62</v>
      </c>
      <c r="G2287">
        <v>49</v>
      </c>
      <c r="H2287" t="s">
        <v>191</v>
      </c>
      <c r="I2287">
        <v>0.2</v>
      </c>
      <c r="J2287">
        <v>0.2</v>
      </c>
      <c r="K2287" t="s">
        <v>93</v>
      </c>
      <c r="L2287" t="s">
        <v>192</v>
      </c>
      <c r="M2287" t="s">
        <v>95</v>
      </c>
      <c r="N2287" t="s">
        <v>96</v>
      </c>
      <c r="O2287" t="s">
        <v>97</v>
      </c>
    </row>
    <row r="2288" spans="1:15" x14ac:dyDescent="0.2">
      <c r="A2288">
        <v>300</v>
      </c>
      <c r="B2288">
        <v>301</v>
      </c>
      <c r="C2288">
        <v>300</v>
      </c>
      <c r="D2288">
        <v>299</v>
      </c>
      <c r="E2288" t="s">
        <v>57</v>
      </c>
      <c r="F2288" t="s">
        <v>62</v>
      </c>
      <c r="G2288">
        <v>50</v>
      </c>
      <c r="H2288" t="s">
        <v>193</v>
      </c>
      <c r="I2288">
        <v>0.1</v>
      </c>
      <c r="J2288">
        <v>0.1</v>
      </c>
      <c r="K2288" t="s">
        <v>93</v>
      </c>
      <c r="L2288" t="s">
        <v>194</v>
      </c>
      <c r="M2288" t="s">
        <v>95</v>
      </c>
      <c r="N2288" t="s">
        <v>96</v>
      </c>
      <c r="O2288" t="s">
        <v>97</v>
      </c>
    </row>
    <row r="2289" spans="1:15" x14ac:dyDescent="0.2">
      <c r="A2289">
        <v>300</v>
      </c>
      <c r="B2289">
        <v>301</v>
      </c>
      <c r="C2289">
        <v>300</v>
      </c>
      <c r="D2289">
        <v>299</v>
      </c>
      <c r="E2289" t="s">
        <v>57</v>
      </c>
      <c r="F2289" t="s">
        <v>62</v>
      </c>
      <c r="G2289">
        <v>51</v>
      </c>
      <c r="H2289" t="s">
        <v>193</v>
      </c>
      <c r="I2289">
        <v>0</v>
      </c>
      <c r="J2289">
        <v>0.1</v>
      </c>
      <c r="K2289" t="s">
        <v>93</v>
      </c>
      <c r="L2289" t="s">
        <v>194</v>
      </c>
      <c r="M2289" t="s">
        <v>95</v>
      </c>
      <c r="N2289" t="s">
        <v>96</v>
      </c>
      <c r="O2289" t="s">
        <v>97</v>
      </c>
    </row>
    <row r="2290" spans="1:15" x14ac:dyDescent="0.2">
      <c r="A2290">
        <v>300</v>
      </c>
      <c r="B2290">
        <v>301</v>
      </c>
      <c r="C2290">
        <v>300</v>
      </c>
      <c r="D2290">
        <v>299</v>
      </c>
      <c r="E2290" t="s">
        <v>57</v>
      </c>
      <c r="F2290" t="s">
        <v>62</v>
      </c>
      <c r="G2290">
        <v>97</v>
      </c>
      <c r="H2290" t="s">
        <v>152</v>
      </c>
      <c r="I2290">
        <v>0.25</v>
      </c>
      <c r="J2290">
        <v>0.25</v>
      </c>
      <c r="K2290" t="s">
        <v>153</v>
      </c>
      <c r="L2290" t="s">
        <v>154</v>
      </c>
      <c r="M2290" t="s">
        <v>155</v>
      </c>
      <c r="N2290" t="s">
        <v>107</v>
      </c>
      <c r="O2290" t="s">
        <v>97</v>
      </c>
    </row>
    <row r="2291" spans="1:15" x14ac:dyDescent="0.2">
      <c r="A2291">
        <v>300</v>
      </c>
      <c r="B2291">
        <v>301</v>
      </c>
      <c r="C2291">
        <v>300</v>
      </c>
      <c r="D2291">
        <v>299</v>
      </c>
      <c r="E2291" t="s">
        <v>57</v>
      </c>
      <c r="F2291" t="s">
        <v>62</v>
      </c>
      <c r="G2291">
        <v>96</v>
      </c>
      <c r="H2291" t="s">
        <v>152</v>
      </c>
      <c r="I2291">
        <v>0</v>
      </c>
      <c r="J2291">
        <v>0</v>
      </c>
      <c r="K2291" t="s">
        <v>153</v>
      </c>
      <c r="L2291" t="s">
        <v>154</v>
      </c>
      <c r="M2291" t="s">
        <v>155</v>
      </c>
      <c r="N2291" t="s">
        <v>107</v>
      </c>
      <c r="O2291" t="s">
        <v>97</v>
      </c>
    </row>
    <row r="2292" spans="1:15" x14ac:dyDescent="0.2">
      <c r="A2292">
        <v>300</v>
      </c>
      <c r="B2292">
        <v>301</v>
      </c>
      <c r="C2292">
        <v>300</v>
      </c>
      <c r="D2292">
        <v>299</v>
      </c>
      <c r="E2292" t="s">
        <v>57</v>
      </c>
      <c r="F2292" t="s">
        <v>62</v>
      </c>
      <c r="G2292">
        <v>99</v>
      </c>
      <c r="H2292" t="s">
        <v>152</v>
      </c>
      <c r="I2292">
        <v>0</v>
      </c>
      <c r="J2292">
        <v>0</v>
      </c>
      <c r="K2292" t="s">
        <v>153</v>
      </c>
      <c r="L2292" t="s">
        <v>154</v>
      </c>
      <c r="M2292" t="s">
        <v>155</v>
      </c>
      <c r="N2292" t="s">
        <v>107</v>
      </c>
      <c r="O2292" t="s">
        <v>97</v>
      </c>
    </row>
    <row r="2293" spans="1:15" x14ac:dyDescent="0.2">
      <c r="A2293">
        <v>300</v>
      </c>
      <c r="B2293">
        <v>301</v>
      </c>
      <c r="C2293">
        <v>300</v>
      </c>
      <c r="D2293">
        <v>299</v>
      </c>
      <c r="E2293" t="s">
        <v>57</v>
      </c>
      <c r="F2293" t="s">
        <v>62</v>
      </c>
      <c r="G2293">
        <v>98</v>
      </c>
      <c r="H2293" t="s">
        <v>204</v>
      </c>
      <c r="I2293">
        <v>0</v>
      </c>
      <c r="J2293">
        <v>1</v>
      </c>
      <c r="K2293" t="s">
        <v>122</v>
      </c>
      <c r="L2293" t="s">
        <v>205</v>
      </c>
      <c r="M2293" t="s">
        <v>206</v>
      </c>
      <c r="N2293" t="s">
        <v>207</v>
      </c>
      <c r="O2293" t="s">
        <v>97</v>
      </c>
    </row>
    <row r="2294" spans="1:15" x14ac:dyDescent="0.2">
      <c r="A2294">
        <v>19</v>
      </c>
      <c r="B2294">
        <v>20</v>
      </c>
      <c r="C2294">
        <v>19</v>
      </c>
      <c r="D2294">
        <v>18</v>
      </c>
      <c r="E2294" t="s">
        <v>30</v>
      </c>
      <c r="F2294" t="s">
        <v>268</v>
      </c>
      <c r="G2294">
        <v>20</v>
      </c>
      <c r="H2294" t="s">
        <v>143</v>
      </c>
      <c r="I2294">
        <v>1</v>
      </c>
      <c r="J2294">
        <v>1</v>
      </c>
      <c r="K2294" t="s">
        <v>122</v>
      </c>
      <c r="L2294" t="s">
        <v>144</v>
      </c>
      <c r="M2294" t="s">
        <v>145</v>
      </c>
      <c r="N2294" t="s">
        <v>107</v>
      </c>
      <c r="O2294" t="s">
        <v>97</v>
      </c>
    </row>
    <row r="2295" spans="1:15" x14ac:dyDescent="0.2">
      <c r="A2295">
        <v>19</v>
      </c>
      <c r="B2295">
        <v>20</v>
      </c>
      <c r="C2295">
        <v>19</v>
      </c>
      <c r="D2295">
        <v>18</v>
      </c>
      <c r="E2295" t="s">
        <v>30</v>
      </c>
      <c r="F2295" t="s">
        <v>268</v>
      </c>
      <c r="G2295">
        <v>21</v>
      </c>
      <c r="H2295" t="s">
        <v>146</v>
      </c>
      <c r="I2295">
        <v>0.5</v>
      </c>
      <c r="J2295">
        <v>1</v>
      </c>
      <c r="K2295" t="s">
        <v>147</v>
      </c>
      <c r="L2295" t="s">
        <v>148</v>
      </c>
      <c r="M2295" t="s">
        <v>149</v>
      </c>
      <c r="N2295" t="s">
        <v>96</v>
      </c>
      <c r="O2295" t="s">
        <v>97</v>
      </c>
    </row>
    <row r="2296" spans="1:15" x14ac:dyDescent="0.2">
      <c r="A2296">
        <v>19</v>
      </c>
      <c r="B2296">
        <v>20</v>
      </c>
      <c r="C2296">
        <v>19</v>
      </c>
      <c r="D2296">
        <v>18</v>
      </c>
      <c r="E2296" t="s">
        <v>30</v>
      </c>
      <c r="F2296" t="s">
        <v>268</v>
      </c>
      <c r="G2296">
        <v>22</v>
      </c>
      <c r="H2296" t="s">
        <v>150</v>
      </c>
      <c r="I2296">
        <v>0.5</v>
      </c>
      <c r="J2296">
        <v>1</v>
      </c>
      <c r="K2296" t="s">
        <v>147</v>
      </c>
      <c r="L2296" t="s">
        <v>151</v>
      </c>
      <c r="M2296" t="s">
        <v>149</v>
      </c>
      <c r="N2296" t="s">
        <v>107</v>
      </c>
      <c r="O2296" t="s">
        <v>97</v>
      </c>
    </row>
    <row r="2297" spans="1:15" x14ac:dyDescent="0.2">
      <c r="A2297">
        <v>19</v>
      </c>
      <c r="B2297">
        <v>20</v>
      </c>
      <c r="C2297">
        <v>19</v>
      </c>
      <c r="D2297">
        <v>18</v>
      </c>
      <c r="E2297" t="s">
        <v>30</v>
      </c>
      <c r="F2297" t="s">
        <v>268</v>
      </c>
      <c r="G2297">
        <v>23</v>
      </c>
      <c r="H2297" t="s">
        <v>152</v>
      </c>
      <c r="I2297">
        <v>0</v>
      </c>
      <c r="J2297">
        <v>0</v>
      </c>
      <c r="K2297" t="s">
        <v>153</v>
      </c>
      <c r="L2297" t="s">
        <v>154</v>
      </c>
      <c r="M2297" t="s">
        <v>155</v>
      </c>
      <c r="N2297" t="s">
        <v>107</v>
      </c>
      <c r="O2297" t="s">
        <v>97</v>
      </c>
    </row>
    <row r="2298" spans="1:15" x14ac:dyDescent="0.2">
      <c r="A2298">
        <v>19</v>
      </c>
      <c r="B2298">
        <v>20</v>
      </c>
      <c r="C2298">
        <v>19</v>
      </c>
      <c r="D2298">
        <v>18</v>
      </c>
      <c r="E2298" t="s">
        <v>30</v>
      </c>
      <c r="F2298" t="s">
        <v>268</v>
      </c>
      <c r="G2298">
        <v>24</v>
      </c>
      <c r="H2298" t="s">
        <v>156</v>
      </c>
      <c r="I2298">
        <v>0</v>
      </c>
      <c r="J2298" t="s">
        <v>195</v>
      </c>
      <c r="K2298" t="s">
        <v>122</v>
      </c>
      <c r="L2298" t="s">
        <v>157</v>
      </c>
      <c r="M2298" t="s">
        <v>158</v>
      </c>
      <c r="N2298" t="s">
        <v>107</v>
      </c>
      <c r="O2298" t="s">
        <v>97</v>
      </c>
    </row>
    <row r="2299" spans="1:15" x14ac:dyDescent="0.2">
      <c r="A2299">
        <v>19</v>
      </c>
      <c r="B2299">
        <v>20</v>
      </c>
      <c r="C2299">
        <v>19</v>
      </c>
      <c r="D2299">
        <v>18</v>
      </c>
      <c r="E2299" t="s">
        <v>30</v>
      </c>
      <c r="F2299" t="s">
        <v>268</v>
      </c>
      <c r="G2299">
        <v>25</v>
      </c>
      <c r="H2299" t="s">
        <v>156</v>
      </c>
      <c r="I2299">
        <v>0</v>
      </c>
      <c r="J2299" t="s">
        <v>195</v>
      </c>
      <c r="K2299" t="s">
        <v>122</v>
      </c>
      <c r="L2299" t="s">
        <v>157</v>
      </c>
      <c r="M2299" t="s">
        <v>158</v>
      </c>
      <c r="N2299" t="s">
        <v>107</v>
      </c>
      <c r="O2299" t="s">
        <v>97</v>
      </c>
    </row>
    <row r="2300" spans="1:15" x14ac:dyDescent="0.2">
      <c r="A2300">
        <v>19</v>
      </c>
      <c r="B2300">
        <v>20</v>
      </c>
      <c r="C2300">
        <v>19</v>
      </c>
      <c r="D2300">
        <v>18</v>
      </c>
      <c r="E2300" t="s">
        <v>30</v>
      </c>
      <c r="F2300" t="s">
        <v>268</v>
      </c>
      <c r="G2300">
        <v>26</v>
      </c>
      <c r="H2300" t="s">
        <v>152</v>
      </c>
      <c r="I2300">
        <v>0</v>
      </c>
      <c r="J2300">
        <v>0</v>
      </c>
      <c r="K2300" t="s">
        <v>153</v>
      </c>
      <c r="L2300" t="s">
        <v>154</v>
      </c>
      <c r="M2300" t="s">
        <v>155</v>
      </c>
      <c r="N2300" t="s">
        <v>107</v>
      </c>
      <c r="O2300" t="s">
        <v>97</v>
      </c>
    </row>
    <row r="2301" spans="1:15" x14ac:dyDescent="0.2">
      <c r="A2301">
        <v>19</v>
      </c>
      <c r="B2301">
        <v>20</v>
      </c>
      <c r="C2301">
        <v>19</v>
      </c>
      <c r="D2301">
        <v>18</v>
      </c>
      <c r="E2301" t="s">
        <v>30</v>
      </c>
      <c r="F2301" t="s">
        <v>268</v>
      </c>
      <c r="G2301">
        <v>27</v>
      </c>
      <c r="H2301" t="s">
        <v>159</v>
      </c>
      <c r="I2301">
        <v>0</v>
      </c>
      <c r="J2301" t="s">
        <v>195</v>
      </c>
      <c r="K2301" t="s">
        <v>122</v>
      </c>
      <c r="L2301" t="s">
        <v>160</v>
      </c>
      <c r="M2301" t="s">
        <v>161</v>
      </c>
      <c r="N2301" t="s">
        <v>107</v>
      </c>
      <c r="O2301" t="s">
        <v>97</v>
      </c>
    </row>
    <row r="2302" spans="1:15" x14ac:dyDescent="0.2">
      <c r="A2302">
        <v>19</v>
      </c>
      <c r="B2302">
        <v>20</v>
      </c>
      <c r="C2302">
        <v>19</v>
      </c>
      <c r="D2302">
        <v>18</v>
      </c>
      <c r="E2302" t="s">
        <v>30</v>
      </c>
      <c r="F2302" t="s">
        <v>268</v>
      </c>
      <c r="G2302">
        <v>28</v>
      </c>
      <c r="H2302" t="s">
        <v>159</v>
      </c>
      <c r="I2302">
        <v>0</v>
      </c>
      <c r="J2302" t="s">
        <v>195</v>
      </c>
      <c r="K2302" t="s">
        <v>122</v>
      </c>
      <c r="L2302" t="s">
        <v>160</v>
      </c>
      <c r="M2302" t="s">
        <v>161</v>
      </c>
      <c r="N2302" t="s">
        <v>107</v>
      </c>
      <c r="O2302" t="s">
        <v>97</v>
      </c>
    </row>
    <row r="2303" spans="1:15" x14ac:dyDescent="0.2">
      <c r="A2303">
        <v>19</v>
      </c>
      <c r="B2303">
        <v>20</v>
      </c>
      <c r="C2303">
        <v>19</v>
      </c>
      <c r="D2303">
        <v>18</v>
      </c>
      <c r="E2303" t="s">
        <v>30</v>
      </c>
      <c r="F2303" t="s">
        <v>268</v>
      </c>
      <c r="G2303">
        <v>29</v>
      </c>
      <c r="H2303" t="s">
        <v>152</v>
      </c>
      <c r="I2303">
        <v>0</v>
      </c>
      <c r="J2303">
        <v>0</v>
      </c>
      <c r="K2303" t="s">
        <v>153</v>
      </c>
      <c r="L2303" t="s">
        <v>154</v>
      </c>
      <c r="M2303" t="s">
        <v>155</v>
      </c>
      <c r="N2303" t="s">
        <v>107</v>
      </c>
      <c r="O2303" t="s">
        <v>97</v>
      </c>
    </row>
    <row r="2304" spans="1:15" x14ac:dyDescent="0.2">
      <c r="A2304">
        <v>19</v>
      </c>
      <c r="B2304">
        <v>20</v>
      </c>
      <c r="C2304">
        <v>19</v>
      </c>
      <c r="D2304">
        <v>18</v>
      </c>
      <c r="E2304" t="s">
        <v>30</v>
      </c>
      <c r="F2304" t="s">
        <v>268</v>
      </c>
      <c r="G2304">
        <v>30</v>
      </c>
      <c r="H2304" t="s">
        <v>162</v>
      </c>
      <c r="I2304">
        <v>0.5</v>
      </c>
      <c r="J2304">
        <v>1</v>
      </c>
      <c r="K2304" t="s">
        <v>112</v>
      </c>
      <c r="L2304" t="s">
        <v>163</v>
      </c>
      <c r="M2304" t="s">
        <v>164</v>
      </c>
      <c r="N2304" t="s">
        <v>107</v>
      </c>
      <c r="O2304" t="s">
        <v>97</v>
      </c>
    </row>
    <row r="2305" spans="1:15" x14ac:dyDescent="0.2">
      <c r="A2305">
        <v>19</v>
      </c>
      <c r="B2305">
        <v>20</v>
      </c>
      <c r="C2305">
        <v>19</v>
      </c>
      <c r="D2305">
        <v>18</v>
      </c>
      <c r="E2305" t="s">
        <v>30</v>
      </c>
      <c r="F2305" t="s">
        <v>268</v>
      </c>
      <c r="G2305">
        <v>31</v>
      </c>
      <c r="H2305" t="s">
        <v>162</v>
      </c>
      <c r="I2305">
        <v>0</v>
      </c>
      <c r="J2305">
        <v>0</v>
      </c>
      <c r="K2305" t="s">
        <v>112</v>
      </c>
      <c r="L2305" t="s">
        <v>163</v>
      </c>
      <c r="M2305" t="s">
        <v>164</v>
      </c>
      <c r="N2305" t="s">
        <v>107</v>
      </c>
      <c r="O2305" t="s">
        <v>97</v>
      </c>
    </row>
    <row r="2306" spans="1:15" x14ac:dyDescent="0.2">
      <c r="A2306">
        <v>19</v>
      </c>
      <c r="B2306">
        <v>20</v>
      </c>
      <c r="C2306">
        <v>19</v>
      </c>
      <c r="D2306">
        <v>18</v>
      </c>
      <c r="E2306" t="s">
        <v>30</v>
      </c>
      <c r="F2306" t="s">
        <v>268</v>
      </c>
      <c r="G2306">
        <v>32</v>
      </c>
      <c r="H2306" t="s">
        <v>162</v>
      </c>
      <c r="I2306">
        <v>0</v>
      </c>
      <c r="J2306">
        <v>0</v>
      </c>
      <c r="K2306" t="s">
        <v>112</v>
      </c>
      <c r="L2306" t="s">
        <v>163</v>
      </c>
      <c r="M2306" t="s">
        <v>164</v>
      </c>
      <c r="N2306" t="s">
        <v>107</v>
      </c>
      <c r="O2306" t="s">
        <v>97</v>
      </c>
    </row>
    <row r="2307" spans="1:15" x14ac:dyDescent="0.2">
      <c r="A2307">
        <v>19</v>
      </c>
      <c r="B2307">
        <v>20</v>
      </c>
      <c r="C2307">
        <v>19</v>
      </c>
      <c r="D2307">
        <v>18</v>
      </c>
      <c r="E2307" t="s">
        <v>30</v>
      </c>
      <c r="F2307" t="s">
        <v>268</v>
      </c>
      <c r="G2307">
        <v>33</v>
      </c>
      <c r="H2307" t="s">
        <v>152</v>
      </c>
      <c r="I2307">
        <v>1</v>
      </c>
      <c r="J2307">
        <v>1</v>
      </c>
      <c r="K2307" t="s">
        <v>153</v>
      </c>
      <c r="L2307" t="s">
        <v>154</v>
      </c>
      <c r="M2307" t="s">
        <v>155</v>
      </c>
      <c r="N2307" t="s">
        <v>107</v>
      </c>
      <c r="O2307" t="s">
        <v>97</v>
      </c>
    </row>
    <row r="2308" spans="1:15" x14ac:dyDescent="0.2">
      <c r="A2308">
        <v>19</v>
      </c>
      <c r="B2308">
        <v>20</v>
      </c>
      <c r="C2308">
        <v>19</v>
      </c>
      <c r="D2308">
        <v>18</v>
      </c>
      <c r="E2308" t="s">
        <v>30</v>
      </c>
      <c r="F2308" t="s">
        <v>268</v>
      </c>
      <c r="G2308">
        <v>34</v>
      </c>
      <c r="H2308" t="s">
        <v>152</v>
      </c>
      <c r="I2308">
        <v>0</v>
      </c>
      <c r="J2308">
        <v>0</v>
      </c>
      <c r="K2308" t="s">
        <v>153</v>
      </c>
      <c r="L2308" t="s">
        <v>154</v>
      </c>
      <c r="M2308" t="s">
        <v>155</v>
      </c>
      <c r="N2308" t="s">
        <v>107</v>
      </c>
      <c r="O2308" t="s">
        <v>97</v>
      </c>
    </row>
    <row r="2309" spans="1:15" x14ac:dyDescent="0.2">
      <c r="A2309">
        <v>19</v>
      </c>
      <c r="B2309">
        <v>20</v>
      </c>
      <c r="C2309">
        <v>19</v>
      </c>
      <c r="D2309">
        <v>18</v>
      </c>
      <c r="E2309" t="s">
        <v>30</v>
      </c>
      <c r="F2309" t="s">
        <v>268</v>
      </c>
      <c r="G2309">
        <v>35</v>
      </c>
      <c r="H2309" t="s">
        <v>165</v>
      </c>
      <c r="I2309">
        <v>0.5</v>
      </c>
      <c r="J2309">
        <v>1</v>
      </c>
      <c r="K2309" t="s">
        <v>166</v>
      </c>
      <c r="L2309" t="s">
        <v>167</v>
      </c>
      <c r="M2309" t="s">
        <v>168</v>
      </c>
      <c r="N2309" t="s">
        <v>107</v>
      </c>
      <c r="O2309" t="s">
        <v>97</v>
      </c>
    </row>
    <row r="2310" spans="1:15" x14ac:dyDescent="0.2">
      <c r="A2310">
        <v>19</v>
      </c>
      <c r="B2310">
        <v>20</v>
      </c>
      <c r="C2310">
        <v>19</v>
      </c>
      <c r="D2310">
        <v>18</v>
      </c>
      <c r="E2310" t="s">
        <v>30</v>
      </c>
      <c r="F2310" t="s">
        <v>268</v>
      </c>
      <c r="G2310">
        <v>36</v>
      </c>
      <c r="H2310" t="s">
        <v>169</v>
      </c>
      <c r="I2310">
        <v>0</v>
      </c>
      <c r="J2310">
        <v>0</v>
      </c>
      <c r="K2310" t="e">
        <v>#N/A</v>
      </c>
      <c r="L2310" t="e">
        <v>#N/A</v>
      </c>
      <c r="M2310" t="e">
        <v>#N/A</v>
      </c>
      <c r="N2310" t="e">
        <v>#N/A</v>
      </c>
      <c r="O2310" t="s">
        <v>97</v>
      </c>
    </row>
    <row r="2311" spans="1:15" x14ac:dyDescent="0.2">
      <c r="A2311">
        <v>19</v>
      </c>
      <c r="B2311">
        <v>20</v>
      </c>
      <c r="C2311">
        <v>19</v>
      </c>
      <c r="D2311">
        <v>18</v>
      </c>
      <c r="E2311" t="s">
        <v>30</v>
      </c>
      <c r="F2311" t="s">
        <v>268</v>
      </c>
      <c r="G2311">
        <v>38</v>
      </c>
      <c r="H2311" t="s">
        <v>170</v>
      </c>
      <c r="I2311">
        <v>0.5</v>
      </c>
      <c r="J2311">
        <v>0.5</v>
      </c>
      <c r="K2311" t="s">
        <v>112</v>
      </c>
      <c r="L2311" t="s">
        <v>171</v>
      </c>
      <c r="M2311" t="s">
        <v>172</v>
      </c>
      <c r="N2311" t="s">
        <v>96</v>
      </c>
      <c r="O2311" t="s">
        <v>97</v>
      </c>
    </row>
    <row r="2312" spans="1:15" x14ac:dyDescent="0.2">
      <c r="A2312">
        <v>19</v>
      </c>
      <c r="B2312">
        <v>20</v>
      </c>
      <c r="C2312">
        <v>19</v>
      </c>
      <c r="D2312">
        <v>18</v>
      </c>
      <c r="E2312" t="s">
        <v>30</v>
      </c>
      <c r="F2312" t="s">
        <v>268</v>
      </c>
      <c r="G2312">
        <v>39</v>
      </c>
      <c r="H2312" t="s">
        <v>170</v>
      </c>
      <c r="I2312">
        <v>0.5</v>
      </c>
      <c r="J2312">
        <v>0.5</v>
      </c>
      <c r="K2312" t="s">
        <v>112</v>
      </c>
      <c r="L2312" t="s">
        <v>171</v>
      </c>
      <c r="M2312" t="s">
        <v>172</v>
      </c>
      <c r="N2312" t="s">
        <v>96</v>
      </c>
      <c r="O2312" t="s">
        <v>97</v>
      </c>
    </row>
    <row r="2313" spans="1:15" x14ac:dyDescent="0.2">
      <c r="A2313">
        <v>19</v>
      </c>
      <c r="B2313">
        <v>20</v>
      </c>
      <c r="C2313">
        <v>19</v>
      </c>
      <c r="D2313">
        <v>18</v>
      </c>
      <c r="E2313" t="s">
        <v>30</v>
      </c>
      <c r="F2313" t="s">
        <v>268</v>
      </c>
      <c r="G2313">
        <v>40</v>
      </c>
      <c r="H2313" t="s">
        <v>170</v>
      </c>
      <c r="I2313">
        <v>0.5</v>
      </c>
      <c r="J2313">
        <v>0.5</v>
      </c>
      <c r="K2313" t="s">
        <v>112</v>
      </c>
      <c r="L2313" t="s">
        <v>171</v>
      </c>
      <c r="M2313" t="s">
        <v>172</v>
      </c>
      <c r="N2313" t="s">
        <v>96</v>
      </c>
      <c r="O2313" t="s">
        <v>97</v>
      </c>
    </row>
    <row r="2314" spans="1:15" x14ac:dyDescent="0.2">
      <c r="A2314">
        <v>19</v>
      </c>
      <c r="B2314">
        <v>20</v>
      </c>
      <c r="C2314">
        <v>19</v>
      </c>
      <c r="D2314">
        <v>18</v>
      </c>
      <c r="E2314" t="s">
        <v>30</v>
      </c>
      <c r="F2314" t="s">
        <v>268</v>
      </c>
      <c r="G2314">
        <v>41</v>
      </c>
      <c r="H2314" t="s">
        <v>173</v>
      </c>
      <c r="I2314">
        <v>0</v>
      </c>
      <c r="J2314" t="s">
        <v>195</v>
      </c>
      <c r="K2314" t="s">
        <v>166</v>
      </c>
      <c r="L2314" t="s">
        <v>174</v>
      </c>
      <c r="M2314" t="s">
        <v>175</v>
      </c>
      <c r="N2314" t="s">
        <v>107</v>
      </c>
      <c r="O2314" t="s">
        <v>97</v>
      </c>
    </row>
    <row r="2315" spans="1:15" x14ac:dyDescent="0.2">
      <c r="A2315">
        <v>19</v>
      </c>
      <c r="B2315">
        <v>20</v>
      </c>
      <c r="C2315">
        <v>19</v>
      </c>
      <c r="D2315">
        <v>18</v>
      </c>
      <c r="E2315" t="s">
        <v>30</v>
      </c>
      <c r="F2315" t="s">
        <v>268</v>
      </c>
      <c r="G2315">
        <v>42</v>
      </c>
      <c r="H2315" t="s">
        <v>176</v>
      </c>
      <c r="I2315">
        <v>0</v>
      </c>
      <c r="J2315">
        <v>1</v>
      </c>
      <c r="K2315" t="s">
        <v>153</v>
      </c>
      <c r="L2315" t="s">
        <v>177</v>
      </c>
      <c r="M2315" t="s">
        <v>178</v>
      </c>
      <c r="N2315" t="s">
        <v>107</v>
      </c>
      <c r="O2315" t="s">
        <v>97</v>
      </c>
    </row>
    <row r="2316" spans="1:15" x14ac:dyDescent="0.2">
      <c r="A2316">
        <v>19</v>
      </c>
      <c r="B2316">
        <v>20</v>
      </c>
      <c r="C2316">
        <v>19</v>
      </c>
      <c r="D2316">
        <v>18</v>
      </c>
      <c r="E2316" t="s">
        <v>30</v>
      </c>
      <c r="F2316" t="s">
        <v>268</v>
      </c>
      <c r="G2316">
        <v>43</v>
      </c>
      <c r="H2316" t="s">
        <v>179</v>
      </c>
      <c r="I2316">
        <v>0</v>
      </c>
      <c r="J2316">
        <v>0</v>
      </c>
      <c r="K2316" t="s">
        <v>166</v>
      </c>
      <c r="L2316" t="s">
        <v>180</v>
      </c>
      <c r="M2316" t="s">
        <v>181</v>
      </c>
      <c r="N2316" t="s">
        <v>107</v>
      </c>
      <c r="O2316" t="s">
        <v>97</v>
      </c>
    </row>
    <row r="2317" spans="1:15" x14ac:dyDescent="0.2">
      <c r="A2317">
        <v>19</v>
      </c>
      <c r="B2317">
        <v>20</v>
      </c>
      <c r="C2317">
        <v>19</v>
      </c>
      <c r="D2317">
        <v>18</v>
      </c>
      <c r="E2317" t="s">
        <v>30</v>
      </c>
      <c r="F2317" t="s">
        <v>268</v>
      </c>
      <c r="G2317">
        <v>44</v>
      </c>
      <c r="H2317" t="s">
        <v>182</v>
      </c>
      <c r="I2317">
        <v>1</v>
      </c>
      <c r="J2317">
        <v>1</v>
      </c>
      <c r="K2317" t="s">
        <v>166</v>
      </c>
      <c r="L2317" t="s">
        <v>183</v>
      </c>
      <c r="M2317" t="s">
        <v>184</v>
      </c>
      <c r="N2317" t="s">
        <v>107</v>
      </c>
      <c r="O2317" t="s">
        <v>97</v>
      </c>
    </row>
    <row r="2318" spans="1:15" x14ac:dyDescent="0.2">
      <c r="A2318">
        <v>19</v>
      </c>
      <c r="B2318">
        <v>20</v>
      </c>
      <c r="C2318">
        <v>19</v>
      </c>
      <c r="D2318">
        <v>18</v>
      </c>
      <c r="E2318" t="s">
        <v>30</v>
      </c>
      <c r="F2318" t="s">
        <v>268</v>
      </c>
      <c r="G2318">
        <v>45</v>
      </c>
      <c r="H2318" t="s">
        <v>185</v>
      </c>
      <c r="I2318">
        <v>1</v>
      </c>
      <c r="J2318">
        <v>1</v>
      </c>
      <c r="K2318" t="s">
        <v>166</v>
      </c>
      <c r="L2318" t="s">
        <v>186</v>
      </c>
      <c r="M2318" t="s">
        <v>139</v>
      </c>
      <c r="N2318" t="s">
        <v>107</v>
      </c>
      <c r="O2318" t="s">
        <v>97</v>
      </c>
    </row>
    <row r="2319" spans="1:15" x14ac:dyDescent="0.2">
      <c r="A2319">
        <v>19</v>
      </c>
      <c r="B2319">
        <v>20</v>
      </c>
      <c r="C2319">
        <v>19</v>
      </c>
      <c r="D2319">
        <v>18</v>
      </c>
      <c r="E2319" t="s">
        <v>30</v>
      </c>
      <c r="F2319" t="s">
        <v>268</v>
      </c>
      <c r="G2319">
        <v>47</v>
      </c>
      <c r="H2319" t="s">
        <v>187</v>
      </c>
      <c r="I2319">
        <v>0.2</v>
      </c>
      <c r="J2319">
        <v>0.2</v>
      </c>
      <c r="K2319" t="s">
        <v>93</v>
      </c>
      <c r="L2319" t="s">
        <v>188</v>
      </c>
      <c r="M2319" t="s">
        <v>95</v>
      </c>
      <c r="N2319" t="s">
        <v>96</v>
      </c>
      <c r="O2319" t="s">
        <v>97</v>
      </c>
    </row>
    <row r="2320" spans="1:15" x14ac:dyDescent="0.2">
      <c r="A2320">
        <v>19</v>
      </c>
      <c r="B2320">
        <v>20</v>
      </c>
      <c r="C2320">
        <v>19</v>
      </c>
      <c r="D2320">
        <v>18</v>
      </c>
      <c r="E2320" t="s">
        <v>30</v>
      </c>
      <c r="F2320" t="s">
        <v>268</v>
      </c>
      <c r="G2320">
        <v>48</v>
      </c>
      <c r="H2320" t="s">
        <v>189</v>
      </c>
      <c r="I2320">
        <v>0.2</v>
      </c>
      <c r="J2320">
        <v>0.2</v>
      </c>
      <c r="K2320" t="s">
        <v>93</v>
      </c>
      <c r="L2320" t="s">
        <v>190</v>
      </c>
      <c r="M2320" t="s">
        <v>95</v>
      </c>
      <c r="N2320" t="s">
        <v>96</v>
      </c>
      <c r="O2320" t="s">
        <v>97</v>
      </c>
    </row>
    <row r="2321" spans="1:15" x14ac:dyDescent="0.2">
      <c r="A2321">
        <v>19</v>
      </c>
      <c r="B2321">
        <v>20</v>
      </c>
      <c r="C2321">
        <v>19</v>
      </c>
      <c r="D2321">
        <v>18</v>
      </c>
      <c r="E2321" t="s">
        <v>30</v>
      </c>
      <c r="F2321" t="s">
        <v>268</v>
      </c>
      <c r="G2321">
        <v>49</v>
      </c>
      <c r="H2321" t="s">
        <v>191</v>
      </c>
      <c r="I2321">
        <v>0.2</v>
      </c>
      <c r="J2321">
        <v>0.2</v>
      </c>
      <c r="K2321" t="s">
        <v>93</v>
      </c>
      <c r="L2321" t="s">
        <v>192</v>
      </c>
      <c r="M2321" t="s">
        <v>95</v>
      </c>
      <c r="N2321" t="s">
        <v>96</v>
      </c>
      <c r="O2321" t="s">
        <v>97</v>
      </c>
    </row>
    <row r="2322" spans="1:15" x14ac:dyDescent="0.2">
      <c r="A2322">
        <v>19</v>
      </c>
      <c r="B2322">
        <v>20</v>
      </c>
      <c r="C2322">
        <v>19</v>
      </c>
      <c r="D2322">
        <v>18</v>
      </c>
      <c r="E2322" t="s">
        <v>30</v>
      </c>
      <c r="F2322" t="s">
        <v>268</v>
      </c>
      <c r="G2322">
        <v>50</v>
      </c>
      <c r="H2322" t="s">
        <v>193</v>
      </c>
      <c r="I2322">
        <v>0.1</v>
      </c>
      <c r="J2322">
        <v>0.1</v>
      </c>
      <c r="K2322" t="s">
        <v>93</v>
      </c>
      <c r="L2322" t="s">
        <v>194</v>
      </c>
      <c r="M2322" t="s">
        <v>95</v>
      </c>
      <c r="N2322" t="s">
        <v>96</v>
      </c>
      <c r="O2322" t="s">
        <v>97</v>
      </c>
    </row>
    <row r="2323" spans="1:15" x14ac:dyDescent="0.2">
      <c r="A2323">
        <v>19</v>
      </c>
      <c r="B2323">
        <v>20</v>
      </c>
      <c r="C2323">
        <v>19</v>
      </c>
      <c r="D2323">
        <v>18</v>
      </c>
      <c r="E2323" t="s">
        <v>30</v>
      </c>
      <c r="F2323" t="s">
        <v>268</v>
      </c>
      <c r="G2323">
        <v>51</v>
      </c>
      <c r="H2323" t="s">
        <v>193</v>
      </c>
      <c r="I2323">
        <v>0.1</v>
      </c>
      <c r="J2323">
        <v>0.1</v>
      </c>
      <c r="K2323" t="s">
        <v>93</v>
      </c>
      <c r="L2323" t="s">
        <v>194</v>
      </c>
      <c r="M2323" t="s">
        <v>95</v>
      </c>
      <c r="N2323" t="s">
        <v>96</v>
      </c>
      <c r="O2323" t="s">
        <v>97</v>
      </c>
    </row>
    <row r="2324" spans="1:15" x14ac:dyDescent="0.2">
      <c r="A2324">
        <v>19</v>
      </c>
      <c r="B2324">
        <v>20</v>
      </c>
      <c r="C2324">
        <v>19</v>
      </c>
      <c r="D2324">
        <v>18</v>
      </c>
      <c r="E2324" t="s">
        <v>30</v>
      </c>
      <c r="F2324" t="s">
        <v>268</v>
      </c>
      <c r="G2324">
        <v>52</v>
      </c>
      <c r="H2324" t="s">
        <v>200</v>
      </c>
      <c r="I2324">
        <v>0</v>
      </c>
      <c r="J2324" t="s">
        <v>269</v>
      </c>
      <c r="K2324" t="e">
        <v>#N/A</v>
      </c>
      <c r="L2324" t="e">
        <v>#N/A</v>
      </c>
      <c r="M2324" t="e">
        <v>#N/A</v>
      </c>
      <c r="N2324" t="e">
        <v>#N/A</v>
      </c>
      <c r="O2324" t="s">
        <v>97</v>
      </c>
    </row>
    <row r="2325" spans="1:15" x14ac:dyDescent="0.2">
      <c r="A2325">
        <v>19</v>
      </c>
      <c r="B2325">
        <v>20</v>
      </c>
      <c r="C2325">
        <v>19</v>
      </c>
      <c r="D2325">
        <v>18</v>
      </c>
      <c r="E2325" t="s">
        <v>30</v>
      </c>
      <c r="F2325" t="s">
        <v>268</v>
      </c>
      <c r="G2325">
        <v>53</v>
      </c>
      <c r="H2325" t="s">
        <v>201</v>
      </c>
      <c r="I2325">
        <v>0</v>
      </c>
      <c r="J2325">
        <v>0</v>
      </c>
      <c r="K2325" t="e">
        <v>#N/A</v>
      </c>
      <c r="L2325" t="e">
        <v>#N/A</v>
      </c>
      <c r="M2325" t="e">
        <v>#N/A</v>
      </c>
      <c r="N2325" t="e">
        <v>#N/A</v>
      </c>
      <c r="O2325" t="s">
        <v>97</v>
      </c>
    </row>
    <row r="2326" spans="1:15" x14ac:dyDescent="0.2">
      <c r="A2326">
        <v>19</v>
      </c>
      <c r="B2326">
        <v>20</v>
      </c>
      <c r="C2326">
        <v>19</v>
      </c>
      <c r="D2326">
        <v>18</v>
      </c>
      <c r="E2326" t="s">
        <v>30</v>
      </c>
      <c r="F2326" t="s">
        <v>268</v>
      </c>
      <c r="G2326">
        <v>54</v>
      </c>
      <c r="H2326" t="s">
        <v>203</v>
      </c>
      <c r="I2326">
        <v>0</v>
      </c>
      <c r="J2326" t="s">
        <v>270</v>
      </c>
      <c r="K2326" t="e">
        <v>#N/A</v>
      </c>
      <c r="L2326" t="e">
        <v>#N/A</v>
      </c>
      <c r="M2326" t="e">
        <v>#N/A</v>
      </c>
      <c r="N2326" t="e">
        <v>#N/A</v>
      </c>
      <c r="O2326" t="s">
        <v>97</v>
      </c>
    </row>
    <row r="2327" spans="1:15" x14ac:dyDescent="0.2">
      <c r="A2327">
        <v>19</v>
      </c>
      <c r="B2327">
        <v>20</v>
      </c>
      <c r="C2327">
        <v>19</v>
      </c>
      <c r="D2327">
        <v>18</v>
      </c>
      <c r="E2327" t="s">
        <v>30</v>
      </c>
      <c r="F2327" t="s">
        <v>268</v>
      </c>
      <c r="G2327">
        <v>99</v>
      </c>
      <c r="H2327" t="s">
        <v>152</v>
      </c>
      <c r="I2327">
        <v>0</v>
      </c>
      <c r="J2327">
        <v>0</v>
      </c>
      <c r="K2327" t="s">
        <v>153</v>
      </c>
      <c r="L2327" t="s">
        <v>154</v>
      </c>
      <c r="M2327" t="s">
        <v>155</v>
      </c>
      <c r="N2327" t="s">
        <v>107</v>
      </c>
      <c r="O2327" t="s">
        <v>97</v>
      </c>
    </row>
    <row r="2328" spans="1:15" x14ac:dyDescent="0.2">
      <c r="A2328">
        <v>19</v>
      </c>
      <c r="B2328">
        <v>20</v>
      </c>
      <c r="C2328">
        <v>19</v>
      </c>
      <c r="D2328">
        <v>18</v>
      </c>
      <c r="E2328" t="s">
        <v>30</v>
      </c>
      <c r="F2328" t="s">
        <v>268</v>
      </c>
      <c r="G2328">
        <v>98</v>
      </c>
      <c r="H2328" t="s">
        <v>204</v>
      </c>
      <c r="I2328">
        <v>0.5</v>
      </c>
      <c r="J2328">
        <v>1</v>
      </c>
      <c r="K2328" t="s">
        <v>122</v>
      </c>
      <c r="L2328" t="s">
        <v>205</v>
      </c>
      <c r="M2328" t="s">
        <v>206</v>
      </c>
      <c r="N2328" t="s">
        <v>207</v>
      </c>
      <c r="O2328" t="s">
        <v>97</v>
      </c>
    </row>
    <row r="2329" spans="1:15" x14ac:dyDescent="0.2">
      <c r="A2329">
        <v>19</v>
      </c>
      <c r="B2329">
        <v>20</v>
      </c>
      <c r="C2329">
        <v>19</v>
      </c>
      <c r="D2329">
        <v>18</v>
      </c>
      <c r="E2329" t="s">
        <v>30</v>
      </c>
      <c r="F2329" t="s">
        <v>268</v>
      </c>
      <c r="G2329">
        <v>97</v>
      </c>
      <c r="H2329" t="s">
        <v>152</v>
      </c>
      <c r="I2329">
        <v>0.25</v>
      </c>
      <c r="J2329">
        <v>0.25</v>
      </c>
      <c r="K2329" t="s">
        <v>153</v>
      </c>
      <c r="L2329" t="s">
        <v>154</v>
      </c>
      <c r="M2329" t="s">
        <v>155</v>
      </c>
      <c r="N2329" t="s">
        <v>107</v>
      </c>
      <c r="O2329" t="s">
        <v>97</v>
      </c>
    </row>
    <row r="2330" spans="1:15" x14ac:dyDescent="0.2">
      <c r="A2330">
        <v>19</v>
      </c>
      <c r="B2330">
        <v>20</v>
      </c>
      <c r="C2330">
        <v>19</v>
      </c>
      <c r="D2330">
        <v>18</v>
      </c>
      <c r="E2330" t="s">
        <v>30</v>
      </c>
      <c r="F2330" t="s">
        <v>268</v>
      </c>
      <c r="G2330">
        <v>96</v>
      </c>
      <c r="H2330" t="s">
        <v>152</v>
      </c>
      <c r="I2330">
        <v>0</v>
      </c>
      <c r="J2330">
        <v>0</v>
      </c>
      <c r="K2330" t="s">
        <v>153</v>
      </c>
      <c r="L2330" t="s">
        <v>154</v>
      </c>
      <c r="M2330" t="s">
        <v>155</v>
      </c>
      <c r="N2330" t="s">
        <v>107</v>
      </c>
      <c r="O2330" t="s">
        <v>97</v>
      </c>
    </row>
    <row r="2331" spans="1:15" x14ac:dyDescent="0.2">
      <c r="A2331">
        <v>19</v>
      </c>
      <c r="B2331">
        <v>20</v>
      </c>
      <c r="C2331">
        <v>19</v>
      </c>
      <c r="D2331">
        <v>18</v>
      </c>
      <c r="E2331" t="s">
        <v>30</v>
      </c>
      <c r="F2331" t="s">
        <v>268</v>
      </c>
      <c r="G2331">
        <v>101</v>
      </c>
      <c r="H2331" t="s">
        <v>208</v>
      </c>
      <c r="I2331">
        <v>0</v>
      </c>
      <c r="J2331">
        <v>1</v>
      </c>
      <c r="K2331" t="e">
        <v>#N/A</v>
      </c>
      <c r="L2331" t="e">
        <v>#N/A</v>
      </c>
      <c r="M2331" t="e">
        <v>#N/A</v>
      </c>
      <c r="N2331" t="e">
        <v>#N/A</v>
      </c>
      <c r="O2331" t="s">
        <v>97</v>
      </c>
    </row>
    <row r="2332" spans="1:15" x14ac:dyDescent="0.2">
      <c r="A2332">
        <v>19</v>
      </c>
      <c r="B2332">
        <v>20</v>
      </c>
      <c r="C2332">
        <v>19</v>
      </c>
      <c r="D2332">
        <v>18</v>
      </c>
      <c r="E2332" t="s">
        <v>30</v>
      </c>
      <c r="F2332" t="s">
        <v>268</v>
      </c>
      <c r="G2332">
        <v>102</v>
      </c>
      <c r="H2332" t="s">
        <v>209</v>
      </c>
      <c r="I2332">
        <v>0</v>
      </c>
      <c r="J2332">
        <v>1</v>
      </c>
      <c r="K2332" t="e">
        <v>#N/A</v>
      </c>
      <c r="L2332" t="e">
        <v>#N/A</v>
      </c>
      <c r="M2332" t="e">
        <v>#N/A</v>
      </c>
      <c r="N2332" t="e">
        <v>#N/A</v>
      </c>
      <c r="O2332" t="s">
        <v>97</v>
      </c>
    </row>
    <row r="2333" spans="1:15" x14ac:dyDescent="0.2">
      <c r="A2333">
        <v>19</v>
      </c>
      <c r="B2333">
        <v>20</v>
      </c>
      <c r="C2333">
        <v>19</v>
      </c>
      <c r="D2333">
        <v>18</v>
      </c>
      <c r="E2333" t="s">
        <v>30</v>
      </c>
      <c r="F2333" t="s">
        <v>268</v>
      </c>
      <c r="G2333">
        <v>103</v>
      </c>
      <c r="H2333" t="s">
        <v>210</v>
      </c>
      <c r="I2333">
        <v>0</v>
      </c>
      <c r="J2333">
        <v>1</v>
      </c>
      <c r="K2333" t="e">
        <v>#N/A</v>
      </c>
      <c r="L2333" t="e">
        <v>#N/A</v>
      </c>
      <c r="M2333" t="e">
        <v>#N/A</v>
      </c>
      <c r="N2333" t="e">
        <v>#N/A</v>
      </c>
      <c r="O2333" t="s">
        <v>97</v>
      </c>
    </row>
    <row r="2334" spans="1:15" x14ac:dyDescent="0.2">
      <c r="A2334">
        <v>290</v>
      </c>
      <c r="B2334">
        <v>291</v>
      </c>
      <c r="C2334">
        <v>290</v>
      </c>
      <c r="D2334">
        <v>289</v>
      </c>
      <c r="E2334" t="s">
        <v>57</v>
      </c>
      <c r="F2334" t="s">
        <v>61</v>
      </c>
      <c r="G2334">
        <v>1</v>
      </c>
      <c r="H2334" t="s">
        <v>92</v>
      </c>
      <c r="I2334">
        <v>0.2</v>
      </c>
      <c r="J2334">
        <v>0.2</v>
      </c>
      <c r="K2334" t="s">
        <v>93</v>
      </c>
      <c r="L2334" t="s">
        <v>94</v>
      </c>
      <c r="M2334" t="s">
        <v>95</v>
      </c>
      <c r="N2334" t="s">
        <v>96</v>
      </c>
      <c r="O2334" t="s">
        <v>97</v>
      </c>
    </row>
    <row r="2335" spans="1:15" x14ac:dyDescent="0.2">
      <c r="A2335">
        <v>290</v>
      </c>
      <c r="B2335">
        <v>291</v>
      </c>
      <c r="C2335">
        <v>290</v>
      </c>
      <c r="D2335">
        <v>289</v>
      </c>
      <c r="E2335" t="s">
        <v>57</v>
      </c>
      <c r="F2335" t="s">
        <v>61</v>
      </c>
      <c r="G2335">
        <v>2</v>
      </c>
      <c r="H2335" t="s">
        <v>98</v>
      </c>
      <c r="I2335">
        <v>0.25</v>
      </c>
      <c r="J2335">
        <v>0.5</v>
      </c>
      <c r="K2335" t="s">
        <v>93</v>
      </c>
      <c r="L2335" t="s">
        <v>99</v>
      </c>
      <c r="M2335" t="s">
        <v>95</v>
      </c>
      <c r="N2335" t="s">
        <v>96</v>
      </c>
      <c r="O2335" t="s">
        <v>97</v>
      </c>
    </row>
    <row r="2336" spans="1:15" x14ac:dyDescent="0.2">
      <c r="A2336">
        <v>290</v>
      </c>
      <c r="B2336">
        <v>291</v>
      </c>
      <c r="C2336">
        <v>290</v>
      </c>
      <c r="D2336">
        <v>289</v>
      </c>
      <c r="E2336" t="s">
        <v>57</v>
      </c>
      <c r="F2336" t="s">
        <v>61</v>
      </c>
      <c r="G2336">
        <v>3</v>
      </c>
      <c r="H2336" t="s">
        <v>100</v>
      </c>
      <c r="I2336">
        <v>0</v>
      </c>
      <c r="J2336">
        <v>1</v>
      </c>
      <c r="K2336" t="s">
        <v>101</v>
      </c>
      <c r="L2336" t="s">
        <v>102</v>
      </c>
      <c r="M2336" t="s">
        <v>103</v>
      </c>
      <c r="N2336" t="s">
        <v>96</v>
      </c>
      <c r="O2336" t="s">
        <v>97</v>
      </c>
    </row>
    <row r="2337" spans="1:15" x14ac:dyDescent="0.2">
      <c r="A2337">
        <v>290</v>
      </c>
      <c r="B2337">
        <v>291</v>
      </c>
      <c r="C2337">
        <v>290</v>
      </c>
      <c r="D2337">
        <v>289</v>
      </c>
      <c r="E2337" t="s">
        <v>57</v>
      </c>
      <c r="F2337" t="s">
        <v>61</v>
      </c>
      <c r="G2337">
        <v>4</v>
      </c>
      <c r="H2337" t="s">
        <v>104</v>
      </c>
      <c r="I2337">
        <v>0</v>
      </c>
      <c r="J2337">
        <v>1</v>
      </c>
      <c r="K2337" t="s">
        <v>101</v>
      </c>
      <c r="L2337" t="s">
        <v>105</v>
      </c>
      <c r="M2337" t="s">
        <v>106</v>
      </c>
      <c r="N2337" t="s">
        <v>107</v>
      </c>
      <c r="O2337" t="s">
        <v>97</v>
      </c>
    </row>
    <row r="2338" spans="1:15" x14ac:dyDescent="0.2">
      <c r="A2338">
        <v>290</v>
      </c>
      <c r="B2338">
        <v>291</v>
      </c>
      <c r="C2338">
        <v>290</v>
      </c>
      <c r="D2338">
        <v>289</v>
      </c>
      <c r="E2338" t="s">
        <v>57</v>
      </c>
      <c r="F2338" t="s">
        <v>61</v>
      </c>
      <c r="G2338">
        <v>5</v>
      </c>
      <c r="H2338" t="s">
        <v>108</v>
      </c>
      <c r="I2338">
        <v>0</v>
      </c>
      <c r="J2338">
        <v>1</v>
      </c>
      <c r="K2338" t="s">
        <v>101</v>
      </c>
      <c r="L2338" t="s">
        <v>109</v>
      </c>
      <c r="M2338" t="s">
        <v>110</v>
      </c>
      <c r="N2338" t="s">
        <v>107</v>
      </c>
      <c r="O2338" t="s">
        <v>97</v>
      </c>
    </row>
    <row r="2339" spans="1:15" x14ac:dyDescent="0.2">
      <c r="A2339">
        <v>290</v>
      </c>
      <c r="B2339">
        <v>291</v>
      </c>
      <c r="C2339">
        <v>290</v>
      </c>
      <c r="D2339">
        <v>289</v>
      </c>
      <c r="E2339" t="s">
        <v>57</v>
      </c>
      <c r="F2339" t="s">
        <v>61</v>
      </c>
      <c r="G2339">
        <v>9</v>
      </c>
      <c r="H2339" t="s">
        <v>111</v>
      </c>
      <c r="I2339">
        <v>0.25</v>
      </c>
      <c r="J2339">
        <v>0.5</v>
      </c>
      <c r="K2339" t="s">
        <v>112</v>
      </c>
      <c r="L2339" t="s">
        <v>113</v>
      </c>
      <c r="M2339" t="s">
        <v>114</v>
      </c>
      <c r="N2339" t="s">
        <v>96</v>
      </c>
      <c r="O2339" t="s">
        <v>97</v>
      </c>
    </row>
    <row r="2340" spans="1:15" x14ac:dyDescent="0.2">
      <c r="A2340">
        <v>290</v>
      </c>
      <c r="B2340">
        <v>291</v>
      </c>
      <c r="C2340">
        <v>290</v>
      </c>
      <c r="D2340">
        <v>289</v>
      </c>
      <c r="E2340" t="s">
        <v>57</v>
      </c>
      <c r="F2340" t="s">
        <v>61</v>
      </c>
      <c r="G2340">
        <v>10</v>
      </c>
      <c r="H2340" t="s">
        <v>115</v>
      </c>
      <c r="I2340">
        <v>0</v>
      </c>
      <c r="J2340">
        <v>0.5</v>
      </c>
      <c r="K2340" t="s">
        <v>112</v>
      </c>
      <c r="L2340" t="s">
        <v>116</v>
      </c>
      <c r="M2340" t="s">
        <v>117</v>
      </c>
      <c r="N2340" t="s">
        <v>96</v>
      </c>
      <c r="O2340" t="s">
        <v>97</v>
      </c>
    </row>
    <row r="2341" spans="1:15" x14ac:dyDescent="0.2">
      <c r="A2341">
        <v>290</v>
      </c>
      <c r="B2341">
        <v>291</v>
      </c>
      <c r="C2341">
        <v>290</v>
      </c>
      <c r="D2341">
        <v>289</v>
      </c>
      <c r="E2341" t="s">
        <v>57</v>
      </c>
      <c r="F2341" t="s">
        <v>61</v>
      </c>
      <c r="G2341">
        <v>11</v>
      </c>
      <c r="H2341" t="s">
        <v>118</v>
      </c>
      <c r="I2341">
        <v>0.5</v>
      </c>
      <c r="J2341">
        <v>1</v>
      </c>
      <c r="K2341" t="s">
        <v>112</v>
      </c>
      <c r="L2341" t="s">
        <v>119</v>
      </c>
      <c r="M2341" t="s">
        <v>120</v>
      </c>
      <c r="N2341" t="s">
        <v>107</v>
      </c>
      <c r="O2341" t="s">
        <v>97</v>
      </c>
    </row>
    <row r="2342" spans="1:15" x14ac:dyDescent="0.2">
      <c r="A2342">
        <v>290</v>
      </c>
      <c r="B2342">
        <v>291</v>
      </c>
      <c r="C2342">
        <v>290</v>
      </c>
      <c r="D2342">
        <v>289</v>
      </c>
      <c r="E2342" t="s">
        <v>57</v>
      </c>
      <c r="F2342" t="s">
        <v>61</v>
      </c>
      <c r="G2342">
        <v>12</v>
      </c>
      <c r="H2342" t="s">
        <v>121</v>
      </c>
      <c r="I2342">
        <v>0</v>
      </c>
      <c r="J2342">
        <v>0.5</v>
      </c>
      <c r="K2342" t="s">
        <v>122</v>
      </c>
      <c r="L2342" t="s">
        <v>113</v>
      </c>
      <c r="M2342" t="s">
        <v>123</v>
      </c>
      <c r="N2342" t="s">
        <v>96</v>
      </c>
      <c r="O2342" t="s">
        <v>97</v>
      </c>
    </row>
    <row r="2343" spans="1:15" x14ac:dyDescent="0.2">
      <c r="A2343">
        <v>290</v>
      </c>
      <c r="B2343">
        <v>291</v>
      </c>
      <c r="C2343">
        <v>290</v>
      </c>
      <c r="D2343">
        <v>289</v>
      </c>
      <c r="E2343" t="s">
        <v>57</v>
      </c>
      <c r="F2343" t="s">
        <v>61</v>
      </c>
      <c r="G2343">
        <v>13</v>
      </c>
      <c r="H2343" t="s">
        <v>124</v>
      </c>
      <c r="I2343">
        <v>0</v>
      </c>
      <c r="J2343">
        <v>0.5</v>
      </c>
      <c r="K2343" t="s">
        <v>122</v>
      </c>
      <c r="L2343" t="s">
        <v>125</v>
      </c>
      <c r="M2343" t="s">
        <v>126</v>
      </c>
      <c r="N2343" t="s">
        <v>96</v>
      </c>
      <c r="O2343" t="s">
        <v>97</v>
      </c>
    </row>
    <row r="2344" spans="1:15" x14ac:dyDescent="0.2">
      <c r="A2344">
        <v>290</v>
      </c>
      <c r="B2344">
        <v>291</v>
      </c>
      <c r="C2344">
        <v>290</v>
      </c>
      <c r="D2344">
        <v>289</v>
      </c>
      <c r="E2344" t="s">
        <v>57</v>
      </c>
      <c r="F2344" t="s">
        <v>61</v>
      </c>
      <c r="G2344">
        <v>14</v>
      </c>
      <c r="H2344" t="s">
        <v>127</v>
      </c>
      <c r="I2344">
        <v>0.5</v>
      </c>
      <c r="J2344">
        <v>1</v>
      </c>
      <c r="K2344" t="s">
        <v>122</v>
      </c>
      <c r="L2344" t="s">
        <v>119</v>
      </c>
      <c r="M2344" t="s">
        <v>128</v>
      </c>
      <c r="N2344" t="s">
        <v>107</v>
      </c>
      <c r="O2344" t="s">
        <v>97</v>
      </c>
    </row>
    <row r="2345" spans="1:15" x14ac:dyDescent="0.2">
      <c r="A2345">
        <v>290</v>
      </c>
      <c r="B2345">
        <v>291</v>
      </c>
      <c r="C2345">
        <v>290</v>
      </c>
      <c r="D2345">
        <v>289</v>
      </c>
      <c r="E2345" t="s">
        <v>57</v>
      </c>
      <c r="F2345" t="s">
        <v>61</v>
      </c>
      <c r="G2345">
        <v>15</v>
      </c>
      <c r="H2345" t="s">
        <v>129</v>
      </c>
      <c r="I2345">
        <v>1</v>
      </c>
      <c r="J2345">
        <v>1</v>
      </c>
      <c r="K2345" t="s">
        <v>130</v>
      </c>
      <c r="L2345" t="s">
        <v>131</v>
      </c>
      <c r="M2345" t="s">
        <v>132</v>
      </c>
      <c r="N2345" t="s">
        <v>107</v>
      </c>
      <c r="O2345" t="s">
        <v>97</v>
      </c>
    </row>
    <row r="2346" spans="1:15" x14ac:dyDescent="0.2">
      <c r="A2346">
        <v>290</v>
      </c>
      <c r="B2346">
        <v>291</v>
      </c>
      <c r="C2346">
        <v>290</v>
      </c>
      <c r="D2346">
        <v>289</v>
      </c>
      <c r="E2346" t="s">
        <v>57</v>
      </c>
      <c r="F2346" t="s">
        <v>61</v>
      </c>
      <c r="G2346">
        <v>16</v>
      </c>
      <c r="H2346" t="s">
        <v>133</v>
      </c>
      <c r="I2346">
        <v>0</v>
      </c>
      <c r="J2346">
        <v>0</v>
      </c>
      <c r="K2346" t="e">
        <v>#N/A</v>
      </c>
      <c r="L2346" t="e">
        <v>#N/A</v>
      </c>
      <c r="M2346" t="e">
        <v>#N/A</v>
      </c>
      <c r="N2346" t="e">
        <v>#N/A</v>
      </c>
      <c r="O2346" t="s">
        <v>97</v>
      </c>
    </row>
    <row r="2347" spans="1:15" x14ac:dyDescent="0.2">
      <c r="A2347">
        <v>290</v>
      </c>
      <c r="B2347">
        <v>291</v>
      </c>
      <c r="C2347">
        <v>290</v>
      </c>
      <c r="D2347">
        <v>289</v>
      </c>
      <c r="E2347" t="s">
        <v>57</v>
      </c>
      <c r="F2347" t="s">
        <v>61</v>
      </c>
      <c r="G2347">
        <v>17</v>
      </c>
      <c r="H2347" t="s">
        <v>134</v>
      </c>
      <c r="I2347">
        <v>0.5</v>
      </c>
      <c r="J2347">
        <v>1</v>
      </c>
      <c r="K2347" t="s">
        <v>112</v>
      </c>
      <c r="L2347" t="s">
        <v>135</v>
      </c>
      <c r="M2347" t="s">
        <v>136</v>
      </c>
      <c r="N2347" t="s">
        <v>107</v>
      </c>
      <c r="O2347" t="s">
        <v>97</v>
      </c>
    </row>
    <row r="2348" spans="1:15" x14ac:dyDescent="0.2">
      <c r="A2348">
        <v>290</v>
      </c>
      <c r="B2348">
        <v>291</v>
      </c>
      <c r="C2348">
        <v>290</v>
      </c>
      <c r="D2348">
        <v>289</v>
      </c>
      <c r="E2348" t="s">
        <v>57</v>
      </c>
      <c r="F2348" t="s">
        <v>61</v>
      </c>
      <c r="G2348">
        <v>18</v>
      </c>
      <c r="H2348" t="s">
        <v>137</v>
      </c>
      <c r="I2348">
        <v>1</v>
      </c>
      <c r="J2348">
        <v>1</v>
      </c>
      <c r="K2348" t="s">
        <v>112</v>
      </c>
      <c r="L2348" t="s">
        <v>138</v>
      </c>
      <c r="M2348" t="s">
        <v>139</v>
      </c>
      <c r="N2348" t="s">
        <v>107</v>
      </c>
      <c r="O2348" t="s">
        <v>97</v>
      </c>
    </row>
    <row r="2349" spans="1:15" x14ac:dyDescent="0.2">
      <c r="A2349">
        <v>290</v>
      </c>
      <c r="B2349">
        <v>291</v>
      </c>
      <c r="C2349">
        <v>290</v>
      </c>
      <c r="D2349">
        <v>289</v>
      </c>
      <c r="E2349" t="s">
        <v>57</v>
      </c>
      <c r="F2349" t="s">
        <v>61</v>
      </c>
      <c r="G2349">
        <v>19</v>
      </c>
      <c r="H2349" t="s">
        <v>140</v>
      </c>
      <c r="I2349">
        <v>0.5</v>
      </c>
      <c r="J2349">
        <v>1</v>
      </c>
      <c r="K2349" t="s">
        <v>122</v>
      </c>
      <c r="L2349" t="s">
        <v>141</v>
      </c>
      <c r="M2349" t="s">
        <v>142</v>
      </c>
      <c r="N2349" t="s">
        <v>107</v>
      </c>
      <c r="O2349" t="s">
        <v>97</v>
      </c>
    </row>
    <row r="2350" spans="1:15" x14ac:dyDescent="0.2">
      <c r="A2350">
        <v>290</v>
      </c>
      <c r="B2350">
        <v>291</v>
      </c>
      <c r="C2350">
        <v>290</v>
      </c>
      <c r="D2350">
        <v>289</v>
      </c>
      <c r="E2350" t="s">
        <v>57</v>
      </c>
      <c r="F2350" t="s">
        <v>61</v>
      </c>
      <c r="G2350">
        <v>20</v>
      </c>
      <c r="H2350" t="s">
        <v>143</v>
      </c>
      <c r="I2350">
        <v>1</v>
      </c>
      <c r="J2350">
        <v>1</v>
      </c>
      <c r="K2350" t="s">
        <v>122</v>
      </c>
      <c r="L2350" t="s">
        <v>144</v>
      </c>
      <c r="M2350" t="s">
        <v>145</v>
      </c>
      <c r="N2350" t="s">
        <v>107</v>
      </c>
      <c r="O2350" t="s">
        <v>97</v>
      </c>
    </row>
    <row r="2351" spans="1:15" x14ac:dyDescent="0.2">
      <c r="A2351">
        <v>290</v>
      </c>
      <c r="B2351">
        <v>291</v>
      </c>
      <c r="C2351">
        <v>290</v>
      </c>
      <c r="D2351">
        <v>289</v>
      </c>
      <c r="E2351" t="s">
        <v>57</v>
      </c>
      <c r="F2351" t="s">
        <v>61</v>
      </c>
      <c r="G2351">
        <v>21</v>
      </c>
      <c r="H2351" t="s">
        <v>146</v>
      </c>
      <c r="I2351">
        <v>0.5</v>
      </c>
      <c r="J2351">
        <v>1</v>
      </c>
      <c r="K2351" t="s">
        <v>147</v>
      </c>
      <c r="L2351" t="s">
        <v>148</v>
      </c>
      <c r="M2351" t="s">
        <v>149</v>
      </c>
      <c r="N2351" t="s">
        <v>96</v>
      </c>
      <c r="O2351" t="s">
        <v>97</v>
      </c>
    </row>
    <row r="2352" spans="1:15" x14ac:dyDescent="0.2">
      <c r="A2352">
        <v>290</v>
      </c>
      <c r="B2352">
        <v>291</v>
      </c>
      <c r="C2352">
        <v>290</v>
      </c>
      <c r="D2352">
        <v>289</v>
      </c>
      <c r="E2352" t="s">
        <v>57</v>
      </c>
      <c r="F2352" t="s">
        <v>61</v>
      </c>
      <c r="G2352">
        <v>22</v>
      </c>
      <c r="H2352" t="s">
        <v>150</v>
      </c>
      <c r="I2352">
        <v>0</v>
      </c>
      <c r="J2352">
        <v>1</v>
      </c>
      <c r="K2352" t="s">
        <v>147</v>
      </c>
      <c r="L2352" t="s">
        <v>151</v>
      </c>
      <c r="M2352" t="s">
        <v>149</v>
      </c>
      <c r="N2352" t="s">
        <v>107</v>
      </c>
      <c r="O2352" t="s">
        <v>97</v>
      </c>
    </row>
    <row r="2353" spans="1:15" x14ac:dyDescent="0.2">
      <c r="A2353">
        <v>290</v>
      </c>
      <c r="B2353">
        <v>291</v>
      </c>
      <c r="C2353">
        <v>290</v>
      </c>
      <c r="D2353">
        <v>289</v>
      </c>
      <c r="E2353" t="s">
        <v>57</v>
      </c>
      <c r="F2353" t="s">
        <v>61</v>
      </c>
      <c r="G2353">
        <v>23</v>
      </c>
      <c r="H2353" t="s">
        <v>152</v>
      </c>
      <c r="I2353">
        <v>0</v>
      </c>
      <c r="J2353">
        <v>0</v>
      </c>
      <c r="K2353" t="s">
        <v>153</v>
      </c>
      <c r="L2353" t="s">
        <v>154</v>
      </c>
      <c r="M2353" t="s">
        <v>155</v>
      </c>
      <c r="N2353" t="s">
        <v>107</v>
      </c>
      <c r="O2353" t="s">
        <v>97</v>
      </c>
    </row>
    <row r="2354" spans="1:15" x14ac:dyDescent="0.2">
      <c r="A2354">
        <v>290</v>
      </c>
      <c r="B2354">
        <v>291</v>
      </c>
      <c r="C2354">
        <v>290</v>
      </c>
      <c r="D2354">
        <v>289</v>
      </c>
      <c r="E2354" t="s">
        <v>57</v>
      </c>
      <c r="F2354" t="s">
        <v>61</v>
      </c>
      <c r="G2354">
        <v>24</v>
      </c>
      <c r="H2354" t="s">
        <v>156</v>
      </c>
      <c r="I2354">
        <v>0</v>
      </c>
      <c r="J2354">
        <v>0.5</v>
      </c>
      <c r="K2354" t="s">
        <v>122</v>
      </c>
      <c r="L2354" t="s">
        <v>157</v>
      </c>
      <c r="M2354" t="s">
        <v>158</v>
      </c>
      <c r="N2354" t="s">
        <v>107</v>
      </c>
      <c r="O2354" t="s">
        <v>97</v>
      </c>
    </row>
    <row r="2355" spans="1:15" x14ac:dyDescent="0.2">
      <c r="A2355">
        <v>290</v>
      </c>
      <c r="B2355">
        <v>291</v>
      </c>
      <c r="C2355">
        <v>290</v>
      </c>
      <c r="D2355">
        <v>289</v>
      </c>
      <c r="E2355" t="s">
        <v>57</v>
      </c>
      <c r="F2355" t="s">
        <v>61</v>
      </c>
      <c r="G2355">
        <v>25</v>
      </c>
      <c r="H2355" t="s">
        <v>156</v>
      </c>
      <c r="I2355">
        <v>0</v>
      </c>
      <c r="J2355">
        <v>0.5</v>
      </c>
      <c r="K2355" t="s">
        <v>122</v>
      </c>
      <c r="L2355" t="s">
        <v>157</v>
      </c>
      <c r="M2355" t="s">
        <v>158</v>
      </c>
      <c r="N2355" t="s">
        <v>107</v>
      </c>
      <c r="O2355" t="s">
        <v>97</v>
      </c>
    </row>
    <row r="2356" spans="1:15" x14ac:dyDescent="0.2">
      <c r="A2356">
        <v>290</v>
      </c>
      <c r="B2356">
        <v>291</v>
      </c>
      <c r="C2356">
        <v>290</v>
      </c>
      <c r="D2356">
        <v>289</v>
      </c>
      <c r="E2356" t="s">
        <v>57</v>
      </c>
      <c r="F2356" t="s">
        <v>61</v>
      </c>
      <c r="G2356">
        <v>26</v>
      </c>
      <c r="H2356" t="s">
        <v>152</v>
      </c>
      <c r="I2356">
        <v>0</v>
      </c>
      <c r="J2356">
        <v>0</v>
      </c>
      <c r="K2356" t="s">
        <v>153</v>
      </c>
      <c r="L2356" t="s">
        <v>154</v>
      </c>
      <c r="M2356" t="s">
        <v>155</v>
      </c>
      <c r="N2356" t="s">
        <v>107</v>
      </c>
      <c r="O2356" t="s">
        <v>97</v>
      </c>
    </row>
    <row r="2357" spans="1:15" x14ac:dyDescent="0.2">
      <c r="A2357">
        <v>290</v>
      </c>
      <c r="B2357">
        <v>291</v>
      </c>
      <c r="C2357">
        <v>290</v>
      </c>
      <c r="D2357">
        <v>289</v>
      </c>
      <c r="E2357" t="s">
        <v>57</v>
      </c>
      <c r="F2357" t="s">
        <v>61</v>
      </c>
      <c r="G2357">
        <v>27</v>
      </c>
      <c r="H2357" t="s">
        <v>159</v>
      </c>
      <c r="I2357">
        <v>0.5</v>
      </c>
      <c r="J2357">
        <v>0.5</v>
      </c>
      <c r="K2357" t="s">
        <v>122</v>
      </c>
      <c r="L2357" t="s">
        <v>160</v>
      </c>
      <c r="M2357" t="s">
        <v>161</v>
      </c>
      <c r="N2357" t="s">
        <v>107</v>
      </c>
      <c r="O2357" t="s">
        <v>97</v>
      </c>
    </row>
    <row r="2358" spans="1:15" x14ac:dyDescent="0.2">
      <c r="A2358">
        <v>290</v>
      </c>
      <c r="B2358">
        <v>291</v>
      </c>
      <c r="C2358">
        <v>290</v>
      </c>
      <c r="D2358">
        <v>289</v>
      </c>
      <c r="E2358" t="s">
        <v>57</v>
      </c>
      <c r="F2358" t="s">
        <v>61</v>
      </c>
      <c r="G2358">
        <v>28</v>
      </c>
      <c r="H2358" t="s">
        <v>159</v>
      </c>
      <c r="I2358">
        <v>0.5</v>
      </c>
      <c r="J2358">
        <v>0.5</v>
      </c>
      <c r="K2358" t="s">
        <v>122</v>
      </c>
      <c r="L2358" t="s">
        <v>160</v>
      </c>
      <c r="M2358" t="s">
        <v>161</v>
      </c>
      <c r="N2358" t="s">
        <v>107</v>
      </c>
      <c r="O2358" t="s">
        <v>97</v>
      </c>
    </row>
    <row r="2359" spans="1:15" x14ac:dyDescent="0.2">
      <c r="A2359">
        <v>290</v>
      </c>
      <c r="B2359">
        <v>291</v>
      </c>
      <c r="C2359">
        <v>290</v>
      </c>
      <c r="D2359">
        <v>289</v>
      </c>
      <c r="E2359" t="s">
        <v>57</v>
      </c>
      <c r="F2359" t="s">
        <v>61</v>
      </c>
      <c r="G2359">
        <v>29</v>
      </c>
      <c r="H2359" t="s">
        <v>152</v>
      </c>
      <c r="I2359">
        <v>0</v>
      </c>
      <c r="J2359">
        <v>0</v>
      </c>
      <c r="K2359" t="s">
        <v>153</v>
      </c>
      <c r="L2359" t="s">
        <v>154</v>
      </c>
      <c r="M2359" t="s">
        <v>155</v>
      </c>
      <c r="N2359" t="s">
        <v>107</v>
      </c>
      <c r="O2359" t="s">
        <v>97</v>
      </c>
    </row>
    <row r="2360" spans="1:15" x14ac:dyDescent="0.2">
      <c r="A2360">
        <v>290</v>
      </c>
      <c r="B2360">
        <v>291</v>
      </c>
      <c r="C2360">
        <v>290</v>
      </c>
      <c r="D2360">
        <v>289</v>
      </c>
      <c r="E2360" t="s">
        <v>57</v>
      </c>
      <c r="F2360" t="s">
        <v>61</v>
      </c>
      <c r="G2360">
        <v>30</v>
      </c>
      <c r="H2360" t="s">
        <v>162</v>
      </c>
      <c r="I2360">
        <v>0.5</v>
      </c>
      <c r="J2360">
        <v>1</v>
      </c>
      <c r="K2360" t="s">
        <v>112</v>
      </c>
      <c r="L2360" t="s">
        <v>163</v>
      </c>
      <c r="M2360" t="s">
        <v>164</v>
      </c>
      <c r="N2360" t="s">
        <v>107</v>
      </c>
      <c r="O2360" t="s">
        <v>97</v>
      </c>
    </row>
    <row r="2361" spans="1:15" x14ac:dyDescent="0.2">
      <c r="A2361">
        <v>290</v>
      </c>
      <c r="B2361">
        <v>291</v>
      </c>
      <c r="C2361">
        <v>290</v>
      </c>
      <c r="D2361">
        <v>289</v>
      </c>
      <c r="E2361" t="s">
        <v>57</v>
      </c>
      <c r="F2361" t="s">
        <v>61</v>
      </c>
      <c r="G2361">
        <v>31</v>
      </c>
      <c r="H2361" t="s">
        <v>162</v>
      </c>
      <c r="I2361">
        <v>0</v>
      </c>
      <c r="J2361">
        <v>0</v>
      </c>
      <c r="K2361" t="s">
        <v>112</v>
      </c>
      <c r="L2361" t="s">
        <v>163</v>
      </c>
      <c r="M2361" t="s">
        <v>164</v>
      </c>
      <c r="N2361" t="s">
        <v>107</v>
      </c>
      <c r="O2361" t="s">
        <v>97</v>
      </c>
    </row>
    <row r="2362" spans="1:15" x14ac:dyDescent="0.2">
      <c r="A2362">
        <v>290</v>
      </c>
      <c r="B2362">
        <v>291</v>
      </c>
      <c r="C2362">
        <v>290</v>
      </c>
      <c r="D2362">
        <v>289</v>
      </c>
      <c r="E2362" t="s">
        <v>57</v>
      </c>
      <c r="F2362" t="s">
        <v>61</v>
      </c>
      <c r="G2362">
        <v>32</v>
      </c>
      <c r="H2362" t="s">
        <v>162</v>
      </c>
      <c r="I2362">
        <v>0</v>
      </c>
      <c r="J2362">
        <v>0</v>
      </c>
      <c r="K2362" t="s">
        <v>112</v>
      </c>
      <c r="L2362" t="s">
        <v>163</v>
      </c>
      <c r="M2362" t="s">
        <v>164</v>
      </c>
      <c r="N2362" t="s">
        <v>107</v>
      </c>
      <c r="O2362" t="s">
        <v>97</v>
      </c>
    </row>
    <row r="2363" spans="1:15" x14ac:dyDescent="0.2">
      <c r="A2363">
        <v>290</v>
      </c>
      <c r="B2363">
        <v>291</v>
      </c>
      <c r="C2363">
        <v>290</v>
      </c>
      <c r="D2363">
        <v>289</v>
      </c>
      <c r="E2363" t="s">
        <v>57</v>
      </c>
      <c r="F2363" t="s">
        <v>61</v>
      </c>
      <c r="G2363">
        <v>33</v>
      </c>
      <c r="H2363" t="s">
        <v>152</v>
      </c>
      <c r="I2363">
        <v>0</v>
      </c>
      <c r="J2363">
        <v>1</v>
      </c>
      <c r="K2363" t="s">
        <v>153</v>
      </c>
      <c r="L2363" t="s">
        <v>154</v>
      </c>
      <c r="M2363" t="s">
        <v>155</v>
      </c>
      <c r="N2363" t="s">
        <v>107</v>
      </c>
      <c r="O2363" t="s">
        <v>97</v>
      </c>
    </row>
    <row r="2364" spans="1:15" x14ac:dyDescent="0.2">
      <c r="A2364">
        <v>290</v>
      </c>
      <c r="B2364">
        <v>291</v>
      </c>
      <c r="C2364">
        <v>290</v>
      </c>
      <c r="D2364">
        <v>289</v>
      </c>
      <c r="E2364" t="s">
        <v>57</v>
      </c>
      <c r="F2364" t="s">
        <v>61</v>
      </c>
      <c r="G2364">
        <v>34</v>
      </c>
      <c r="H2364" t="s">
        <v>152</v>
      </c>
      <c r="I2364">
        <v>0</v>
      </c>
      <c r="J2364">
        <v>0</v>
      </c>
      <c r="K2364" t="s">
        <v>153</v>
      </c>
      <c r="L2364" t="s">
        <v>154</v>
      </c>
      <c r="M2364" t="s">
        <v>155</v>
      </c>
      <c r="N2364" t="s">
        <v>107</v>
      </c>
      <c r="O2364" t="s">
        <v>97</v>
      </c>
    </row>
    <row r="2365" spans="1:15" x14ac:dyDescent="0.2">
      <c r="A2365">
        <v>290</v>
      </c>
      <c r="B2365">
        <v>291</v>
      </c>
      <c r="C2365">
        <v>290</v>
      </c>
      <c r="D2365">
        <v>289</v>
      </c>
      <c r="E2365" t="s">
        <v>57</v>
      </c>
      <c r="F2365" t="s">
        <v>61</v>
      </c>
      <c r="G2365">
        <v>35</v>
      </c>
      <c r="H2365" t="s">
        <v>165</v>
      </c>
      <c r="I2365">
        <v>0</v>
      </c>
      <c r="J2365">
        <v>1</v>
      </c>
      <c r="K2365" t="s">
        <v>166</v>
      </c>
      <c r="L2365" t="s">
        <v>167</v>
      </c>
      <c r="M2365" t="s">
        <v>168</v>
      </c>
      <c r="N2365" t="s">
        <v>107</v>
      </c>
      <c r="O2365" t="s">
        <v>97</v>
      </c>
    </row>
    <row r="2366" spans="1:15" x14ac:dyDescent="0.2">
      <c r="A2366">
        <v>290</v>
      </c>
      <c r="B2366">
        <v>291</v>
      </c>
      <c r="C2366">
        <v>290</v>
      </c>
      <c r="D2366">
        <v>289</v>
      </c>
      <c r="E2366" t="s">
        <v>57</v>
      </c>
      <c r="F2366" t="s">
        <v>61</v>
      </c>
      <c r="G2366">
        <v>36</v>
      </c>
      <c r="H2366" t="s">
        <v>169</v>
      </c>
      <c r="I2366">
        <v>0</v>
      </c>
      <c r="J2366">
        <v>0</v>
      </c>
      <c r="K2366" t="e">
        <v>#N/A</v>
      </c>
      <c r="L2366" t="e">
        <v>#N/A</v>
      </c>
      <c r="M2366" t="e">
        <v>#N/A</v>
      </c>
      <c r="N2366" t="e">
        <v>#N/A</v>
      </c>
      <c r="O2366" t="s">
        <v>97</v>
      </c>
    </row>
    <row r="2367" spans="1:15" x14ac:dyDescent="0.2">
      <c r="A2367">
        <v>290</v>
      </c>
      <c r="B2367">
        <v>291</v>
      </c>
      <c r="C2367">
        <v>290</v>
      </c>
      <c r="D2367">
        <v>289</v>
      </c>
      <c r="E2367" t="s">
        <v>57</v>
      </c>
      <c r="F2367" t="s">
        <v>61</v>
      </c>
      <c r="G2367">
        <v>38</v>
      </c>
      <c r="H2367" t="s">
        <v>170</v>
      </c>
      <c r="I2367">
        <v>0</v>
      </c>
      <c r="J2367">
        <v>0</v>
      </c>
      <c r="K2367" t="s">
        <v>112</v>
      </c>
      <c r="L2367" t="s">
        <v>171</v>
      </c>
      <c r="M2367" t="s">
        <v>172</v>
      </c>
      <c r="N2367" t="s">
        <v>96</v>
      </c>
      <c r="O2367" t="s">
        <v>97</v>
      </c>
    </row>
    <row r="2368" spans="1:15" x14ac:dyDescent="0.2">
      <c r="A2368">
        <v>290</v>
      </c>
      <c r="B2368">
        <v>291</v>
      </c>
      <c r="C2368">
        <v>290</v>
      </c>
      <c r="D2368">
        <v>289</v>
      </c>
      <c r="E2368" t="s">
        <v>57</v>
      </c>
      <c r="F2368" t="s">
        <v>61</v>
      </c>
      <c r="G2368">
        <v>39</v>
      </c>
      <c r="H2368" t="s">
        <v>170</v>
      </c>
      <c r="I2368">
        <v>0</v>
      </c>
      <c r="J2368">
        <v>0</v>
      </c>
      <c r="K2368" t="s">
        <v>112</v>
      </c>
      <c r="L2368" t="s">
        <v>171</v>
      </c>
      <c r="M2368" t="s">
        <v>172</v>
      </c>
      <c r="N2368" t="s">
        <v>96</v>
      </c>
      <c r="O2368" t="s">
        <v>97</v>
      </c>
    </row>
    <row r="2369" spans="1:15" x14ac:dyDescent="0.2">
      <c r="A2369">
        <v>290</v>
      </c>
      <c r="B2369">
        <v>291</v>
      </c>
      <c r="C2369">
        <v>290</v>
      </c>
      <c r="D2369">
        <v>289</v>
      </c>
      <c r="E2369" t="s">
        <v>57</v>
      </c>
      <c r="F2369" t="s">
        <v>61</v>
      </c>
      <c r="G2369">
        <v>40</v>
      </c>
      <c r="H2369" t="s">
        <v>170</v>
      </c>
      <c r="I2369">
        <v>0</v>
      </c>
      <c r="J2369">
        <v>0</v>
      </c>
      <c r="K2369" t="s">
        <v>112</v>
      </c>
      <c r="L2369" t="s">
        <v>171</v>
      </c>
      <c r="M2369" t="s">
        <v>172</v>
      </c>
      <c r="N2369" t="s">
        <v>96</v>
      </c>
      <c r="O2369" t="s">
        <v>97</v>
      </c>
    </row>
    <row r="2370" spans="1:15" x14ac:dyDescent="0.2">
      <c r="A2370">
        <v>290</v>
      </c>
      <c r="B2370">
        <v>291</v>
      </c>
      <c r="C2370">
        <v>290</v>
      </c>
      <c r="D2370">
        <v>289</v>
      </c>
      <c r="E2370" t="s">
        <v>57</v>
      </c>
      <c r="F2370" t="s">
        <v>61</v>
      </c>
      <c r="G2370">
        <v>41</v>
      </c>
      <c r="H2370" t="s">
        <v>173</v>
      </c>
      <c r="I2370">
        <v>0</v>
      </c>
      <c r="J2370">
        <v>0</v>
      </c>
      <c r="K2370" t="s">
        <v>166</v>
      </c>
      <c r="L2370" t="s">
        <v>174</v>
      </c>
      <c r="M2370" t="s">
        <v>175</v>
      </c>
      <c r="N2370" t="s">
        <v>107</v>
      </c>
      <c r="O2370" t="s">
        <v>97</v>
      </c>
    </row>
    <row r="2371" spans="1:15" x14ac:dyDescent="0.2">
      <c r="A2371">
        <v>290</v>
      </c>
      <c r="B2371">
        <v>291</v>
      </c>
      <c r="C2371">
        <v>290</v>
      </c>
      <c r="D2371">
        <v>289</v>
      </c>
      <c r="E2371" t="s">
        <v>57</v>
      </c>
      <c r="F2371" t="s">
        <v>61</v>
      </c>
      <c r="G2371">
        <v>42</v>
      </c>
      <c r="H2371" t="s">
        <v>176</v>
      </c>
      <c r="I2371">
        <v>0</v>
      </c>
      <c r="J2371" t="s">
        <v>198</v>
      </c>
      <c r="K2371" t="s">
        <v>153</v>
      </c>
      <c r="L2371" t="s">
        <v>177</v>
      </c>
      <c r="M2371" t="s">
        <v>178</v>
      </c>
      <c r="N2371" t="s">
        <v>107</v>
      </c>
      <c r="O2371" t="s">
        <v>97</v>
      </c>
    </row>
    <row r="2372" spans="1:15" x14ac:dyDescent="0.2">
      <c r="A2372">
        <v>290</v>
      </c>
      <c r="B2372">
        <v>291</v>
      </c>
      <c r="C2372">
        <v>290</v>
      </c>
      <c r="D2372">
        <v>289</v>
      </c>
      <c r="E2372" t="s">
        <v>57</v>
      </c>
      <c r="F2372" t="s">
        <v>61</v>
      </c>
      <c r="G2372">
        <v>43</v>
      </c>
      <c r="H2372" t="s">
        <v>179</v>
      </c>
      <c r="I2372">
        <v>0</v>
      </c>
      <c r="J2372">
        <v>0</v>
      </c>
      <c r="K2372" t="s">
        <v>166</v>
      </c>
      <c r="L2372" t="s">
        <v>180</v>
      </c>
      <c r="M2372" t="s">
        <v>181</v>
      </c>
      <c r="N2372" t="s">
        <v>107</v>
      </c>
      <c r="O2372" t="s">
        <v>97</v>
      </c>
    </row>
    <row r="2373" spans="1:15" x14ac:dyDescent="0.2">
      <c r="A2373">
        <v>290</v>
      </c>
      <c r="B2373">
        <v>291</v>
      </c>
      <c r="C2373">
        <v>290</v>
      </c>
      <c r="D2373">
        <v>289</v>
      </c>
      <c r="E2373" t="s">
        <v>57</v>
      </c>
      <c r="F2373" t="s">
        <v>61</v>
      </c>
      <c r="G2373">
        <v>44</v>
      </c>
      <c r="H2373" t="s">
        <v>182</v>
      </c>
      <c r="I2373">
        <v>0</v>
      </c>
      <c r="J2373">
        <v>1</v>
      </c>
      <c r="K2373" t="s">
        <v>166</v>
      </c>
      <c r="L2373" t="s">
        <v>183</v>
      </c>
      <c r="M2373" t="s">
        <v>184</v>
      </c>
      <c r="N2373" t="s">
        <v>107</v>
      </c>
      <c r="O2373" t="s">
        <v>97</v>
      </c>
    </row>
    <row r="2374" spans="1:15" x14ac:dyDescent="0.2">
      <c r="A2374">
        <v>290</v>
      </c>
      <c r="B2374">
        <v>291</v>
      </c>
      <c r="C2374">
        <v>290</v>
      </c>
      <c r="D2374">
        <v>289</v>
      </c>
      <c r="E2374" t="s">
        <v>57</v>
      </c>
      <c r="F2374" t="s">
        <v>61</v>
      </c>
      <c r="G2374">
        <v>45</v>
      </c>
      <c r="H2374" t="s">
        <v>185</v>
      </c>
      <c r="I2374">
        <v>0</v>
      </c>
      <c r="J2374">
        <v>1</v>
      </c>
      <c r="K2374" t="s">
        <v>166</v>
      </c>
      <c r="L2374" t="s">
        <v>186</v>
      </c>
      <c r="M2374" t="s">
        <v>139</v>
      </c>
      <c r="N2374" t="s">
        <v>107</v>
      </c>
      <c r="O2374" t="s">
        <v>97</v>
      </c>
    </row>
    <row r="2375" spans="1:15" x14ac:dyDescent="0.2">
      <c r="A2375">
        <v>290</v>
      </c>
      <c r="B2375">
        <v>291</v>
      </c>
      <c r="C2375">
        <v>290</v>
      </c>
      <c r="D2375">
        <v>289</v>
      </c>
      <c r="E2375" t="s">
        <v>57</v>
      </c>
      <c r="F2375" t="s">
        <v>61</v>
      </c>
      <c r="G2375">
        <v>47</v>
      </c>
      <c r="H2375" t="s">
        <v>187</v>
      </c>
      <c r="I2375">
        <v>0.2</v>
      </c>
      <c r="J2375">
        <v>0.2</v>
      </c>
      <c r="K2375" t="s">
        <v>93</v>
      </c>
      <c r="L2375" t="s">
        <v>188</v>
      </c>
      <c r="M2375" t="s">
        <v>95</v>
      </c>
      <c r="N2375" t="s">
        <v>96</v>
      </c>
      <c r="O2375" t="s">
        <v>97</v>
      </c>
    </row>
    <row r="2376" spans="1:15" x14ac:dyDescent="0.2">
      <c r="A2376">
        <v>290</v>
      </c>
      <c r="B2376">
        <v>291</v>
      </c>
      <c r="C2376">
        <v>290</v>
      </c>
      <c r="D2376">
        <v>289</v>
      </c>
      <c r="E2376" t="s">
        <v>57</v>
      </c>
      <c r="F2376" t="s">
        <v>61</v>
      </c>
      <c r="G2376">
        <v>48</v>
      </c>
      <c r="H2376" t="s">
        <v>189</v>
      </c>
      <c r="I2376">
        <v>0.2</v>
      </c>
      <c r="J2376">
        <v>0.2</v>
      </c>
      <c r="K2376" t="s">
        <v>93</v>
      </c>
      <c r="L2376" t="s">
        <v>190</v>
      </c>
      <c r="M2376" t="s">
        <v>95</v>
      </c>
      <c r="N2376" t="s">
        <v>96</v>
      </c>
      <c r="O2376" t="s">
        <v>97</v>
      </c>
    </row>
    <row r="2377" spans="1:15" x14ac:dyDescent="0.2">
      <c r="A2377">
        <v>290</v>
      </c>
      <c r="B2377">
        <v>291</v>
      </c>
      <c r="C2377">
        <v>290</v>
      </c>
      <c r="D2377">
        <v>289</v>
      </c>
      <c r="E2377" t="s">
        <v>57</v>
      </c>
      <c r="F2377" t="s">
        <v>61</v>
      </c>
      <c r="G2377">
        <v>49</v>
      </c>
      <c r="H2377" t="s">
        <v>191</v>
      </c>
      <c r="I2377">
        <v>0.2</v>
      </c>
      <c r="J2377">
        <v>0.2</v>
      </c>
      <c r="K2377" t="s">
        <v>93</v>
      </c>
      <c r="L2377" t="s">
        <v>192</v>
      </c>
      <c r="M2377" t="s">
        <v>95</v>
      </c>
      <c r="N2377" t="s">
        <v>96</v>
      </c>
      <c r="O2377" t="s">
        <v>97</v>
      </c>
    </row>
    <row r="2378" spans="1:15" x14ac:dyDescent="0.2">
      <c r="A2378">
        <v>290</v>
      </c>
      <c r="B2378">
        <v>291</v>
      </c>
      <c r="C2378">
        <v>290</v>
      </c>
      <c r="D2378">
        <v>289</v>
      </c>
      <c r="E2378" t="s">
        <v>57</v>
      </c>
      <c r="F2378" t="s">
        <v>61</v>
      </c>
      <c r="G2378">
        <v>50</v>
      </c>
      <c r="H2378" t="s">
        <v>193</v>
      </c>
      <c r="I2378">
        <v>0.1</v>
      </c>
      <c r="J2378">
        <v>0.1</v>
      </c>
      <c r="K2378" t="s">
        <v>93</v>
      </c>
      <c r="L2378" t="s">
        <v>194</v>
      </c>
      <c r="M2378" t="s">
        <v>95</v>
      </c>
      <c r="N2378" t="s">
        <v>96</v>
      </c>
      <c r="O2378" t="s">
        <v>97</v>
      </c>
    </row>
    <row r="2379" spans="1:15" x14ac:dyDescent="0.2">
      <c r="A2379">
        <v>290</v>
      </c>
      <c r="B2379">
        <v>291</v>
      </c>
      <c r="C2379">
        <v>290</v>
      </c>
      <c r="D2379">
        <v>289</v>
      </c>
      <c r="E2379" t="s">
        <v>57</v>
      </c>
      <c r="F2379" t="s">
        <v>61</v>
      </c>
      <c r="G2379">
        <v>51</v>
      </c>
      <c r="H2379" t="s">
        <v>193</v>
      </c>
      <c r="I2379">
        <v>0.1</v>
      </c>
      <c r="J2379">
        <v>0.1</v>
      </c>
      <c r="K2379" t="s">
        <v>93</v>
      </c>
      <c r="L2379" t="s">
        <v>194</v>
      </c>
      <c r="M2379" t="s">
        <v>95</v>
      </c>
      <c r="N2379" t="s">
        <v>96</v>
      </c>
      <c r="O2379" t="s">
        <v>97</v>
      </c>
    </row>
    <row r="2380" spans="1:15" x14ac:dyDescent="0.2">
      <c r="A2380">
        <v>290</v>
      </c>
      <c r="B2380">
        <v>291</v>
      </c>
      <c r="C2380">
        <v>290</v>
      </c>
      <c r="D2380">
        <v>289</v>
      </c>
      <c r="E2380" t="s">
        <v>57</v>
      </c>
      <c r="F2380" t="s">
        <v>61</v>
      </c>
      <c r="G2380">
        <v>97</v>
      </c>
      <c r="H2380" t="s">
        <v>152</v>
      </c>
      <c r="I2380">
        <v>0.25</v>
      </c>
      <c r="J2380">
        <v>0.25</v>
      </c>
      <c r="K2380" t="s">
        <v>153</v>
      </c>
      <c r="L2380" t="s">
        <v>154</v>
      </c>
      <c r="M2380" t="s">
        <v>155</v>
      </c>
      <c r="N2380" t="s">
        <v>107</v>
      </c>
      <c r="O2380" t="s">
        <v>97</v>
      </c>
    </row>
    <row r="2381" spans="1:15" x14ac:dyDescent="0.2">
      <c r="A2381">
        <v>290</v>
      </c>
      <c r="B2381">
        <v>291</v>
      </c>
      <c r="C2381">
        <v>290</v>
      </c>
      <c r="D2381">
        <v>289</v>
      </c>
      <c r="E2381" t="s">
        <v>57</v>
      </c>
      <c r="F2381" t="s">
        <v>61</v>
      </c>
      <c r="G2381">
        <v>96</v>
      </c>
      <c r="H2381" t="s">
        <v>152</v>
      </c>
      <c r="I2381">
        <v>0</v>
      </c>
      <c r="J2381">
        <v>0</v>
      </c>
      <c r="K2381" t="s">
        <v>153</v>
      </c>
      <c r="L2381" t="s">
        <v>154</v>
      </c>
      <c r="M2381" t="s">
        <v>155</v>
      </c>
      <c r="N2381" t="s">
        <v>107</v>
      </c>
      <c r="O2381" t="s">
        <v>97</v>
      </c>
    </row>
    <row r="2382" spans="1:15" x14ac:dyDescent="0.2">
      <c r="A2382">
        <v>290</v>
      </c>
      <c r="B2382">
        <v>291</v>
      </c>
      <c r="C2382">
        <v>290</v>
      </c>
      <c r="D2382">
        <v>289</v>
      </c>
      <c r="E2382" t="s">
        <v>57</v>
      </c>
      <c r="F2382" t="s">
        <v>61</v>
      </c>
      <c r="G2382">
        <v>99</v>
      </c>
      <c r="H2382" t="s">
        <v>152</v>
      </c>
      <c r="I2382">
        <v>0</v>
      </c>
      <c r="J2382">
        <v>0</v>
      </c>
      <c r="K2382" t="s">
        <v>153</v>
      </c>
      <c r="L2382" t="s">
        <v>154</v>
      </c>
      <c r="M2382" t="s">
        <v>155</v>
      </c>
      <c r="N2382" t="s">
        <v>107</v>
      </c>
      <c r="O2382" t="s">
        <v>97</v>
      </c>
    </row>
    <row r="2383" spans="1:15" x14ac:dyDescent="0.2">
      <c r="A2383">
        <v>290</v>
      </c>
      <c r="B2383">
        <v>291</v>
      </c>
      <c r="C2383">
        <v>290</v>
      </c>
      <c r="D2383">
        <v>289</v>
      </c>
      <c r="E2383" t="s">
        <v>57</v>
      </c>
      <c r="F2383" t="s">
        <v>61</v>
      </c>
      <c r="G2383">
        <v>98</v>
      </c>
      <c r="H2383" t="s">
        <v>204</v>
      </c>
      <c r="I2383">
        <v>0</v>
      </c>
      <c r="J2383">
        <v>1</v>
      </c>
      <c r="K2383" t="s">
        <v>122</v>
      </c>
      <c r="L2383" t="s">
        <v>205</v>
      </c>
      <c r="M2383" t="s">
        <v>206</v>
      </c>
      <c r="N2383" t="s">
        <v>207</v>
      </c>
      <c r="O2383" t="s">
        <v>97</v>
      </c>
    </row>
    <row r="2384" spans="1:15" x14ac:dyDescent="0.2">
      <c r="A2384">
        <v>285</v>
      </c>
      <c r="B2384">
        <v>286</v>
      </c>
      <c r="C2384">
        <v>285</v>
      </c>
      <c r="D2384">
        <v>284</v>
      </c>
      <c r="E2384" t="s">
        <v>57</v>
      </c>
      <c r="F2384" t="s">
        <v>60</v>
      </c>
      <c r="G2384">
        <v>1</v>
      </c>
      <c r="H2384" t="s">
        <v>92</v>
      </c>
      <c r="I2384">
        <v>0.2</v>
      </c>
      <c r="J2384">
        <v>0.2</v>
      </c>
      <c r="K2384" t="s">
        <v>93</v>
      </c>
      <c r="L2384" t="s">
        <v>94</v>
      </c>
      <c r="M2384" t="s">
        <v>95</v>
      </c>
      <c r="N2384" t="s">
        <v>96</v>
      </c>
      <c r="O2384" t="s">
        <v>97</v>
      </c>
    </row>
    <row r="2385" spans="1:15" x14ac:dyDescent="0.2">
      <c r="A2385">
        <v>285</v>
      </c>
      <c r="B2385">
        <v>286</v>
      </c>
      <c r="C2385">
        <v>285</v>
      </c>
      <c r="D2385">
        <v>284</v>
      </c>
      <c r="E2385" t="s">
        <v>57</v>
      </c>
      <c r="F2385" t="s">
        <v>60</v>
      </c>
      <c r="G2385">
        <v>2</v>
      </c>
      <c r="H2385" t="s">
        <v>98</v>
      </c>
      <c r="I2385">
        <v>0.25</v>
      </c>
      <c r="J2385">
        <v>0.5</v>
      </c>
      <c r="K2385" t="s">
        <v>93</v>
      </c>
      <c r="L2385" t="s">
        <v>99</v>
      </c>
      <c r="M2385" t="s">
        <v>95</v>
      </c>
      <c r="N2385" t="s">
        <v>96</v>
      </c>
      <c r="O2385" t="s">
        <v>97</v>
      </c>
    </row>
    <row r="2386" spans="1:15" x14ac:dyDescent="0.2">
      <c r="A2386">
        <v>285</v>
      </c>
      <c r="B2386">
        <v>286</v>
      </c>
      <c r="C2386">
        <v>285</v>
      </c>
      <c r="D2386">
        <v>284</v>
      </c>
      <c r="E2386" t="s">
        <v>57</v>
      </c>
      <c r="F2386" t="s">
        <v>60</v>
      </c>
      <c r="G2386">
        <v>3</v>
      </c>
      <c r="H2386" t="s">
        <v>100</v>
      </c>
      <c r="I2386">
        <v>0</v>
      </c>
      <c r="J2386">
        <v>1</v>
      </c>
      <c r="K2386" t="s">
        <v>101</v>
      </c>
      <c r="L2386" t="s">
        <v>102</v>
      </c>
      <c r="M2386" t="s">
        <v>103</v>
      </c>
      <c r="N2386" t="s">
        <v>96</v>
      </c>
      <c r="O2386" t="s">
        <v>97</v>
      </c>
    </row>
    <row r="2387" spans="1:15" x14ac:dyDescent="0.2">
      <c r="A2387">
        <v>285</v>
      </c>
      <c r="B2387">
        <v>286</v>
      </c>
      <c r="C2387">
        <v>285</v>
      </c>
      <c r="D2387">
        <v>284</v>
      </c>
      <c r="E2387" t="s">
        <v>57</v>
      </c>
      <c r="F2387" t="s">
        <v>60</v>
      </c>
      <c r="G2387">
        <v>4</v>
      </c>
      <c r="H2387" t="s">
        <v>104</v>
      </c>
      <c r="I2387">
        <v>0.5</v>
      </c>
      <c r="J2387">
        <v>1</v>
      </c>
      <c r="K2387" t="s">
        <v>101</v>
      </c>
      <c r="L2387" t="s">
        <v>105</v>
      </c>
      <c r="M2387" t="s">
        <v>106</v>
      </c>
      <c r="N2387" t="s">
        <v>107</v>
      </c>
      <c r="O2387" t="s">
        <v>97</v>
      </c>
    </row>
    <row r="2388" spans="1:15" x14ac:dyDescent="0.2">
      <c r="A2388">
        <v>285</v>
      </c>
      <c r="B2388">
        <v>286</v>
      </c>
      <c r="C2388">
        <v>285</v>
      </c>
      <c r="D2388">
        <v>284</v>
      </c>
      <c r="E2388" t="s">
        <v>57</v>
      </c>
      <c r="F2388" t="s">
        <v>60</v>
      </c>
      <c r="G2388">
        <v>5</v>
      </c>
      <c r="H2388" t="s">
        <v>108</v>
      </c>
      <c r="I2388">
        <v>0.5</v>
      </c>
      <c r="J2388">
        <v>1</v>
      </c>
      <c r="K2388" t="s">
        <v>101</v>
      </c>
      <c r="L2388" t="s">
        <v>109</v>
      </c>
      <c r="M2388" t="s">
        <v>110</v>
      </c>
      <c r="N2388" t="s">
        <v>107</v>
      </c>
      <c r="O2388" t="s">
        <v>97</v>
      </c>
    </row>
    <row r="2389" spans="1:15" x14ac:dyDescent="0.2">
      <c r="A2389">
        <v>285</v>
      </c>
      <c r="B2389">
        <v>286</v>
      </c>
      <c r="C2389">
        <v>285</v>
      </c>
      <c r="D2389">
        <v>284</v>
      </c>
      <c r="E2389" t="s">
        <v>57</v>
      </c>
      <c r="F2389" t="s">
        <v>60</v>
      </c>
      <c r="G2389">
        <v>9</v>
      </c>
      <c r="H2389" t="s">
        <v>111</v>
      </c>
      <c r="I2389">
        <v>0</v>
      </c>
      <c r="J2389" t="s">
        <v>195</v>
      </c>
      <c r="K2389" t="s">
        <v>112</v>
      </c>
      <c r="L2389" t="s">
        <v>113</v>
      </c>
      <c r="M2389" t="s">
        <v>114</v>
      </c>
      <c r="N2389" t="s">
        <v>96</v>
      </c>
      <c r="O2389" t="s">
        <v>97</v>
      </c>
    </row>
    <row r="2390" spans="1:15" x14ac:dyDescent="0.2">
      <c r="A2390">
        <v>285</v>
      </c>
      <c r="B2390">
        <v>286</v>
      </c>
      <c r="C2390">
        <v>285</v>
      </c>
      <c r="D2390">
        <v>284</v>
      </c>
      <c r="E2390" t="s">
        <v>57</v>
      </c>
      <c r="F2390" t="s">
        <v>60</v>
      </c>
      <c r="G2390">
        <v>10</v>
      </c>
      <c r="H2390" t="s">
        <v>115</v>
      </c>
      <c r="I2390">
        <v>0</v>
      </c>
      <c r="J2390">
        <v>0.5</v>
      </c>
      <c r="K2390" t="s">
        <v>112</v>
      </c>
      <c r="L2390" t="s">
        <v>116</v>
      </c>
      <c r="M2390" t="s">
        <v>117</v>
      </c>
      <c r="N2390" t="s">
        <v>96</v>
      </c>
      <c r="O2390" t="s">
        <v>97</v>
      </c>
    </row>
    <row r="2391" spans="1:15" x14ac:dyDescent="0.2">
      <c r="A2391">
        <v>285</v>
      </c>
      <c r="B2391">
        <v>286</v>
      </c>
      <c r="C2391">
        <v>285</v>
      </c>
      <c r="D2391">
        <v>284</v>
      </c>
      <c r="E2391" t="s">
        <v>57</v>
      </c>
      <c r="F2391" t="s">
        <v>60</v>
      </c>
      <c r="G2391">
        <v>11</v>
      </c>
      <c r="H2391" t="s">
        <v>118</v>
      </c>
      <c r="I2391">
        <v>0.5</v>
      </c>
      <c r="J2391">
        <v>1</v>
      </c>
      <c r="K2391" t="s">
        <v>112</v>
      </c>
      <c r="L2391" t="s">
        <v>119</v>
      </c>
      <c r="M2391" t="s">
        <v>120</v>
      </c>
      <c r="N2391" t="s">
        <v>107</v>
      </c>
      <c r="O2391" t="s">
        <v>97</v>
      </c>
    </row>
    <row r="2392" spans="1:15" x14ac:dyDescent="0.2">
      <c r="A2392">
        <v>285</v>
      </c>
      <c r="B2392">
        <v>286</v>
      </c>
      <c r="C2392">
        <v>285</v>
      </c>
      <c r="D2392">
        <v>284</v>
      </c>
      <c r="E2392" t="s">
        <v>57</v>
      </c>
      <c r="F2392" t="s">
        <v>60</v>
      </c>
      <c r="G2392">
        <v>12</v>
      </c>
      <c r="H2392" t="s">
        <v>121</v>
      </c>
      <c r="I2392">
        <v>0.25</v>
      </c>
      <c r="J2392">
        <v>0.5</v>
      </c>
      <c r="K2392" t="s">
        <v>122</v>
      </c>
      <c r="L2392" t="s">
        <v>113</v>
      </c>
      <c r="M2392" t="s">
        <v>123</v>
      </c>
      <c r="N2392" t="s">
        <v>96</v>
      </c>
      <c r="O2392" t="s">
        <v>97</v>
      </c>
    </row>
    <row r="2393" spans="1:15" x14ac:dyDescent="0.2">
      <c r="A2393">
        <v>285</v>
      </c>
      <c r="B2393">
        <v>286</v>
      </c>
      <c r="C2393">
        <v>285</v>
      </c>
      <c r="D2393">
        <v>284</v>
      </c>
      <c r="E2393" t="s">
        <v>57</v>
      </c>
      <c r="F2393" t="s">
        <v>60</v>
      </c>
      <c r="G2393">
        <v>13</v>
      </c>
      <c r="H2393" t="s">
        <v>124</v>
      </c>
      <c r="I2393">
        <v>0</v>
      </c>
      <c r="J2393">
        <v>0.5</v>
      </c>
      <c r="K2393" t="s">
        <v>122</v>
      </c>
      <c r="L2393" t="s">
        <v>125</v>
      </c>
      <c r="M2393" t="s">
        <v>126</v>
      </c>
      <c r="N2393" t="s">
        <v>96</v>
      </c>
      <c r="O2393" t="s">
        <v>97</v>
      </c>
    </row>
    <row r="2394" spans="1:15" x14ac:dyDescent="0.2">
      <c r="A2394">
        <v>285</v>
      </c>
      <c r="B2394">
        <v>286</v>
      </c>
      <c r="C2394">
        <v>285</v>
      </c>
      <c r="D2394">
        <v>284</v>
      </c>
      <c r="E2394" t="s">
        <v>57</v>
      </c>
      <c r="F2394" t="s">
        <v>60</v>
      </c>
      <c r="G2394">
        <v>14</v>
      </c>
      <c r="H2394" t="s">
        <v>127</v>
      </c>
      <c r="I2394">
        <v>0.5</v>
      </c>
      <c r="J2394">
        <v>1</v>
      </c>
      <c r="K2394" t="s">
        <v>122</v>
      </c>
      <c r="L2394" t="s">
        <v>119</v>
      </c>
      <c r="M2394" t="s">
        <v>128</v>
      </c>
      <c r="N2394" t="s">
        <v>107</v>
      </c>
      <c r="O2394" t="s">
        <v>97</v>
      </c>
    </row>
    <row r="2395" spans="1:15" x14ac:dyDescent="0.2">
      <c r="A2395">
        <v>285</v>
      </c>
      <c r="B2395">
        <v>286</v>
      </c>
      <c r="C2395">
        <v>285</v>
      </c>
      <c r="D2395">
        <v>284</v>
      </c>
      <c r="E2395" t="s">
        <v>57</v>
      </c>
      <c r="F2395" t="s">
        <v>60</v>
      </c>
      <c r="G2395">
        <v>15</v>
      </c>
      <c r="H2395" t="s">
        <v>129</v>
      </c>
      <c r="I2395">
        <v>0</v>
      </c>
      <c r="J2395">
        <v>1</v>
      </c>
      <c r="K2395" t="s">
        <v>130</v>
      </c>
      <c r="L2395" t="s">
        <v>131</v>
      </c>
      <c r="M2395" t="s">
        <v>132</v>
      </c>
      <c r="N2395" t="s">
        <v>107</v>
      </c>
      <c r="O2395" t="s">
        <v>97</v>
      </c>
    </row>
    <row r="2396" spans="1:15" x14ac:dyDescent="0.2">
      <c r="A2396">
        <v>285</v>
      </c>
      <c r="B2396">
        <v>286</v>
      </c>
      <c r="C2396">
        <v>285</v>
      </c>
      <c r="D2396">
        <v>284</v>
      </c>
      <c r="E2396" t="s">
        <v>57</v>
      </c>
      <c r="F2396" t="s">
        <v>60</v>
      </c>
      <c r="G2396">
        <v>16</v>
      </c>
      <c r="H2396" t="s">
        <v>133</v>
      </c>
      <c r="I2396">
        <v>0</v>
      </c>
      <c r="J2396">
        <v>0</v>
      </c>
      <c r="K2396" t="e">
        <v>#N/A</v>
      </c>
      <c r="L2396" t="e">
        <v>#N/A</v>
      </c>
      <c r="M2396" t="e">
        <v>#N/A</v>
      </c>
      <c r="N2396" t="e">
        <v>#N/A</v>
      </c>
      <c r="O2396" t="s">
        <v>97</v>
      </c>
    </row>
    <row r="2397" spans="1:15" x14ac:dyDescent="0.2">
      <c r="A2397">
        <v>285</v>
      </c>
      <c r="B2397">
        <v>286</v>
      </c>
      <c r="C2397">
        <v>285</v>
      </c>
      <c r="D2397">
        <v>284</v>
      </c>
      <c r="E2397" t="s">
        <v>57</v>
      </c>
      <c r="F2397" t="s">
        <v>60</v>
      </c>
      <c r="G2397">
        <v>17</v>
      </c>
      <c r="H2397" t="s">
        <v>134</v>
      </c>
      <c r="I2397">
        <v>0</v>
      </c>
      <c r="J2397">
        <v>1</v>
      </c>
      <c r="K2397" t="s">
        <v>112</v>
      </c>
      <c r="L2397" t="s">
        <v>135</v>
      </c>
      <c r="M2397" t="s">
        <v>136</v>
      </c>
      <c r="N2397" t="s">
        <v>107</v>
      </c>
      <c r="O2397" t="s">
        <v>97</v>
      </c>
    </row>
    <row r="2398" spans="1:15" x14ac:dyDescent="0.2">
      <c r="A2398">
        <v>285</v>
      </c>
      <c r="B2398">
        <v>286</v>
      </c>
      <c r="C2398">
        <v>285</v>
      </c>
      <c r="D2398">
        <v>284</v>
      </c>
      <c r="E2398" t="s">
        <v>57</v>
      </c>
      <c r="F2398" t="s">
        <v>60</v>
      </c>
      <c r="G2398">
        <v>18</v>
      </c>
      <c r="H2398" t="s">
        <v>137</v>
      </c>
      <c r="I2398">
        <v>0</v>
      </c>
      <c r="J2398">
        <v>1</v>
      </c>
      <c r="K2398" t="s">
        <v>112</v>
      </c>
      <c r="L2398" t="s">
        <v>138</v>
      </c>
      <c r="M2398" t="s">
        <v>139</v>
      </c>
      <c r="N2398" t="s">
        <v>107</v>
      </c>
      <c r="O2398" t="s">
        <v>97</v>
      </c>
    </row>
    <row r="2399" spans="1:15" x14ac:dyDescent="0.2">
      <c r="A2399">
        <v>285</v>
      </c>
      <c r="B2399">
        <v>286</v>
      </c>
      <c r="C2399">
        <v>285</v>
      </c>
      <c r="D2399">
        <v>284</v>
      </c>
      <c r="E2399" t="s">
        <v>57</v>
      </c>
      <c r="F2399" t="s">
        <v>60</v>
      </c>
      <c r="G2399">
        <v>19</v>
      </c>
      <c r="H2399" t="s">
        <v>140</v>
      </c>
      <c r="I2399">
        <v>0</v>
      </c>
      <c r="J2399">
        <v>1</v>
      </c>
      <c r="K2399" t="s">
        <v>122</v>
      </c>
      <c r="L2399" t="s">
        <v>141</v>
      </c>
      <c r="M2399" t="s">
        <v>142</v>
      </c>
      <c r="N2399" t="s">
        <v>107</v>
      </c>
      <c r="O2399" t="s">
        <v>97</v>
      </c>
    </row>
    <row r="2400" spans="1:15" x14ac:dyDescent="0.2">
      <c r="A2400">
        <v>285</v>
      </c>
      <c r="B2400">
        <v>286</v>
      </c>
      <c r="C2400">
        <v>285</v>
      </c>
      <c r="D2400">
        <v>284</v>
      </c>
      <c r="E2400" t="s">
        <v>57</v>
      </c>
      <c r="F2400" t="s">
        <v>60</v>
      </c>
      <c r="G2400">
        <v>20</v>
      </c>
      <c r="H2400" t="s">
        <v>143</v>
      </c>
      <c r="I2400">
        <v>0</v>
      </c>
      <c r="J2400">
        <v>1</v>
      </c>
      <c r="K2400" t="s">
        <v>122</v>
      </c>
      <c r="L2400" t="s">
        <v>144</v>
      </c>
      <c r="M2400" t="s">
        <v>145</v>
      </c>
      <c r="N2400" t="s">
        <v>107</v>
      </c>
      <c r="O2400" t="s">
        <v>97</v>
      </c>
    </row>
    <row r="2401" spans="1:15" x14ac:dyDescent="0.2">
      <c r="A2401">
        <v>285</v>
      </c>
      <c r="B2401">
        <v>286</v>
      </c>
      <c r="C2401">
        <v>285</v>
      </c>
      <c r="D2401">
        <v>284</v>
      </c>
      <c r="E2401" t="s">
        <v>57</v>
      </c>
      <c r="F2401" t="s">
        <v>60</v>
      </c>
      <c r="G2401">
        <v>21</v>
      </c>
      <c r="H2401" t="s">
        <v>146</v>
      </c>
      <c r="I2401">
        <v>1</v>
      </c>
      <c r="J2401">
        <v>1</v>
      </c>
      <c r="K2401" t="s">
        <v>147</v>
      </c>
      <c r="L2401" t="s">
        <v>148</v>
      </c>
      <c r="M2401" t="s">
        <v>149</v>
      </c>
      <c r="N2401" t="s">
        <v>96</v>
      </c>
      <c r="O2401" t="s">
        <v>97</v>
      </c>
    </row>
    <row r="2402" spans="1:15" x14ac:dyDescent="0.2">
      <c r="A2402">
        <v>285</v>
      </c>
      <c r="B2402">
        <v>286</v>
      </c>
      <c r="C2402">
        <v>285</v>
      </c>
      <c r="D2402">
        <v>284</v>
      </c>
      <c r="E2402" t="s">
        <v>57</v>
      </c>
      <c r="F2402" t="s">
        <v>60</v>
      </c>
      <c r="G2402">
        <v>22</v>
      </c>
      <c r="H2402" t="s">
        <v>150</v>
      </c>
      <c r="I2402">
        <v>0</v>
      </c>
      <c r="J2402">
        <v>1</v>
      </c>
      <c r="K2402" t="s">
        <v>147</v>
      </c>
      <c r="L2402" t="s">
        <v>151</v>
      </c>
      <c r="M2402" t="s">
        <v>149</v>
      </c>
      <c r="N2402" t="s">
        <v>107</v>
      </c>
      <c r="O2402" t="s">
        <v>97</v>
      </c>
    </row>
    <row r="2403" spans="1:15" x14ac:dyDescent="0.2">
      <c r="A2403">
        <v>285</v>
      </c>
      <c r="B2403">
        <v>286</v>
      </c>
      <c r="C2403">
        <v>285</v>
      </c>
      <c r="D2403">
        <v>284</v>
      </c>
      <c r="E2403" t="s">
        <v>57</v>
      </c>
      <c r="F2403" t="s">
        <v>60</v>
      </c>
      <c r="G2403">
        <v>23</v>
      </c>
      <c r="H2403" t="s">
        <v>152</v>
      </c>
      <c r="I2403">
        <v>0</v>
      </c>
      <c r="J2403">
        <v>0</v>
      </c>
      <c r="K2403" t="s">
        <v>153</v>
      </c>
      <c r="L2403" t="s">
        <v>154</v>
      </c>
      <c r="M2403" t="s">
        <v>155</v>
      </c>
      <c r="N2403" t="s">
        <v>107</v>
      </c>
      <c r="O2403" t="s">
        <v>97</v>
      </c>
    </row>
    <row r="2404" spans="1:15" x14ac:dyDescent="0.2">
      <c r="A2404">
        <v>285</v>
      </c>
      <c r="B2404">
        <v>286</v>
      </c>
      <c r="C2404">
        <v>285</v>
      </c>
      <c r="D2404">
        <v>284</v>
      </c>
      <c r="E2404" t="s">
        <v>57</v>
      </c>
      <c r="F2404" t="s">
        <v>60</v>
      </c>
      <c r="G2404">
        <v>24</v>
      </c>
      <c r="H2404" t="s">
        <v>156</v>
      </c>
      <c r="I2404">
        <v>0.5</v>
      </c>
      <c r="J2404">
        <v>0.5</v>
      </c>
      <c r="K2404" t="s">
        <v>122</v>
      </c>
      <c r="L2404" t="s">
        <v>157</v>
      </c>
      <c r="M2404" t="s">
        <v>158</v>
      </c>
      <c r="N2404" t="s">
        <v>107</v>
      </c>
      <c r="O2404" t="s">
        <v>97</v>
      </c>
    </row>
    <row r="2405" spans="1:15" x14ac:dyDescent="0.2">
      <c r="A2405">
        <v>285</v>
      </c>
      <c r="B2405">
        <v>286</v>
      </c>
      <c r="C2405">
        <v>285</v>
      </c>
      <c r="D2405">
        <v>284</v>
      </c>
      <c r="E2405" t="s">
        <v>57</v>
      </c>
      <c r="F2405" t="s">
        <v>60</v>
      </c>
      <c r="G2405">
        <v>25</v>
      </c>
      <c r="H2405" t="s">
        <v>156</v>
      </c>
      <c r="I2405">
        <v>0</v>
      </c>
      <c r="J2405">
        <v>0.5</v>
      </c>
      <c r="K2405" t="s">
        <v>122</v>
      </c>
      <c r="L2405" t="s">
        <v>157</v>
      </c>
      <c r="M2405" t="s">
        <v>158</v>
      </c>
      <c r="N2405" t="s">
        <v>107</v>
      </c>
      <c r="O2405" t="s">
        <v>97</v>
      </c>
    </row>
    <row r="2406" spans="1:15" x14ac:dyDescent="0.2">
      <c r="A2406">
        <v>285</v>
      </c>
      <c r="B2406">
        <v>286</v>
      </c>
      <c r="C2406">
        <v>285</v>
      </c>
      <c r="D2406">
        <v>284</v>
      </c>
      <c r="E2406" t="s">
        <v>57</v>
      </c>
      <c r="F2406" t="s">
        <v>60</v>
      </c>
      <c r="G2406">
        <v>26</v>
      </c>
      <c r="H2406" t="s">
        <v>152</v>
      </c>
      <c r="I2406">
        <v>0</v>
      </c>
      <c r="J2406">
        <v>0</v>
      </c>
      <c r="K2406" t="s">
        <v>153</v>
      </c>
      <c r="L2406" t="s">
        <v>154</v>
      </c>
      <c r="M2406" t="s">
        <v>155</v>
      </c>
      <c r="N2406" t="s">
        <v>107</v>
      </c>
      <c r="O2406" t="s">
        <v>97</v>
      </c>
    </row>
    <row r="2407" spans="1:15" x14ac:dyDescent="0.2">
      <c r="A2407">
        <v>285</v>
      </c>
      <c r="B2407">
        <v>286</v>
      </c>
      <c r="C2407">
        <v>285</v>
      </c>
      <c r="D2407">
        <v>284</v>
      </c>
      <c r="E2407" t="s">
        <v>57</v>
      </c>
      <c r="F2407" t="s">
        <v>60</v>
      </c>
      <c r="G2407">
        <v>27</v>
      </c>
      <c r="H2407" t="s">
        <v>159</v>
      </c>
      <c r="I2407">
        <v>0.5</v>
      </c>
      <c r="J2407">
        <v>0.5</v>
      </c>
      <c r="K2407" t="s">
        <v>122</v>
      </c>
      <c r="L2407" t="s">
        <v>160</v>
      </c>
      <c r="M2407" t="s">
        <v>161</v>
      </c>
      <c r="N2407" t="s">
        <v>107</v>
      </c>
      <c r="O2407" t="s">
        <v>97</v>
      </c>
    </row>
    <row r="2408" spans="1:15" x14ac:dyDescent="0.2">
      <c r="A2408">
        <v>285</v>
      </c>
      <c r="B2408">
        <v>286</v>
      </c>
      <c r="C2408">
        <v>285</v>
      </c>
      <c r="D2408">
        <v>284</v>
      </c>
      <c r="E2408" t="s">
        <v>57</v>
      </c>
      <c r="F2408" t="s">
        <v>60</v>
      </c>
      <c r="G2408">
        <v>28</v>
      </c>
      <c r="H2408" t="s">
        <v>159</v>
      </c>
      <c r="I2408">
        <v>0</v>
      </c>
      <c r="J2408">
        <v>0.5</v>
      </c>
      <c r="K2408" t="s">
        <v>122</v>
      </c>
      <c r="L2408" t="s">
        <v>160</v>
      </c>
      <c r="M2408" t="s">
        <v>161</v>
      </c>
      <c r="N2408" t="s">
        <v>107</v>
      </c>
      <c r="O2408" t="s">
        <v>97</v>
      </c>
    </row>
    <row r="2409" spans="1:15" x14ac:dyDescent="0.2">
      <c r="A2409">
        <v>285</v>
      </c>
      <c r="B2409">
        <v>286</v>
      </c>
      <c r="C2409">
        <v>285</v>
      </c>
      <c r="D2409">
        <v>284</v>
      </c>
      <c r="E2409" t="s">
        <v>57</v>
      </c>
      <c r="F2409" t="s">
        <v>60</v>
      </c>
      <c r="G2409">
        <v>29</v>
      </c>
      <c r="H2409" t="s">
        <v>152</v>
      </c>
      <c r="I2409">
        <v>0</v>
      </c>
      <c r="J2409">
        <v>0</v>
      </c>
      <c r="K2409" t="s">
        <v>153</v>
      </c>
      <c r="L2409" t="s">
        <v>154</v>
      </c>
      <c r="M2409" t="s">
        <v>155</v>
      </c>
      <c r="N2409" t="s">
        <v>107</v>
      </c>
      <c r="O2409" t="s">
        <v>97</v>
      </c>
    </row>
    <row r="2410" spans="1:15" x14ac:dyDescent="0.2">
      <c r="A2410">
        <v>285</v>
      </c>
      <c r="B2410">
        <v>286</v>
      </c>
      <c r="C2410">
        <v>285</v>
      </c>
      <c r="D2410">
        <v>284</v>
      </c>
      <c r="E2410" t="s">
        <v>57</v>
      </c>
      <c r="F2410" t="s">
        <v>60</v>
      </c>
      <c r="G2410">
        <v>30</v>
      </c>
      <c r="H2410" t="s">
        <v>162</v>
      </c>
      <c r="I2410">
        <v>0</v>
      </c>
      <c r="J2410">
        <v>1</v>
      </c>
      <c r="K2410" t="s">
        <v>112</v>
      </c>
      <c r="L2410" t="s">
        <v>163</v>
      </c>
      <c r="M2410" t="s">
        <v>164</v>
      </c>
      <c r="N2410" t="s">
        <v>107</v>
      </c>
      <c r="O2410" t="s">
        <v>97</v>
      </c>
    </row>
    <row r="2411" spans="1:15" x14ac:dyDescent="0.2">
      <c r="A2411">
        <v>285</v>
      </c>
      <c r="B2411">
        <v>286</v>
      </c>
      <c r="C2411">
        <v>285</v>
      </c>
      <c r="D2411">
        <v>284</v>
      </c>
      <c r="E2411" t="s">
        <v>57</v>
      </c>
      <c r="F2411" t="s">
        <v>60</v>
      </c>
      <c r="G2411">
        <v>31</v>
      </c>
      <c r="H2411" t="s">
        <v>162</v>
      </c>
      <c r="I2411">
        <v>0</v>
      </c>
      <c r="J2411">
        <v>0</v>
      </c>
      <c r="K2411" t="s">
        <v>112</v>
      </c>
      <c r="L2411" t="s">
        <v>163</v>
      </c>
      <c r="M2411" t="s">
        <v>164</v>
      </c>
      <c r="N2411" t="s">
        <v>107</v>
      </c>
      <c r="O2411" t="s">
        <v>97</v>
      </c>
    </row>
    <row r="2412" spans="1:15" x14ac:dyDescent="0.2">
      <c r="A2412">
        <v>285</v>
      </c>
      <c r="B2412">
        <v>286</v>
      </c>
      <c r="C2412">
        <v>285</v>
      </c>
      <c r="D2412">
        <v>284</v>
      </c>
      <c r="E2412" t="s">
        <v>57</v>
      </c>
      <c r="F2412" t="s">
        <v>60</v>
      </c>
      <c r="G2412">
        <v>32</v>
      </c>
      <c r="H2412" t="s">
        <v>162</v>
      </c>
      <c r="I2412">
        <v>0</v>
      </c>
      <c r="J2412">
        <v>0</v>
      </c>
      <c r="K2412" t="s">
        <v>112</v>
      </c>
      <c r="L2412" t="s">
        <v>163</v>
      </c>
      <c r="M2412" t="s">
        <v>164</v>
      </c>
      <c r="N2412" t="s">
        <v>107</v>
      </c>
      <c r="O2412" t="s">
        <v>97</v>
      </c>
    </row>
    <row r="2413" spans="1:15" x14ac:dyDescent="0.2">
      <c r="A2413">
        <v>285</v>
      </c>
      <c r="B2413">
        <v>286</v>
      </c>
      <c r="C2413">
        <v>285</v>
      </c>
      <c r="D2413">
        <v>284</v>
      </c>
      <c r="E2413" t="s">
        <v>57</v>
      </c>
      <c r="F2413" t="s">
        <v>60</v>
      </c>
      <c r="G2413">
        <v>33</v>
      </c>
      <c r="H2413" t="s">
        <v>152</v>
      </c>
      <c r="I2413">
        <v>0</v>
      </c>
      <c r="J2413">
        <v>1</v>
      </c>
      <c r="K2413" t="s">
        <v>153</v>
      </c>
      <c r="L2413" t="s">
        <v>154</v>
      </c>
      <c r="M2413" t="s">
        <v>155</v>
      </c>
      <c r="N2413" t="s">
        <v>107</v>
      </c>
      <c r="O2413" t="s">
        <v>97</v>
      </c>
    </row>
    <row r="2414" spans="1:15" x14ac:dyDescent="0.2">
      <c r="A2414">
        <v>285</v>
      </c>
      <c r="B2414">
        <v>286</v>
      </c>
      <c r="C2414">
        <v>285</v>
      </c>
      <c r="D2414">
        <v>284</v>
      </c>
      <c r="E2414" t="s">
        <v>57</v>
      </c>
      <c r="F2414" t="s">
        <v>60</v>
      </c>
      <c r="G2414">
        <v>34</v>
      </c>
      <c r="H2414" t="s">
        <v>152</v>
      </c>
      <c r="I2414">
        <v>0</v>
      </c>
      <c r="J2414">
        <v>0</v>
      </c>
      <c r="K2414" t="s">
        <v>153</v>
      </c>
      <c r="L2414" t="s">
        <v>154</v>
      </c>
      <c r="M2414" t="s">
        <v>155</v>
      </c>
      <c r="N2414" t="s">
        <v>107</v>
      </c>
      <c r="O2414" t="s">
        <v>97</v>
      </c>
    </row>
    <row r="2415" spans="1:15" x14ac:dyDescent="0.2">
      <c r="A2415">
        <v>285</v>
      </c>
      <c r="B2415">
        <v>286</v>
      </c>
      <c r="C2415">
        <v>285</v>
      </c>
      <c r="D2415">
        <v>284</v>
      </c>
      <c r="E2415" t="s">
        <v>57</v>
      </c>
      <c r="F2415" t="s">
        <v>60</v>
      </c>
      <c r="G2415">
        <v>35</v>
      </c>
      <c r="H2415" t="s">
        <v>165</v>
      </c>
      <c r="I2415">
        <v>0</v>
      </c>
      <c r="J2415">
        <v>1</v>
      </c>
      <c r="K2415" t="s">
        <v>166</v>
      </c>
      <c r="L2415" t="s">
        <v>167</v>
      </c>
      <c r="M2415" t="s">
        <v>168</v>
      </c>
      <c r="N2415" t="s">
        <v>107</v>
      </c>
      <c r="O2415" t="s">
        <v>97</v>
      </c>
    </row>
    <row r="2416" spans="1:15" x14ac:dyDescent="0.2">
      <c r="A2416">
        <v>285</v>
      </c>
      <c r="B2416">
        <v>286</v>
      </c>
      <c r="C2416">
        <v>285</v>
      </c>
      <c r="D2416">
        <v>284</v>
      </c>
      <c r="E2416" t="s">
        <v>57</v>
      </c>
      <c r="F2416" t="s">
        <v>60</v>
      </c>
      <c r="G2416">
        <v>36</v>
      </c>
      <c r="H2416" t="s">
        <v>169</v>
      </c>
      <c r="I2416">
        <v>0</v>
      </c>
      <c r="J2416">
        <v>0</v>
      </c>
      <c r="K2416" t="e">
        <v>#N/A</v>
      </c>
      <c r="L2416" t="e">
        <v>#N/A</v>
      </c>
      <c r="M2416" t="e">
        <v>#N/A</v>
      </c>
      <c r="N2416" t="e">
        <v>#N/A</v>
      </c>
      <c r="O2416" t="s">
        <v>97</v>
      </c>
    </row>
    <row r="2417" spans="1:15" x14ac:dyDescent="0.2">
      <c r="A2417">
        <v>285</v>
      </c>
      <c r="B2417">
        <v>286</v>
      </c>
      <c r="C2417">
        <v>285</v>
      </c>
      <c r="D2417">
        <v>284</v>
      </c>
      <c r="E2417" t="s">
        <v>57</v>
      </c>
      <c r="F2417" t="s">
        <v>60</v>
      </c>
      <c r="G2417">
        <v>38</v>
      </c>
      <c r="H2417" t="s">
        <v>170</v>
      </c>
      <c r="I2417">
        <v>0</v>
      </c>
      <c r="J2417">
        <v>0</v>
      </c>
      <c r="K2417" t="s">
        <v>112</v>
      </c>
      <c r="L2417" t="s">
        <v>171</v>
      </c>
      <c r="M2417" t="s">
        <v>172</v>
      </c>
      <c r="N2417" t="s">
        <v>96</v>
      </c>
      <c r="O2417" t="s">
        <v>97</v>
      </c>
    </row>
    <row r="2418" spans="1:15" x14ac:dyDescent="0.2">
      <c r="A2418">
        <v>285</v>
      </c>
      <c r="B2418">
        <v>286</v>
      </c>
      <c r="C2418">
        <v>285</v>
      </c>
      <c r="D2418">
        <v>284</v>
      </c>
      <c r="E2418" t="s">
        <v>57</v>
      </c>
      <c r="F2418" t="s">
        <v>60</v>
      </c>
      <c r="G2418">
        <v>39</v>
      </c>
      <c r="H2418" t="s">
        <v>170</v>
      </c>
      <c r="I2418">
        <v>0</v>
      </c>
      <c r="J2418">
        <v>0</v>
      </c>
      <c r="K2418" t="s">
        <v>112</v>
      </c>
      <c r="L2418" t="s">
        <v>171</v>
      </c>
      <c r="M2418" t="s">
        <v>172</v>
      </c>
      <c r="N2418" t="s">
        <v>96</v>
      </c>
      <c r="O2418" t="s">
        <v>97</v>
      </c>
    </row>
    <row r="2419" spans="1:15" x14ac:dyDescent="0.2">
      <c r="A2419">
        <v>285</v>
      </c>
      <c r="B2419">
        <v>286</v>
      </c>
      <c r="C2419">
        <v>285</v>
      </c>
      <c r="D2419">
        <v>284</v>
      </c>
      <c r="E2419" t="s">
        <v>57</v>
      </c>
      <c r="F2419" t="s">
        <v>60</v>
      </c>
      <c r="G2419">
        <v>40</v>
      </c>
      <c r="H2419" t="s">
        <v>170</v>
      </c>
      <c r="I2419">
        <v>0</v>
      </c>
      <c r="J2419">
        <v>0</v>
      </c>
      <c r="K2419" t="s">
        <v>112</v>
      </c>
      <c r="L2419" t="s">
        <v>171</v>
      </c>
      <c r="M2419" t="s">
        <v>172</v>
      </c>
      <c r="N2419" t="s">
        <v>96</v>
      </c>
      <c r="O2419" t="s">
        <v>97</v>
      </c>
    </row>
    <row r="2420" spans="1:15" x14ac:dyDescent="0.2">
      <c r="A2420">
        <v>285</v>
      </c>
      <c r="B2420">
        <v>286</v>
      </c>
      <c r="C2420">
        <v>285</v>
      </c>
      <c r="D2420">
        <v>284</v>
      </c>
      <c r="E2420" t="s">
        <v>57</v>
      </c>
      <c r="F2420" t="s">
        <v>60</v>
      </c>
      <c r="G2420">
        <v>41</v>
      </c>
      <c r="H2420" t="s">
        <v>173</v>
      </c>
      <c r="I2420">
        <v>0</v>
      </c>
      <c r="J2420">
        <v>0</v>
      </c>
      <c r="K2420" t="s">
        <v>166</v>
      </c>
      <c r="L2420" t="s">
        <v>174</v>
      </c>
      <c r="M2420" t="s">
        <v>175</v>
      </c>
      <c r="N2420" t="s">
        <v>107</v>
      </c>
      <c r="O2420" t="s">
        <v>97</v>
      </c>
    </row>
    <row r="2421" spans="1:15" x14ac:dyDescent="0.2">
      <c r="A2421">
        <v>285</v>
      </c>
      <c r="B2421">
        <v>286</v>
      </c>
      <c r="C2421">
        <v>285</v>
      </c>
      <c r="D2421">
        <v>284</v>
      </c>
      <c r="E2421" t="s">
        <v>57</v>
      </c>
      <c r="F2421" t="s">
        <v>60</v>
      </c>
      <c r="G2421">
        <v>42</v>
      </c>
      <c r="H2421" t="s">
        <v>176</v>
      </c>
      <c r="I2421">
        <v>0</v>
      </c>
      <c r="J2421" t="s">
        <v>198</v>
      </c>
      <c r="K2421" t="s">
        <v>153</v>
      </c>
      <c r="L2421" t="s">
        <v>177</v>
      </c>
      <c r="M2421" t="s">
        <v>178</v>
      </c>
      <c r="N2421" t="s">
        <v>107</v>
      </c>
      <c r="O2421" t="s">
        <v>97</v>
      </c>
    </row>
    <row r="2422" spans="1:15" x14ac:dyDescent="0.2">
      <c r="A2422">
        <v>285</v>
      </c>
      <c r="B2422">
        <v>286</v>
      </c>
      <c r="C2422">
        <v>285</v>
      </c>
      <c r="D2422">
        <v>284</v>
      </c>
      <c r="E2422" t="s">
        <v>57</v>
      </c>
      <c r="F2422" t="s">
        <v>60</v>
      </c>
      <c r="G2422">
        <v>43</v>
      </c>
      <c r="H2422" t="s">
        <v>179</v>
      </c>
      <c r="I2422">
        <v>0</v>
      </c>
      <c r="J2422">
        <v>0</v>
      </c>
      <c r="K2422" t="s">
        <v>166</v>
      </c>
      <c r="L2422" t="s">
        <v>180</v>
      </c>
      <c r="M2422" t="s">
        <v>181</v>
      </c>
      <c r="N2422" t="s">
        <v>107</v>
      </c>
      <c r="O2422" t="s">
        <v>97</v>
      </c>
    </row>
    <row r="2423" spans="1:15" x14ac:dyDescent="0.2">
      <c r="A2423">
        <v>285</v>
      </c>
      <c r="B2423">
        <v>286</v>
      </c>
      <c r="C2423">
        <v>285</v>
      </c>
      <c r="D2423">
        <v>284</v>
      </c>
      <c r="E2423" t="s">
        <v>57</v>
      </c>
      <c r="F2423" t="s">
        <v>60</v>
      </c>
      <c r="G2423">
        <v>44</v>
      </c>
      <c r="H2423" t="s">
        <v>182</v>
      </c>
      <c r="I2423">
        <v>0</v>
      </c>
      <c r="J2423">
        <v>1</v>
      </c>
      <c r="K2423" t="s">
        <v>166</v>
      </c>
      <c r="L2423" t="s">
        <v>183</v>
      </c>
      <c r="M2423" t="s">
        <v>184</v>
      </c>
      <c r="N2423" t="s">
        <v>107</v>
      </c>
      <c r="O2423" t="s">
        <v>97</v>
      </c>
    </row>
    <row r="2424" spans="1:15" x14ac:dyDescent="0.2">
      <c r="A2424">
        <v>285</v>
      </c>
      <c r="B2424">
        <v>286</v>
      </c>
      <c r="C2424">
        <v>285</v>
      </c>
      <c r="D2424">
        <v>284</v>
      </c>
      <c r="E2424" t="s">
        <v>57</v>
      </c>
      <c r="F2424" t="s">
        <v>60</v>
      </c>
      <c r="G2424">
        <v>45</v>
      </c>
      <c r="H2424" t="s">
        <v>185</v>
      </c>
      <c r="I2424">
        <v>0</v>
      </c>
      <c r="J2424">
        <v>1</v>
      </c>
      <c r="K2424" t="s">
        <v>166</v>
      </c>
      <c r="L2424" t="s">
        <v>186</v>
      </c>
      <c r="M2424" t="s">
        <v>139</v>
      </c>
      <c r="N2424" t="s">
        <v>107</v>
      </c>
      <c r="O2424" t="s">
        <v>97</v>
      </c>
    </row>
    <row r="2425" spans="1:15" x14ac:dyDescent="0.2">
      <c r="A2425">
        <v>285</v>
      </c>
      <c r="B2425">
        <v>286</v>
      </c>
      <c r="C2425">
        <v>285</v>
      </c>
      <c r="D2425">
        <v>284</v>
      </c>
      <c r="E2425" t="s">
        <v>57</v>
      </c>
      <c r="F2425" t="s">
        <v>60</v>
      </c>
      <c r="G2425">
        <v>47</v>
      </c>
      <c r="H2425" t="s">
        <v>187</v>
      </c>
      <c r="I2425">
        <v>0.2</v>
      </c>
      <c r="J2425">
        <v>0.2</v>
      </c>
      <c r="K2425" t="s">
        <v>93</v>
      </c>
      <c r="L2425" t="s">
        <v>188</v>
      </c>
      <c r="M2425" t="s">
        <v>95</v>
      </c>
      <c r="N2425" t="s">
        <v>96</v>
      </c>
      <c r="O2425" t="s">
        <v>97</v>
      </c>
    </row>
    <row r="2426" spans="1:15" x14ac:dyDescent="0.2">
      <c r="A2426">
        <v>285</v>
      </c>
      <c r="B2426">
        <v>286</v>
      </c>
      <c r="C2426">
        <v>285</v>
      </c>
      <c r="D2426">
        <v>284</v>
      </c>
      <c r="E2426" t="s">
        <v>57</v>
      </c>
      <c r="F2426" t="s">
        <v>60</v>
      </c>
      <c r="G2426">
        <v>48</v>
      </c>
      <c r="H2426" t="s">
        <v>189</v>
      </c>
      <c r="I2426">
        <v>0.2</v>
      </c>
      <c r="J2426">
        <v>0.2</v>
      </c>
      <c r="K2426" t="s">
        <v>93</v>
      </c>
      <c r="L2426" t="s">
        <v>190</v>
      </c>
      <c r="M2426" t="s">
        <v>95</v>
      </c>
      <c r="N2426" t="s">
        <v>96</v>
      </c>
      <c r="O2426" t="s">
        <v>97</v>
      </c>
    </row>
    <row r="2427" spans="1:15" x14ac:dyDescent="0.2">
      <c r="A2427">
        <v>285</v>
      </c>
      <c r="B2427">
        <v>286</v>
      </c>
      <c r="C2427">
        <v>285</v>
      </c>
      <c r="D2427">
        <v>284</v>
      </c>
      <c r="E2427" t="s">
        <v>57</v>
      </c>
      <c r="F2427" t="s">
        <v>60</v>
      </c>
      <c r="G2427">
        <v>49</v>
      </c>
      <c r="H2427" t="s">
        <v>191</v>
      </c>
      <c r="I2427">
        <v>0.2</v>
      </c>
      <c r="J2427">
        <v>0.2</v>
      </c>
      <c r="K2427" t="s">
        <v>93</v>
      </c>
      <c r="L2427" t="s">
        <v>192</v>
      </c>
      <c r="M2427" t="s">
        <v>95</v>
      </c>
      <c r="N2427" t="s">
        <v>96</v>
      </c>
      <c r="O2427" t="s">
        <v>97</v>
      </c>
    </row>
    <row r="2428" spans="1:15" x14ac:dyDescent="0.2">
      <c r="A2428">
        <v>285</v>
      </c>
      <c r="B2428">
        <v>286</v>
      </c>
      <c r="C2428">
        <v>285</v>
      </c>
      <c r="D2428">
        <v>284</v>
      </c>
      <c r="E2428" t="s">
        <v>57</v>
      </c>
      <c r="F2428" t="s">
        <v>60</v>
      </c>
      <c r="G2428">
        <v>50</v>
      </c>
      <c r="H2428" t="s">
        <v>193</v>
      </c>
      <c r="I2428">
        <v>0.1</v>
      </c>
      <c r="J2428">
        <v>0.1</v>
      </c>
      <c r="K2428" t="s">
        <v>93</v>
      </c>
      <c r="L2428" t="s">
        <v>194</v>
      </c>
      <c r="M2428" t="s">
        <v>95</v>
      </c>
      <c r="N2428" t="s">
        <v>96</v>
      </c>
      <c r="O2428" t="s">
        <v>97</v>
      </c>
    </row>
    <row r="2429" spans="1:15" x14ac:dyDescent="0.2">
      <c r="A2429">
        <v>285</v>
      </c>
      <c r="B2429">
        <v>286</v>
      </c>
      <c r="C2429">
        <v>285</v>
      </c>
      <c r="D2429">
        <v>284</v>
      </c>
      <c r="E2429" t="s">
        <v>57</v>
      </c>
      <c r="F2429" t="s">
        <v>60</v>
      </c>
      <c r="G2429">
        <v>51</v>
      </c>
      <c r="H2429" t="s">
        <v>193</v>
      </c>
      <c r="I2429">
        <v>0.1</v>
      </c>
      <c r="J2429">
        <v>0.1</v>
      </c>
      <c r="K2429" t="s">
        <v>93</v>
      </c>
      <c r="L2429" t="s">
        <v>194</v>
      </c>
      <c r="M2429" t="s">
        <v>95</v>
      </c>
      <c r="N2429" t="s">
        <v>96</v>
      </c>
      <c r="O2429" t="s">
        <v>97</v>
      </c>
    </row>
    <row r="2430" spans="1:15" x14ac:dyDescent="0.2">
      <c r="A2430">
        <v>285</v>
      </c>
      <c r="B2430">
        <v>286</v>
      </c>
      <c r="C2430">
        <v>285</v>
      </c>
      <c r="D2430">
        <v>284</v>
      </c>
      <c r="E2430" t="s">
        <v>57</v>
      </c>
      <c r="F2430" t="s">
        <v>60</v>
      </c>
      <c r="G2430">
        <v>97</v>
      </c>
      <c r="H2430" t="s">
        <v>152</v>
      </c>
      <c r="I2430">
        <v>0.25</v>
      </c>
      <c r="J2430">
        <v>0.25</v>
      </c>
      <c r="K2430" t="s">
        <v>153</v>
      </c>
      <c r="L2430" t="s">
        <v>154</v>
      </c>
      <c r="M2430" t="s">
        <v>155</v>
      </c>
      <c r="N2430" t="s">
        <v>107</v>
      </c>
      <c r="O2430" t="s">
        <v>97</v>
      </c>
    </row>
    <row r="2431" spans="1:15" x14ac:dyDescent="0.2">
      <c r="A2431">
        <v>285</v>
      </c>
      <c r="B2431">
        <v>286</v>
      </c>
      <c r="C2431">
        <v>285</v>
      </c>
      <c r="D2431">
        <v>284</v>
      </c>
      <c r="E2431" t="s">
        <v>57</v>
      </c>
      <c r="F2431" t="s">
        <v>60</v>
      </c>
      <c r="G2431">
        <v>96</v>
      </c>
      <c r="H2431" t="s">
        <v>152</v>
      </c>
      <c r="I2431">
        <v>0</v>
      </c>
      <c r="J2431">
        <v>0</v>
      </c>
      <c r="K2431" t="s">
        <v>153</v>
      </c>
      <c r="L2431" t="s">
        <v>154</v>
      </c>
      <c r="M2431" t="s">
        <v>155</v>
      </c>
      <c r="N2431" t="s">
        <v>107</v>
      </c>
      <c r="O2431" t="s">
        <v>97</v>
      </c>
    </row>
    <row r="2432" spans="1:15" x14ac:dyDescent="0.2">
      <c r="A2432">
        <v>285</v>
      </c>
      <c r="B2432">
        <v>286</v>
      </c>
      <c r="C2432">
        <v>285</v>
      </c>
      <c r="D2432">
        <v>284</v>
      </c>
      <c r="E2432" t="s">
        <v>57</v>
      </c>
      <c r="F2432" t="s">
        <v>60</v>
      </c>
      <c r="G2432">
        <v>99</v>
      </c>
      <c r="H2432" t="s">
        <v>152</v>
      </c>
      <c r="I2432">
        <v>0</v>
      </c>
      <c r="J2432">
        <v>0</v>
      </c>
      <c r="K2432" t="s">
        <v>153</v>
      </c>
      <c r="L2432" t="s">
        <v>154</v>
      </c>
      <c r="M2432" t="s">
        <v>155</v>
      </c>
      <c r="N2432" t="s">
        <v>107</v>
      </c>
      <c r="O2432" t="s">
        <v>97</v>
      </c>
    </row>
    <row r="2433" spans="1:15" x14ac:dyDescent="0.2">
      <c r="A2433">
        <v>285</v>
      </c>
      <c r="B2433">
        <v>286</v>
      </c>
      <c r="C2433">
        <v>285</v>
      </c>
      <c r="D2433">
        <v>284</v>
      </c>
      <c r="E2433" t="s">
        <v>57</v>
      </c>
      <c r="F2433" t="s">
        <v>60</v>
      </c>
      <c r="G2433">
        <v>98</v>
      </c>
      <c r="H2433" t="s">
        <v>204</v>
      </c>
      <c r="I2433">
        <v>0</v>
      </c>
      <c r="J2433">
        <v>1</v>
      </c>
      <c r="K2433" t="s">
        <v>122</v>
      </c>
      <c r="L2433" t="s">
        <v>205</v>
      </c>
      <c r="M2433" t="s">
        <v>206</v>
      </c>
      <c r="N2433" t="s">
        <v>207</v>
      </c>
      <c r="O2433" t="s">
        <v>97</v>
      </c>
    </row>
    <row r="2434" spans="1:15" x14ac:dyDescent="0.2">
      <c r="A2434">
        <v>280</v>
      </c>
      <c r="B2434">
        <v>281</v>
      </c>
      <c r="C2434">
        <v>280</v>
      </c>
      <c r="D2434">
        <v>279</v>
      </c>
      <c r="E2434" t="s">
        <v>57</v>
      </c>
      <c r="F2434" t="s">
        <v>59</v>
      </c>
      <c r="G2434">
        <v>1</v>
      </c>
      <c r="H2434" t="s">
        <v>92</v>
      </c>
      <c r="I2434">
        <v>0.2</v>
      </c>
      <c r="J2434">
        <v>0.2</v>
      </c>
      <c r="K2434" t="s">
        <v>93</v>
      </c>
      <c r="L2434" t="s">
        <v>94</v>
      </c>
      <c r="M2434" t="s">
        <v>95</v>
      </c>
      <c r="N2434" t="s">
        <v>96</v>
      </c>
      <c r="O2434" t="s">
        <v>97</v>
      </c>
    </row>
    <row r="2435" spans="1:15" x14ac:dyDescent="0.2">
      <c r="A2435">
        <v>280</v>
      </c>
      <c r="B2435">
        <v>281</v>
      </c>
      <c r="C2435">
        <v>280</v>
      </c>
      <c r="D2435">
        <v>279</v>
      </c>
      <c r="E2435" t="s">
        <v>57</v>
      </c>
      <c r="F2435" t="s">
        <v>59</v>
      </c>
      <c r="G2435">
        <v>2</v>
      </c>
      <c r="H2435" t="s">
        <v>98</v>
      </c>
      <c r="I2435">
        <v>0.25</v>
      </c>
      <c r="J2435">
        <v>0.5</v>
      </c>
      <c r="K2435" t="s">
        <v>93</v>
      </c>
      <c r="L2435" t="s">
        <v>99</v>
      </c>
      <c r="M2435" t="s">
        <v>95</v>
      </c>
      <c r="N2435" t="s">
        <v>96</v>
      </c>
      <c r="O2435" t="s">
        <v>97</v>
      </c>
    </row>
    <row r="2436" spans="1:15" x14ac:dyDescent="0.2">
      <c r="A2436">
        <v>280</v>
      </c>
      <c r="B2436">
        <v>281</v>
      </c>
      <c r="C2436">
        <v>280</v>
      </c>
      <c r="D2436">
        <v>279</v>
      </c>
      <c r="E2436" t="s">
        <v>57</v>
      </c>
      <c r="F2436" t="s">
        <v>59</v>
      </c>
      <c r="G2436">
        <v>3</v>
      </c>
      <c r="H2436" t="s">
        <v>100</v>
      </c>
      <c r="I2436">
        <v>0</v>
      </c>
      <c r="J2436">
        <v>1</v>
      </c>
      <c r="K2436" t="s">
        <v>101</v>
      </c>
      <c r="L2436" t="s">
        <v>102</v>
      </c>
      <c r="M2436" t="s">
        <v>103</v>
      </c>
      <c r="N2436" t="s">
        <v>96</v>
      </c>
      <c r="O2436" t="s">
        <v>97</v>
      </c>
    </row>
    <row r="2437" spans="1:15" x14ac:dyDescent="0.2">
      <c r="A2437">
        <v>280</v>
      </c>
      <c r="B2437">
        <v>281</v>
      </c>
      <c r="C2437">
        <v>280</v>
      </c>
      <c r="D2437">
        <v>279</v>
      </c>
      <c r="E2437" t="s">
        <v>57</v>
      </c>
      <c r="F2437" t="s">
        <v>59</v>
      </c>
      <c r="G2437">
        <v>4</v>
      </c>
      <c r="H2437" t="s">
        <v>104</v>
      </c>
      <c r="I2437">
        <v>0</v>
      </c>
      <c r="J2437">
        <v>1</v>
      </c>
      <c r="K2437" t="s">
        <v>101</v>
      </c>
      <c r="L2437" t="s">
        <v>105</v>
      </c>
      <c r="M2437" t="s">
        <v>106</v>
      </c>
      <c r="N2437" t="s">
        <v>107</v>
      </c>
      <c r="O2437" t="s">
        <v>97</v>
      </c>
    </row>
    <row r="2438" spans="1:15" x14ac:dyDescent="0.2">
      <c r="A2438">
        <v>280</v>
      </c>
      <c r="B2438">
        <v>281</v>
      </c>
      <c r="C2438">
        <v>280</v>
      </c>
      <c r="D2438">
        <v>279</v>
      </c>
      <c r="E2438" t="s">
        <v>57</v>
      </c>
      <c r="F2438" t="s">
        <v>59</v>
      </c>
      <c r="G2438">
        <v>5</v>
      </c>
      <c r="H2438" t="s">
        <v>108</v>
      </c>
      <c r="I2438">
        <v>0</v>
      </c>
      <c r="J2438">
        <v>1</v>
      </c>
      <c r="K2438" t="s">
        <v>101</v>
      </c>
      <c r="L2438" t="s">
        <v>109</v>
      </c>
      <c r="M2438" t="s">
        <v>110</v>
      </c>
      <c r="N2438" t="s">
        <v>107</v>
      </c>
      <c r="O2438" t="s">
        <v>97</v>
      </c>
    </row>
    <row r="2439" spans="1:15" x14ac:dyDescent="0.2">
      <c r="A2439">
        <v>280</v>
      </c>
      <c r="B2439">
        <v>281</v>
      </c>
      <c r="C2439">
        <v>280</v>
      </c>
      <c r="D2439">
        <v>279</v>
      </c>
      <c r="E2439" t="s">
        <v>57</v>
      </c>
      <c r="F2439" t="s">
        <v>59</v>
      </c>
      <c r="G2439">
        <v>9</v>
      </c>
      <c r="H2439" t="s">
        <v>111</v>
      </c>
      <c r="I2439">
        <v>0</v>
      </c>
      <c r="J2439">
        <v>0.5</v>
      </c>
      <c r="K2439" t="s">
        <v>112</v>
      </c>
      <c r="L2439" t="s">
        <v>113</v>
      </c>
      <c r="M2439" t="s">
        <v>114</v>
      </c>
      <c r="N2439" t="s">
        <v>96</v>
      </c>
      <c r="O2439" t="s">
        <v>97</v>
      </c>
    </row>
    <row r="2440" spans="1:15" x14ac:dyDescent="0.2">
      <c r="A2440">
        <v>280</v>
      </c>
      <c r="B2440">
        <v>281</v>
      </c>
      <c r="C2440">
        <v>280</v>
      </c>
      <c r="D2440">
        <v>279</v>
      </c>
      <c r="E2440" t="s">
        <v>57</v>
      </c>
      <c r="F2440" t="s">
        <v>59</v>
      </c>
      <c r="G2440">
        <v>10</v>
      </c>
      <c r="H2440" t="s">
        <v>115</v>
      </c>
      <c r="I2440">
        <v>0</v>
      </c>
      <c r="J2440">
        <v>0.5</v>
      </c>
      <c r="K2440" t="s">
        <v>112</v>
      </c>
      <c r="L2440" t="s">
        <v>116</v>
      </c>
      <c r="M2440" t="s">
        <v>117</v>
      </c>
      <c r="N2440" t="s">
        <v>96</v>
      </c>
      <c r="O2440" t="s">
        <v>97</v>
      </c>
    </row>
    <row r="2441" spans="1:15" x14ac:dyDescent="0.2">
      <c r="A2441">
        <v>280</v>
      </c>
      <c r="B2441">
        <v>281</v>
      </c>
      <c r="C2441">
        <v>280</v>
      </c>
      <c r="D2441">
        <v>279</v>
      </c>
      <c r="E2441" t="s">
        <v>57</v>
      </c>
      <c r="F2441" t="s">
        <v>59</v>
      </c>
      <c r="G2441">
        <v>11</v>
      </c>
      <c r="H2441" t="s">
        <v>118</v>
      </c>
      <c r="I2441">
        <v>0.5</v>
      </c>
      <c r="J2441">
        <v>1</v>
      </c>
      <c r="K2441" t="s">
        <v>112</v>
      </c>
      <c r="L2441" t="s">
        <v>119</v>
      </c>
      <c r="M2441" t="s">
        <v>120</v>
      </c>
      <c r="N2441" t="s">
        <v>107</v>
      </c>
      <c r="O2441" t="s">
        <v>97</v>
      </c>
    </row>
    <row r="2442" spans="1:15" x14ac:dyDescent="0.2">
      <c r="A2442">
        <v>280</v>
      </c>
      <c r="B2442">
        <v>281</v>
      </c>
      <c r="C2442">
        <v>280</v>
      </c>
      <c r="D2442">
        <v>279</v>
      </c>
      <c r="E2442" t="s">
        <v>57</v>
      </c>
      <c r="F2442" t="s">
        <v>59</v>
      </c>
      <c r="G2442">
        <v>12</v>
      </c>
      <c r="H2442" t="s">
        <v>121</v>
      </c>
      <c r="I2442">
        <v>0.25</v>
      </c>
      <c r="J2442">
        <v>0.5</v>
      </c>
      <c r="K2442" t="s">
        <v>122</v>
      </c>
      <c r="L2442" t="s">
        <v>113</v>
      </c>
      <c r="M2442" t="s">
        <v>123</v>
      </c>
      <c r="N2442" t="s">
        <v>96</v>
      </c>
      <c r="O2442" t="s">
        <v>97</v>
      </c>
    </row>
    <row r="2443" spans="1:15" x14ac:dyDescent="0.2">
      <c r="A2443">
        <v>280</v>
      </c>
      <c r="B2443">
        <v>281</v>
      </c>
      <c r="C2443">
        <v>280</v>
      </c>
      <c r="D2443">
        <v>279</v>
      </c>
      <c r="E2443" t="s">
        <v>57</v>
      </c>
      <c r="F2443" t="s">
        <v>59</v>
      </c>
      <c r="G2443">
        <v>13</v>
      </c>
      <c r="H2443" t="s">
        <v>124</v>
      </c>
      <c r="I2443">
        <v>0</v>
      </c>
      <c r="J2443">
        <v>0.5</v>
      </c>
      <c r="K2443" t="s">
        <v>122</v>
      </c>
      <c r="L2443" t="s">
        <v>125</v>
      </c>
      <c r="M2443" t="s">
        <v>126</v>
      </c>
      <c r="N2443" t="s">
        <v>96</v>
      </c>
      <c r="O2443" t="s">
        <v>97</v>
      </c>
    </row>
    <row r="2444" spans="1:15" x14ac:dyDescent="0.2">
      <c r="A2444">
        <v>280</v>
      </c>
      <c r="B2444">
        <v>281</v>
      </c>
      <c r="C2444">
        <v>280</v>
      </c>
      <c r="D2444">
        <v>279</v>
      </c>
      <c r="E2444" t="s">
        <v>57</v>
      </c>
      <c r="F2444" t="s">
        <v>59</v>
      </c>
      <c r="G2444">
        <v>14</v>
      </c>
      <c r="H2444" t="s">
        <v>127</v>
      </c>
      <c r="I2444">
        <v>0.5</v>
      </c>
      <c r="J2444">
        <v>1</v>
      </c>
      <c r="K2444" t="s">
        <v>122</v>
      </c>
      <c r="L2444" t="s">
        <v>119</v>
      </c>
      <c r="M2444" t="s">
        <v>128</v>
      </c>
      <c r="N2444" t="s">
        <v>107</v>
      </c>
      <c r="O2444" t="s">
        <v>97</v>
      </c>
    </row>
    <row r="2445" spans="1:15" x14ac:dyDescent="0.2">
      <c r="A2445">
        <v>280</v>
      </c>
      <c r="B2445">
        <v>281</v>
      </c>
      <c r="C2445">
        <v>280</v>
      </c>
      <c r="D2445">
        <v>279</v>
      </c>
      <c r="E2445" t="s">
        <v>57</v>
      </c>
      <c r="F2445" t="s">
        <v>59</v>
      </c>
      <c r="G2445">
        <v>15</v>
      </c>
      <c r="H2445" t="s">
        <v>129</v>
      </c>
      <c r="I2445">
        <v>1</v>
      </c>
      <c r="J2445">
        <v>1</v>
      </c>
      <c r="K2445" t="s">
        <v>130</v>
      </c>
      <c r="L2445" t="s">
        <v>131</v>
      </c>
      <c r="M2445" t="s">
        <v>132</v>
      </c>
      <c r="N2445" t="s">
        <v>107</v>
      </c>
      <c r="O2445" t="s">
        <v>97</v>
      </c>
    </row>
    <row r="2446" spans="1:15" x14ac:dyDescent="0.2">
      <c r="A2446">
        <v>280</v>
      </c>
      <c r="B2446">
        <v>281</v>
      </c>
      <c r="C2446">
        <v>280</v>
      </c>
      <c r="D2446">
        <v>279</v>
      </c>
      <c r="E2446" t="s">
        <v>57</v>
      </c>
      <c r="F2446" t="s">
        <v>59</v>
      </c>
      <c r="G2446">
        <v>16</v>
      </c>
      <c r="H2446" t="s">
        <v>133</v>
      </c>
      <c r="I2446">
        <v>0</v>
      </c>
      <c r="J2446">
        <v>0</v>
      </c>
      <c r="K2446" t="e">
        <v>#N/A</v>
      </c>
      <c r="L2446" t="e">
        <v>#N/A</v>
      </c>
      <c r="M2446" t="e">
        <v>#N/A</v>
      </c>
      <c r="N2446" t="e">
        <v>#N/A</v>
      </c>
      <c r="O2446" t="s">
        <v>97</v>
      </c>
    </row>
    <row r="2447" spans="1:15" x14ac:dyDescent="0.2">
      <c r="A2447">
        <v>280</v>
      </c>
      <c r="B2447">
        <v>281</v>
      </c>
      <c r="C2447">
        <v>280</v>
      </c>
      <c r="D2447">
        <v>279</v>
      </c>
      <c r="E2447" t="s">
        <v>57</v>
      </c>
      <c r="F2447" t="s">
        <v>59</v>
      </c>
      <c r="G2447">
        <v>17</v>
      </c>
      <c r="H2447" t="s">
        <v>134</v>
      </c>
      <c r="I2447">
        <v>0.5</v>
      </c>
      <c r="J2447">
        <v>1</v>
      </c>
      <c r="K2447" t="s">
        <v>112</v>
      </c>
      <c r="L2447" t="s">
        <v>135</v>
      </c>
      <c r="M2447" t="s">
        <v>136</v>
      </c>
      <c r="N2447" t="s">
        <v>107</v>
      </c>
      <c r="O2447" t="s">
        <v>97</v>
      </c>
    </row>
    <row r="2448" spans="1:15" x14ac:dyDescent="0.2">
      <c r="A2448">
        <v>280</v>
      </c>
      <c r="B2448">
        <v>281</v>
      </c>
      <c r="C2448">
        <v>280</v>
      </c>
      <c r="D2448">
        <v>279</v>
      </c>
      <c r="E2448" t="s">
        <v>57</v>
      </c>
      <c r="F2448" t="s">
        <v>59</v>
      </c>
      <c r="G2448">
        <v>18</v>
      </c>
      <c r="H2448" t="s">
        <v>137</v>
      </c>
      <c r="I2448">
        <v>0</v>
      </c>
      <c r="J2448">
        <v>1</v>
      </c>
      <c r="K2448" t="s">
        <v>112</v>
      </c>
      <c r="L2448" t="s">
        <v>138</v>
      </c>
      <c r="M2448" t="s">
        <v>139</v>
      </c>
      <c r="N2448" t="s">
        <v>107</v>
      </c>
      <c r="O2448" t="s">
        <v>97</v>
      </c>
    </row>
    <row r="2449" spans="1:15" x14ac:dyDescent="0.2">
      <c r="A2449">
        <v>280</v>
      </c>
      <c r="B2449">
        <v>281</v>
      </c>
      <c r="C2449">
        <v>280</v>
      </c>
      <c r="D2449">
        <v>279</v>
      </c>
      <c r="E2449" t="s">
        <v>57</v>
      </c>
      <c r="F2449" t="s">
        <v>59</v>
      </c>
      <c r="G2449">
        <v>19</v>
      </c>
      <c r="H2449" t="s">
        <v>140</v>
      </c>
      <c r="I2449">
        <v>0.5</v>
      </c>
      <c r="J2449">
        <v>1</v>
      </c>
      <c r="K2449" t="s">
        <v>122</v>
      </c>
      <c r="L2449" t="s">
        <v>141</v>
      </c>
      <c r="M2449" t="s">
        <v>142</v>
      </c>
      <c r="N2449" t="s">
        <v>107</v>
      </c>
      <c r="O2449" t="s">
        <v>97</v>
      </c>
    </row>
    <row r="2450" spans="1:15" x14ac:dyDescent="0.2">
      <c r="A2450">
        <v>280</v>
      </c>
      <c r="B2450">
        <v>281</v>
      </c>
      <c r="C2450">
        <v>280</v>
      </c>
      <c r="D2450">
        <v>279</v>
      </c>
      <c r="E2450" t="s">
        <v>57</v>
      </c>
      <c r="F2450" t="s">
        <v>59</v>
      </c>
      <c r="G2450">
        <v>20</v>
      </c>
      <c r="H2450" t="s">
        <v>143</v>
      </c>
      <c r="I2450">
        <v>1</v>
      </c>
      <c r="J2450">
        <v>1</v>
      </c>
      <c r="K2450" t="s">
        <v>122</v>
      </c>
      <c r="L2450" t="s">
        <v>144</v>
      </c>
      <c r="M2450" t="s">
        <v>145</v>
      </c>
      <c r="N2450" t="s">
        <v>107</v>
      </c>
      <c r="O2450" t="s">
        <v>97</v>
      </c>
    </row>
    <row r="2451" spans="1:15" x14ac:dyDescent="0.2">
      <c r="A2451">
        <v>280</v>
      </c>
      <c r="B2451">
        <v>281</v>
      </c>
      <c r="C2451">
        <v>280</v>
      </c>
      <c r="D2451">
        <v>279</v>
      </c>
      <c r="E2451" t="s">
        <v>57</v>
      </c>
      <c r="F2451" t="s">
        <v>59</v>
      </c>
      <c r="G2451">
        <v>21</v>
      </c>
      <c r="H2451" t="s">
        <v>146</v>
      </c>
      <c r="I2451">
        <v>0.5</v>
      </c>
      <c r="J2451">
        <v>1</v>
      </c>
      <c r="K2451" t="s">
        <v>147</v>
      </c>
      <c r="L2451" t="s">
        <v>148</v>
      </c>
      <c r="M2451" t="s">
        <v>149</v>
      </c>
      <c r="N2451" t="s">
        <v>96</v>
      </c>
      <c r="O2451" t="s">
        <v>97</v>
      </c>
    </row>
    <row r="2452" spans="1:15" x14ac:dyDescent="0.2">
      <c r="A2452">
        <v>280</v>
      </c>
      <c r="B2452">
        <v>281</v>
      </c>
      <c r="C2452">
        <v>280</v>
      </c>
      <c r="D2452">
        <v>279</v>
      </c>
      <c r="E2452" t="s">
        <v>57</v>
      </c>
      <c r="F2452" t="s">
        <v>59</v>
      </c>
      <c r="G2452">
        <v>22</v>
      </c>
      <c r="H2452" t="s">
        <v>150</v>
      </c>
      <c r="I2452">
        <v>0</v>
      </c>
      <c r="J2452">
        <v>1</v>
      </c>
      <c r="K2452" t="s">
        <v>147</v>
      </c>
      <c r="L2452" t="s">
        <v>151</v>
      </c>
      <c r="M2452" t="s">
        <v>149</v>
      </c>
      <c r="N2452" t="s">
        <v>107</v>
      </c>
      <c r="O2452" t="s">
        <v>97</v>
      </c>
    </row>
    <row r="2453" spans="1:15" x14ac:dyDescent="0.2">
      <c r="A2453">
        <v>280</v>
      </c>
      <c r="B2453">
        <v>281</v>
      </c>
      <c r="C2453">
        <v>280</v>
      </c>
      <c r="D2453">
        <v>279</v>
      </c>
      <c r="E2453" t="s">
        <v>57</v>
      </c>
      <c r="F2453" t="s">
        <v>59</v>
      </c>
      <c r="G2453">
        <v>23</v>
      </c>
      <c r="H2453" t="s">
        <v>152</v>
      </c>
      <c r="I2453">
        <v>0</v>
      </c>
      <c r="J2453">
        <v>0</v>
      </c>
      <c r="K2453" t="s">
        <v>153</v>
      </c>
      <c r="L2453" t="s">
        <v>154</v>
      </c>
      <c r="M2453" t="s">
        <v>155</v>
      </c>
      <c r="N2453" t="s">
        <v>107</v>
      </c>
      <c r="O2453" t="s">
        <v>97</v>
      </c>
    </row>
    <row r="2454" spans="1:15" x14ac:dyDescent="0.2">
      <c r="A2454">
        <v>280</v>
      </c>
      <c r="B2454">
        <v>281</v>
      </c>
      <c r="C2454">
        <v>280</v>
      </c>
      <c r="D2454">
        <v>279</v>
      </c>
      <c r="E2454" t="s">
        <v>57</v>
      </c>
      <c r="F2454" t="s">
        <v>59</v>
      </c>
      <c r="G2454">
        <v>24</v>
      </c>
      <c r="H2454" t="s">
        <v>156</v>
      </c>
      <c r="I2454">
        <v>0</v>
      </c>
      <c r="J2454">
        <v>0.5</v>
      </c>
      <c r="K2454" t="s">
        <v>122</v>
      </c>
      <c r="L2454" t="s">
        <v>157</v>
      </c>
      <c r="M2454" t="s">
        <v>158</v>
      </c>
      <c r="N2454" t="s">
        <v>107</v>
      </c>
      <c r="O2454" t="s">
        <v>97</v>
      </c>
    </row>
    <row r="2455" spans="1:15" x14ac:dyDescent="0.2">
      <c r="A2455">
        <v>280</v>
      </c>
      <c r="B2455">
        <v>281</v>
      </c>
      <c r="C2455">
        <v>280</v>
      </c>
      <c r="D2455">
        <v>279</v>
      </c>
      <c r="E2455" t="s">
        <v>57</v>
      </c>
      <c r="F2455" t="s">
        <v>59</v>
      </c>
      <c r="G2455">
        <v>25</v>
      </c>
      <c r="H2455" t="s">
        <v>156</v>
      </c>
      <c r="I2455">
        <v>0</v>
      </c>
      <c r="J2455">
        <v>0.5</v>
      </c>
      <c r="K2455" t="s">
        <v>122</v>
      </c>
      <c r="L2455" t="s">
        <v>157</v>
      </c>
      <c r="M2455" t="s">
        <v>158</v>
      </c>
      <c r="N2455" t="s">
        <v>107</v>
      </c>
      <c r="O2455" t="s">
        <v>97</v>
      </c>
    </row>
    <row r="2456" spans="1:15" x14ac:dyDescent="0.2">
      <c r="A2456">
        <v>280</v>
      </c>
      <c r="B2456">
        <v>281</v>
      </c>
      <c r="C2456">
        <v>280</v>
      </c>
      <c r="D2456">
        <v>279</v>
      </c>
      <c r="E2456" t="s">
        <v>57</v>
      </c>
      <c r="F2456" t="s">
        <v>59</v>
      </c>
      <c r="G2456">
        <v>26</v>
      </c>
      <c r="H2456" t="s">
        <v>152</v>
      </c>
      <c r="I2456">
        <v>0</v>
      </c>
      <c r="J2456">
        <v>0</v>
      </c>
      <c r="K2456" t="s">
        <v>153</v>
      </c>
      <c r="L2456" t="s">
        <v>154</v>
      </c>
      <c r="M2456" t="s">
        <v>155</v>
      </c>
      <c r="N2456" t="s">
        <v>107</v>
      </c>
      <c r="O2456" t="s">
        <v>97</v>
      </c>
    </row>
    <row r="2457" spans="1:15" x14ac:dyDescent="0.2">
      <c r="A2457">
        <v>280</v>
      </c>
      <c r="B2457">
        <v>281</v>
      </c>
      <c r="C2457">
        <v>280</v>
      </c>
      <c r="D2457">
        <v>279</v>
      </c>
      <c r="E2457" t="s">
        <v>57</v>
      </c>
      <c r="F2457" t="s">
        <v>59</v>
      </c>
      <c r="G2457">
        <v>27</v>
      </c>
      <c r="H2457" t="s">
        <v>159</v>
      </c>
      <c r="I2457">
        <v>0</v>
      </c>
      <c r="J2457">
        <v>0.5</v>
      </c>
      <c r="K2457" t="s">
        <v>122</v>
      </c>
      <c r="L2457" t="s">
        <v>160</v>
      </c>
      <c r="M2457" t="s">
        <v>161</v>
      </c>
      <c r="N2457" t="s">
        <v>107</v>
      </c>
      <c r="O2457" t="s">
        <v>97</v>
      </c>
    </row>
    <row r="2458" spans="1:15" x14ac:dyDescent="0.2">
      <c r="A2458">
        <v>280</v>
      </c>
      <c r="B2458">
        <v>281</v>
      </c>
      <c r="C2458">
        <v>280</v>
      </c>
      <c r="D2458">
        <v>279</v>
      </c>
      <c r="E2458" t="s">
        <v>57</v>
      </c>
      <c r="F2458" t="s">
        <v>59</v>
      </c>
      <c r="G2458">
        <v>28</v>
      </c>
      <c r="H2458" t="s">
        <v>159</v>
      </c>
      <c r="I2458">
        <v>0</v>
      </c>
      <c r="J2458">
        <v>0.5</v>
      </c>
      <c r="K2458" t="s">
        <v>122</v>
      </c>
      <c r="L2458" t="s">
        <v>160</v>
      </c>
      <c r="M2458" t="s">
        <v>161</v>
      </c>
      <c r="N2458" t="s">
        <v>107</v>
      </c>
      <c r="O2458" t="s">
        <v>97</v>
      </c>
    </row>
    <row r="2459" spans="1:15" x14ac:dyDescent="0.2">
      <c r="A2459">
        <v>280</v>
      </c>
      <c r="B2459">
        <v>281</v>
      </c>
      <c r="C2459">
        <v>280</v>
      </c>
      <c r="D2459">
        <v>279</v>
      </c>
      <c r="E2459" t="s">
        <v>57</v>
      </c>
      <c r="F2459" t="s">
        <v>59</v>
      </c>
      <c r="G2459">
        <v>29</v>
      </c>
      <c r="H2459" t="s">
        <v>152</v>
      </c>
      <c r="I2459">
        <v>0</v>
      </c>
      <c r="J2459">
        <v>0</v>
      </c>
      <c r="K2459" t="s">
        <v>153</v>
      </c>
      <c r="L2459" t="s">
        <v>154</v>
      </c>
      <c r="M2459" t="s">
        <v>155</v>
      </c>
      <c r="N2459" t="s">
        <v>107</v>
      </c>
      <c r="O2459" t="s">
        <v>97</v>
      </c>
    </row>
    <row r="2460" spans="1:15" x14ac:dyDescent="0.2">
      <c r="A2460">
        <v>280</v>
      </c>
      <c r="B2460">
        <v>281</v>
      </c>
      <c r="C2460">
        <v>280</v>
      </c>
      <c r="D2460">
        <v>279</v>
      </c>
      <c r="E2460" t="s">
        <v>57</v>
      </c>
      <c r="F2460" t="s">
        <v>59</v>
      </c>
      <c r="G2460">
        <v>30</v>
      </c>
      <c r="H2460" t="s">
        <v>162</v>
      </c>
      <c r="I2460">
        <v>0</v>
      </c>
      <c r="J2460">
        <v>1</v>
      </c>
      <c r="K2460" t="s">
        <v>112</v>
      </c>
      <c r="L2460" t="s">
        <v>163</v>
      </c>
      <c r="M2460" t="s">
        <v>164</v>
      </c>
      <c r="N2460" t="s">
        <v>107</v>
      </c>
      <c r="O2460" t="s">
        <v>97</v>
      </c>
    </row>
    <row r="2461" spans="1:15" x14ac:dyDescent="0.2">
      <c r="A2461">
        <v>280</v>
      </c>
      <c r="B2461">
        <v>281</v>
      </c>
      <c r="C2461">
        <v>280</v>
      </c>
      <c r="D2461">
        <v>279</v>
      </c>
      <c r="E2461" t="s">
        <v>57</v>
      </c>
      <c r="F2461" t="s">
        <v>59</v>
      </c>
      <c r="G2461">
        <v>31</v>
      </c>
      <c r="H2461" t="s">
        <v>162</v>
      </c>
      <c r="I2461">
        <v>0</v>
      </c>
      <c r="J2461">
        <v>0</v>
      </c>
      <c r="K2461" t="s">
        <v>112</v>
      </c>
      <c r="L2461" t="s">
        <v>163</v>
      </c>
      <c r="M2461" t="s">
        <v>164</v>
      </c>
      <c r="N2461" t="s">
        <v>107</v>
      </c>
      <c r="O2461" t="s">
        <v>97</v>
      </c>
    </row>
    <row r="2462" spans="1:15" x14ac:dyDescent="0.2">
      <c r="A2462">
        <v>280</v>
      </c>
      <c r="B2462">
        <v>281</v>
      </c>
      <c r="C2462">
        <v>280</v>
      </c>
      <c r="D2462">
        <v>279</v>
      </c>
      <c r="E2462" t="s">
        <v>57</v>
      </c>
      <c r="F2462" t="s">
        <v>59</v>
      </c>
      <c r="G2462">
        <v>32</v>
      </c>
      <c r="H2462" t="s">
        <v>162</v>
      </c>
      <c r="I2462">
        <v>0</v>
      </c>
      <c r="J2462">
        <v>0</v>
      </c>
      <c r="K2462" t="s">
        <v>112</v>
      </c>
      <c r="L2462" t="s">
        <v>163</v>
      </c>
      <c r="M2462" t="s">
        <v>164</v>
      </c>
      <c r="N2462" t="s">
        <v>107</v>
      </c>
      <c r="O2462" t="s">
        <v>97</v>
      </c>
    </row>
    <row r="2463" spans="1:15" x14ac:dyDescent="0.2">
      <c r="A2463">
        <v>280</v>
      </c>
      <c r="B2463">
        <v>281</v>
      </c>
      <c r="C2463">
        <v>280</v>
      </c>
      <c r="D2463">
        <v>279</v>
      </c>
      <c r="E2463" t="s">
        <v>57</v>
      </c>
      <c r="F2463" t="s">
        <v>59</v>
      </c>
      <c r="G2463">
        <v>33</v>
      </c>
      <c r="H2463" t="s">
        <v>152</v>
      </c>
      <c r="I2463">
        <v>0</v>
      </c>
      <c r="J2463">
        <v>1</v>
      </c>
      <c r="K2463" t="s">
        <v>153</v>
      </c>
      <c r="L2463" t="s">
        <v>154</v>
      </c>
      <c r="M2463" t="s">
        <v>155</v>
      </c>
      <c r="N2463" t="s">
        <v>107</v>
      </c>
      <c r="O2463" t="s">
        <v>97</v>
      </c>
    </row>
    <row r="2464" spans="1:15" x14ac:dyDescent="0.2">
      <c r="A2464">
        <v>280</v>
      </c>
      <c r="B2464">
        <v>281</v>
      </c>
      <c r="C2464">
        <v>280</v>
      </c>
      <c r="D2464">
        <v>279</v>
      </c>
      <c r="E2464" t="s">
        <v>57</v>
      </c>
      <c r="F2464" t="s">
        <v>59</v>
      </c>
      <c r="G2464">
        <v>34</v>
      </c>
      <c r="H2464" t="s">
        <v>152</v>
      </c>
      <c r="I2464">
        <v>0</v>
      </c>
      <c r="J2464">
        <v>0</v>
      </c>
      <c r="K2464" t="s">
        <v>153</v>
      </c>
      <c r="L2464" t="s">
        <v>154</v>
      </c>
      <c r="M2464" t="s">
        <v>155</v>
      </c>
      <c r="N2464" t="s">
        <v>107</v>
      </c>
      <c r="O2464" t="s">
        <v>97</v>
      </c>
    </row>
    <row r="2465" spans="1:15" x14ac:dyDescent="0.2">
      <c r="A2465">
        <v>280</v>
      </c>
      <c r="B2465">
        <v>281</v>
      </c>
      <c r="C2465">
        <v>280</v>
      </c>
      <c r="D2465">
        <v>279</v>
      </c>
      <c r="E2465" t="s">
        <v>57</v>
      </c>
      <c r="F2465" t="s">
        <v>59</v>
      </c>
      <c r="G2465">
        <v>35</v>
      </c>
      <c r="H2465" t="s">
        <v>165</v>
      </c>
      <c r="I2465">
        <v>0</v>
      </c>
      <c r="J2465">
        <v>1</v>
      </c>
      <c r="K2465" t="s">
        <v>166</v>
      </c>
      <c r="L2465" t="s">
        <v>167</v>
      </c>
      <c r="M2465" t="s">
        <v>168</v>
      </c>
      <c r="N2465" t="s">
        <v>107</v>
      </c>
      <c r="O2465" t="s">
        <v>97</v>
      </c>
    </row>
    <row r="2466" spans="1:15" x14ac:dyDescent="0.2">
      <c r="A2466">
        <v>280</v>
      </c>
      <c r="B2466">
        <v>281</v>
      </c>
      <c r="C2466">
        <v>280</v>
      </c>
      <c r="D2466">
        <v>279</v>
      </c>
      <c r="E2466" t="s">
        <v>57</v>
      </c>
      <c r="F2466" t="s">
        <v>59</v>
      </c>
      <c r="G2466">
        <v>36</v>
      </c>
      <c r="H2466" t="s">
        <v>169</v>
      </c>
      <c r="I2466">
        <v>0</v>
      </c>
      <c r="J2466">
        <v>0</v>
      </c>
      <c r="K2466" t="e">
        <v>#N/A</v>
      </c>
      <c r="L2466" t="e">
        <v>#N/A</v>
      </c>
      <c r="M2466" t="e">
        <v>#N/A</v>
      </c>
      <c r="N2466" t="e">
        <v>#N/A</v>
      </c>
      <c r="O2466" t="s">
        <v>97</v>
      </c>
    </row>
    <row r="2467" spans="1:15" x14ac:dyDescent="0.2">
      <c r="A2467">
        <v>280</v>
      </c>
      <c r="B2467">
        <v>281</v>
      </c>
      <c r="C2467">
        <v>280</v>
      </c>
      <c r="D2467">
        <v>279</v>
      </c>
      <c r="E2467" t="s">
        <v>57</v>
      </c>
      <c r="F2467" t="s">
        <v>59</v>
      </c>
      <c r="G2467">
        <v>38</v>
      </c>
      <c r="H2467" t="s">
        <v>170</v>
      </c>
      <c r="I2467">
        <v>0</v>
      </c>
      <c r="J2467">
        <v>0</v>
      </c>
      <c r="K2467" t="s">
        <v>112</v>
      </c>
      <c r="L2467" t="s">
        <v>171</v>
      </c>
      <c r="M2467" t="s">
        <v>172</v>
      </c>
      <c r="N2467" t="s">
        <v>96</v>
      </c>
      <c r="O2467" t="s">
        <v>97</v>
      </c>
    </row>
    <row r="2468" spans="1:15" x14ac:dyDescent="0.2">
      <c r="A2468">
        <v>280</v>
      </c>
      <c r="B2468">
        <v>281</v>
      </c>
      <c r="C2468">
        <v>280</v>
      </c>
      <c r="D2468">
        <v>279</v>
      </c>
      <c r="E2468" t="s">
        <v>57</v>
      </c>
      <c r="F2468" t="s">
        <v>59</v>
      </c>
      <c r="G2468">
        <v>39</v>
      </c>
      <c r="H2468" t="s">
        <v>170</v>
      </c>
      <c r="I2468">
        <v>0</v>
      </c>
      <c r="J2468">
        <v>0</v>
      </c>
      <c r="K2468" t="s">
        <v>112</v>
      </c>
      <c r="L2468" t="s">
        <v>171</v>
      </c>
      <c r="M2468" t="s">
        <v>172</v>
      </c>
      <c r="N2468" t="s">
        <v>96</v>
      </c>
      <c r="O2468" t="s">
        <v>97</v>
      </c>
    </row>
    <row r="2469" spans="1:15" x14ac:dyDescent="0.2">
      <c r="A2469">
        <v>280</v>
      </c>
      <c r="B2469">
        <v>281</v>
      </c>
      <c r="C2469">
        <v>280</v>
      </c>
      <c r="D2469">
        <v>279</v>
      </c>
      <c r="E2469" t="s">
        <v>57</v>
      </c>
      <c r="F2469" t="s">
        <v>59</v>
      </c>
      <c r="G2469">
        <v>40</v>
      </c>
      <c r="H2469" t="s">
        <v>170</v>
      </c>
      <c r="I2469">
        <v>0</v>
      </c>
      <c r="J2469">
        <v>0</v>
      </c>
      <c r="K2469" t="s">
        <v>112</v>
      </c>
      <c r="L2469" t="s">
        <v>171</v>
      </c>
      <c r="M2469" t="s">
        <v>172</v>
      </c>
      <c r="N2469" t="s">
        <v>96</v>
      </c>
      <c r="O2469" t="s">
        <v>97</v>
      </c>
    </row>
    <row r="2470" spans="1:15" x14ac:dyDescent="0.2">
      <c r="A2470">
        <v>280</v>
      </c>
      <c r="B2470">
        <v>281</v>
      </c>
      <c r="C2470">
        <v>280</v>
      </c>
      <c r="D2470">
        <v>279</v>
      </c>
      <c r="E2470" t="s">
        <v>57</v>
      </c>
      <c r="F2470" t="s">
        <v>59</v>
      </c>
      <c r="G2470">
        <v>41</v>
      </c>
      <c r="H2470" t="s">
        <v>173</v>
      </c>
      <c r="I2470">
        <v>0</v>
      </c>
      <c r="J2470">
        <v>0</v>
      </c>
      <c r="K2470" t="s">
        <v>166</v>
      </c>
      <c r="L2470" t="s">
        <v>174</v>
      </c>
      <c r="M2470" t="s">
        <v>175</v>
      </c>
      <c r="N2470" t="s">
        <v>107</v>
      </c>
      <c r="O2470" t="s">
        <v>97</v>
      </c>
    </row>
    <row r="2471" spans="1:15" x14ac:dyDescent="0.2">
      <c r="A2471">
        <v>280</v>
      </c>
      <c r="B2471">
        <v>281</v>
      </c>
      <c r="C2471">
        <v>280</v>
      </c>
      <c r="D2471">
        <v>279</v>
      </c>
      <c r="E2471" t="s">
        <v>57</v>
      </c>
      <c r="F2471" t="s">
        <v>59</v>
      </c>
      <c r="G2471">
        <v>42</v>
      </c>
      <c r="H2471" t="s">
        <v>176</v>
      </c>
      <c r="I2471">
        <v>0</v>
      </c>
      <c r="J2471" t="s">
        <v>198</v>
      </c>
      <c r="K2471" t="s">
        <v>153</v>
      </c>
      <c r="L2471" t="s">
        <v>177</v>
      </c>
      <c r="M2471" t="s">
        <v>178</v>
      </c>
      <c r="N2471" t="s">
        <v>107</v>
      </c>
      <c r="O2471" t="s">
        <v>97</v>
      </c>
    </row>
    <row r="2472" spans="1:15" x14ac:dyDescent="0.2">
      <c r="A2472">
        <v>280</v>
      </c>
      <c r="B2472">
        <v>281</v>
      </c>
      <c r="C2472">
        <v>280</v>
      </c>
      <c r="D2472">
        <v>279</v>
      </c>
      <c r="E2472" t="s">
        <v>57</v>
      </c>
      <c r="F2472" t="s">
        <v>59</v>
      </c>
      <c r="G2472">
        <v>43</v>
      </c>
      <c r="H2472" t="s">
        <v>179</v>
      </c>
      <c r="I2472">
        <v>0</v>
      </c>
      <c r="J2472">
        <v>0</v>
      </c>
      <c r="K2472" t="s">
        <v>166</v>
      </c>
      <c r="L2472" t="s">
        <v>180</v>
      </c>
      <c r="M2472" t="s">
        <v>181</v>
      </c>
      <c r="N2472" t="s">
        <v>107</v>
      </c>
      <c r="O2472" t="s">
        <v>97</v>
      </c>
    </row>
    <row r="2473" spans="1:15" x14ac:dyDescent="0.2">
      <c r="A2473">
        <v>280</v>
      </c>
      <c r="B2473">
        <v>281</v>
      </c>
      <c r="C2473">
        <v>280</v>
      </c>
      <c r="D2473">
        <v>279</v>
      </c>
      <c r="E2473" t="s">
        <v>57</v>
      </c>
      <c r="F2473" t="s">
        <v>59</v>
      </c>
      <c r="G2473">
        <v>44</v>
      </c>
      <c r="H2473" t="s">
        <v>182</v>
      </c>
      <c r="I2473">
        <v>0</v>
      </c>
      <c r="J2473">
        <v>1</v>
      </c>
      <c r="K2473" t="s">
        <v>166</v>
      </c>
      <c r="L2473" t="s">
        <v>183</v>
      </c>
      <c r="M2473" t="s">
        <v>184</v>
      </c>
      <c r="N2473" t="s">
        <v>107</v>
      </c>
      <c r="O2473" t="s">
        <v>97</v>
      </c>
    </row>
    <row r="2474" spans="1:15" x14ac:dyDescent="0.2">
      <c r="A2474">
        <v>280</v>
      </c>
      <c r="B2474">
        <v>281</v>
      </c>
      <c r="C2474">
        <v>280</v>
      </c>
      <c r="D2474">
        <v>279</v>
      </c>
      <c r="E2474" t="s">
        <v>57</v>
      </c>
      <c r="F2474" t="s">
        <v>59</v>
      </c>
      <c r="G2474">
        <v>45</v>
      </c>
      <c r="H2474" t="s">
        <v>185</v>
      </c>
      <c r="I2474">
        <v>0</v>
      </c>
      <c r="J2474">
        <v>1</v>
      </c>
      <c r="K2474" t="s">
        <v>166</v>
      </c>
      <c r="L2474" t="s">
        <v>186</v>
      </c>
      <c r="M2474" t="s">
        <v>139</v>
      </c>
      <c r="N2474" t="s">
        <v>107</v>
      </c>
      <c r="O2474" t="s">
        <v>97</v>
      </c>
    </row>
    <row r="2475" spans="1:15" x14ac:dyDescent="0.2">
      <c r="A2475">
        <v>280</v>
      </c>
      <c r="B2475">
        <v>281</v>
      </c>
      <c r="C2475">
        <v>280</v>
      </c>
      <c r="D2475">
        <v>279</v>
      </c>
      <c r="E2475" t="s">
        <v>57</v>
      </c>
      <c r="F2475" t="s">
        <v>59</v>
      </c>
      <c r="G2475">
        <v>47</v>
      </c>
      <c r="H2475" t="s">
        <v>187</v>
      </c>
      <c r="I2475">
        <v>0.2</v>
      </c>
      <c r="J2475">
        <v>0.2</v>
      </c>
      <c r="K2475" t="s">
        <v>93</v>
      </c>
      <c r="L2475" t="s">
        <v>188</v>
      </c>
      <c r="M2475" t="s">
        <v>95</v>
      </c>
      <c r="N2475" t="s">
        <v>96</v>
      </c>
      <c r="O2475" t="s">
        <v>97</v>
      </c>
    </row>
    <row r="2476" spans="1:15" x14ac:dyDescent="0.2">
      <c r="A2476">
        <v>280</v>
      </c>
      <c r="B2476">
        <v>281</v>
      </c>
      <c r="C2476">
        <v>280</v>
      </c>
      <c r="D2476">
        <v>279</v>
      </c>
      <c r="E2476" t="s">
        <v>57</v>
      </c>
      <c r="F2476" t="s">
        <v>59</v>
      </c>
      <c r="G2476">
        <v>48</v>
      </c>
      <c r="H2476" t="s">
        <v>189</v>
      </c>
      <c r="I2476">
        <v>0.2</v>
      </c>
      <c r="J2476">
        <v>0.2</v>
      </c>
      <c r="K2476" t="s">
        <v>93</v>
      </c>
      <c r="L2476" t="s">
        <v>190</v>
      </c>
      <c r="M2476" t="s">
        <v>95</v>
      </c>
      <c r="N2476" t="s">
        <v>96</v>
      </c>
      <c r="O2476" t="s">
        <v>97</v>
      </c>
    </row>
    <row r="2477" spans="1:15" x14ac:dyDescent="0.2">
      <c r="A2477">
        <v>280</v>
      </c>
      <c r="B2477">
        <v>281</v>
      </c>
      <c r="C2477">
        <v>280</v>
      </c>
      <c r="D2477">
        <v>279</v>
      </c>
      <c r="E2477" t="s">
        <v>57</v>
      </c>
      <c r="F2477" t="s">
        <v>59</v>
      </c>
      <c r="G2477">
        <v>49</v>
      </c>
      <c r="H2477" t="s">
        <v>191</v>
      </c>
      <c r="I2477">
        <v>0.2</v>
      </c>
      <c r="J2477">
        <v>0.2</v>
      </c>
      <c r="K2477" t="s">
        <v>93</v>
      </c>
      <c r="L2477" t="s">
        <v>192</v>
      </c>
      <c r="M2477" t="s">
        <v>95</v>
      </c>
      <c r="N2477" t="s">
        <v>96</v>
      </c>
      <c r="O2477" t="s">
        <v>97</v>
      </c>
    </row>
    <row r="2478" spans="1:15" x14ac:dyDescent="0.2">
      <c r="A2478">
        <v>280</v>
      </c>
      <c r="B2478">
        <v>281</v>
      </c>
      <c r="C2478">
        <v>280</v>
      </c>
      <c r="D2478">
        <v>279</v>
      </c>
      <c r="E2478" t="s">
        <v>57</v>
      </c>
      <c r="F2478" t="s">
        <v>59</v>
      </c>
      <c r="G2478">
        <v>50</v>
      </c>
      <c r="H2478" t="s">
        <v>193</v>
      </c>
      <c r="I2478">
        <v>0.1</v>
      </c>
      <c r="J2478">
        <v>0.1</v>
      </c>
      <c r="K2478" t="s">
        <v>93</v>
      </c>
      <c r="L2478" t="s">
        <v>194</v>
      </c>
      <c r="M2478" t="s">
        <v>95</v>
      </c>
      <c r="N2478" t="s">
        <v>96</v>
      </c>
      <c r="O2478" t="s">
        <v>97</v>
      </c>
    </row>
    <row r="2479" spans="1:15" x14ac:dyDescent="0.2">
      <c r="A2479">
        <v>280</v>
      </c>
      <c r="B2479">
        <v>281</v>
      </c>
      <c r="C2479">
        <v>280</v>
      </c>
      <c r="D2479">
        <v>279</v>
      </c>
      <c r="E2479" t="s">
        <v>57</v>
      </c>
      <c r="F2479" t="s">
        <v>59</v>
      </c>
      <c r="G2479">
        <v>51</v>
      </c>
      <c r="H2479" t="s">
        <v>193</v>
      </c>
      <c r="I2479">
        <v>0.1</v>
      </c>
      <c r="J2479">
        <v>0.1</v>
      </c>
      <c r="K2479" t="s">
        <v>93</v>
      </c>
      <c r="L2479" t="s">
        <v>194</v>
      </c>
      <c r="M2479" t="s">
        <v>95</v>
      </c>
      <c r="N2479" t="s">
        <v>96</v>
      </c>
      <c r="O2479" t="s">
        <v>97</v>
      </c>
    </row>
    <row r="2480" spans="1:15" x14ac:dyDescent="0.2">
      <c r="A2480">
        <v>280</v>
      </c>
      <c r="B2480">
        <v>281</v>
      </c>
      <c r="C2480">
        <v>280</v>
      </c>
      <c r="D2480">
        <v>279</v>
      </c>
      <c r="E2480" t="s">
        <v>57</v>
      </c>
      <c r="F2480" t="s">
        <v>59</v>
      </c>
      <c r="G2480">
        <v>97</v>
      </c>
      <c r="H2480" t="s">
        <v>152</v>
      </c>
      <c r="I2480">
        <v>0.25</v>
      </c>
      <c r="J2480">
        <v>0.25</v>
      </c>
      <c r="K2480" t="s">
        <v>153</v>
      </c>
      <c r="L2480" t="s">
        <v>154</v>
      </c>
      <c r="M2480" t="s">
        <v>155</v>
      </c>
      <c r="N2480" t="s">
        <v>107</v>
      </c>
      <c r="O2480" t="s">
        <v>97</v>
      </c>
    </row>
    <row r="2481" spans="1:15" x14ac:dyDescent="0.2">
      <c r="A2481">
        <v>280</v>
      </c>
      <c r="B2481">
        <v>281</v>
      </c>
      <c r="C2481">
        <v>280</v>
      </c>
      <c r="D2481">
        <v>279</v>
      </c>
      <c r="E2481" t="s">
        <v>57</v>
      </c>
      <c r="F2481" t="s">
        <v>59</v>
      </c>
      <c r="G2481">
        <v>96</v>
      </c>
      <c r="H2481" t="s">
        <v>152</v>
      </c>
      <c r="I2481">
        <v>0</v>
      </c>
      <c r="J2481">
        <v>0</v>
      </c>
      <c r="K2481" t="s">
        <v>153</v>
      </c>
      <c r="L2481" t="s">
        <v>154</v>
      </c>
      <c r="M2481" t="s">
        <v>155</v>
      </c>
      <c r="N2481" t="s">
        <v>107</v>
      </c>
      <c r="O2481" t="s">
        <v>97</v>
      </c>
    </row>
    <row r="2482" spans="1:15" x14ac:dyDescent="0.2">
      <c r="A2482">
        <v>280</v>
      </c>
      <c r="B2482">
        <v>281</v>
      </c>
      <c r="C2482">
        <v>280</v>
      </c>
      <c r="D2482">
        <v>279</v>
      </c>
      <c r="E2482" t="s">
        <v>57</v>
      </c>
      <c r="F2482" t="s">
        <v>59</v>
      </c>
      <c r="G2482">
        <v>99</v>
      </c>
      <c r="H2482" t="s">
        <v>152</v>
      </c>
      <c r="I2482">
        <v>0</v>
      </c>
      <c r="J2482">
        <v>0</v>
      </c>
      <c r="K2482" t="s">
        <v>153</v>
      </c>
      <c r="L2482" t="s">
        <v>154</v>
      </c>
      <c r="M2482" t="s">
        <v>155</v>
      </c>
      <c r="N2482" t="s">
        <v>107</v>
      </c>
      <c r="O2482" t="s">
        <v>97</v>
      </c>
    </row>
    <row r="2483" spans="1:15" x14ac:dyDescent="0.2">
      <c r="A2483">
        <v>280</v>
      </c>
      <c r="B2483">
        <v>281</v>
      </c>
      <c r="C2483">
        <v>280</v>
      </c>
      <c r="D2483">
        <v>279</v>
      </c>
      <c r="E2483" t="s">
        <v>57</v>
      </c>
      <c r="F2483" t="s">
        <v>59</v>
      </c>
      <c r="G2483">
        <v>98</v>
      </c>
      <c r="H2483" t="s">
        <v>204</v>
      </c>
      <c r="I2483">
        <v>0</v>
      </c>
      <c r="J2483">
        <v>1</v>
      </c>
      <c r="K2483" t="s">
        <v>122</v>
      </c>
      <c r="L2483" t="s">
        <v>205</v>
      </c>
      <c r="M2483" t="s">
        <v>206</v>
      </c>
      <c r="N2483" t="s">
        <v>207</v>
      </c>
      <c r="O2483" t="s">
        <v>97</v>
      </c>
    </row>
    <row r="2484" spans="1:15" x14ac:dyDescent="0.2">
      <c r="A2484">
        <v>85</v>
      </c>
      <c r="B2484">
        <v>86</v>
      </c>
      <c r="C2484">
        <v>85</v>
      </c>
      <c r="D2484">
        <v>84</v>
      </c>
      <c r="E2484" t="s">
        <v>5</v>
      </c>
      <c r="F2484" t="s">
        <v>271</v>
      </c>
      <c r="G2484">
        <v>1</v>
      </c>
      <c r="H2484" t="s">
        <v>92</v>
      </c>
      <c r="I2484">
        <v>0.2</v>
      </c>
      <c r="J2484">
        <v>0.2</v>
      </c>
      <c r="K2484" t="s">
        <v>93</v>
      </c>
      <c r="L2484" t="s">
        <v>94</v>
      </c>
      <c r="M2484" t="s">
        <v>95</v>
      </c>
      <c r="N2484" t="s">
        <v>96</v>
      </c>
      <c r="O2484" t="s">
        <v>97</v>
      </c>
    </row>
    <row r="2485" spans="1:15" x14ac:dyDescent="0.2">
      <c r="A2485">
        <v>85</v>
      </c>
      <c r="B2485">
        <v>86</v>
      </c>
      <c r="C2485">
        <v>85</v>
      </c>
      <c r="D2485">
        <v>84</v>
      </c>
      <c r="E2485" t="s">
        <v>5</v>
      </c>
      <c r="F2485" t="s">
        <v>271</v>
      </c>
      <c r="G2485">
        <v>2</v>
      </c>
      <c r="H2485" t="s">
        <v>98</v>
      </c>
      <c r="I2485">
        <v>0.25</v>
      </c>
      <c r="J2485">
        <v>0.5</v>
      </c>
      <c r="K2485" t="s">
        <v>93</v>
      </c>
      <c r="L2485" t="s">
        <v>99</v>
      </c>
      <c r="M2485" t="s">
        <v>95</v>
      </c>
      <c r="N2485" t="s">
        <v>96</v>
      </c>
      <c r="O2485" t="s">
        <v>97</v>
      </c>
    </row>
    <row r="2486" spans="1:15" x14ac:dyDescent="0.2">
      <c r="A2486">
        <v>85</v>
      </c>
      <c r="B2486">
        <v>86</v>
      </c>
      <c r="C2486">
        <v>85</v>
      </c>
      <c r="D2486">
        <v>84</v>
      </c>
      <c r="E2486" t="s">
        <v>5</v>
      </c>
      <c r="F2486" t="s">
        <v>271</v>
      </c>
      <c r="G2486">
        <v>3</v>
      </c>
      <c r="H2486" t="s">
        <v>100</v>
      </c>
      <c r="I2486">
        <v>0</v>
      </c>
      <c r="J2486">
        <v>1</v>
      </c>
      <c r="K2486" t="s">
        <v>101</v>
      </c>
      <c r="L2486" t="s">
        <v>102</v>
      </c>
      <c r="M2486" t="s">
        <v>103</v>
      </c>
      <c r="N2486" t="s">
        <v>96</v>
      </c>
      <c r="O2486" t="s">
        <v>97</v>
      </c>
    </row>
    <row r="2487" spans="1:15" x14ac:dyDescent="0.2">
      <c r="A2487">
        <v>85</v>
      </c>
      <c r="B2487">
        <v>86</v>
      </c>
      <c r="C2487">
        <v>85</v>
      </c>
      <c r="D2487">
        <v>84</v>
      </c>
      <c r="E2487" t="s">
        <v>5</v>
      </c>
      <c r="F2487" t="s">
        <v>271</v>
      </c>
      <c r="G2487">
        <v>4</v>
      </c>
      <c r="H2487" t="s">
        <v>104</v>
      </c>
      <c r="I2487">
        <v>0</v>
      </c>
      <c r="J2487">
        <v>1</v>
      </c>
      <c r="K2487" t="s">
        <v>101</v>
      </c>
      <c r="L2487" t="s">
        <v>105</v>
      </c>
      <c r="M2487" t="s">
        <v>106</v>
      </c>
      <c r="N2487" t="s">
        <v>107</v>
      </c>
      <c r="O2487" t="s">
        <v>97</v>
      </c>
    </row>
    <row r="2488" spans="1:15" x14ac:dyDescent="0.2">
      <c r="A2488">
        <v>260</v>
      </c>
      <c r="B2488">
        <v>261</v>
      </c>
      <c r="C2488">
        <v>260</v>
      </c>
      <c r="D2488">
        <v>259</v>
      </c>
      <c r="E2488" t="s">
        <v>57</v>
      </c>
      <c r="F2488" t="s">
        <v>58</v>
      </c>
      <c r="G2488">
        <v>1</v>
      </c>
      <c r="H2488" t="s">
        <v>92</v>
      </c>
      <c r="I2488">
        <v>0.2</v>
      </c>
      <c r="J2488">
        <v>0.2</v>
      </c>
      <c r="K2488" t="s">
        <v>93</v>
      </c>
      <c r="L2488" t="s">
        <v>94</v>
      </c>
      <c r="M2488" t="s">
        <v>95</v>
      </c>
      <c r="N2488" t="s">
        <v>96</v>
      </c>
      <c r="O2488" t="s">
        <v>97</v>
      </c>
    </row>
    <row r="2489" spans="1:15" x14ac:dyDescent="0.2">
      <c r="A2489">
        <v>260</v>
      </c>
      <c r="B2489">
        <v>261</v>
      </c>
      <c r="C2489">
        <v>260</v>
      </c>
      <c r="D2489">
        <v>259</v>
      </c>
      <c r="E2489" t="s">
        <v>57</v>
      </c>
      <c r="F2489" t="s">
        <v>58</v>
      </c>
      <c r="G2489">
        <v>2</v>
      </c>
      <c r="H2489" t="s">
        <v>98</v>
      </c>
      <c r="I2489">
        <v>0.5</v>
      </c>
      <c r="J2489">
        <v>0.5</v>
      </c>
      <c r="K2489" t="s">
        <v>93</v>
      </c>
      <c r="L2489" t="s">
        <v>99</v>
      </c>
      <c r="M2489" t="s">
        <v>95</v>
      </c>
      <c r="N2489" t="s">
        <v>96</v>
      </c>
      <c r="O2489" t="s">
        <v>97</v>
      </c>
    </row>
    <row r="2490" spans="1:15" x14ac:dyDescent="0.2">
      <c r="A2490">
        <v>260</v>
      </c>
      <c r="B2490">
        <v>261</v>
      </c>
      <c r="C2490">
        <v>260</v>
      </c>
      <c r="D2490">
        <v>259</v>
      </c>
      <c r="E2490" t="s">
        <v>57</v>
      </c>
      <c r="F2490" t="s">
        <v>58</v>
      </c>
      <c r="G2490">
        <v>3</v>
      </c>
      <c r="H2490" t="s">
        <v>100</v>
      </c>
      <c r="I2490">
        <v>0</v>
      </c>
      <c r="J2490">
        <v>1</v>
      </c>
      <c r="K2490" t="s">
        <v>101</v>
      </c>
      <c r="L2490" t="s">
        <v>102</v>
      </c>
      <c r="M2490" t="s">
        <v>103</v>
      </c>
      <c r="N2490" t="s">
        <v>96</v>
      </c>
      <c r="O2490" t="s">
        <v>97</v>
      </c>
    </row>
    <row r="2491" spans="1:15" x14ac:dyDescent="0.2">
      <c r="A2491">
        <v>260</v>
      </c>
      <c r="B2491">
        <v>261</v>
      </c>
      <c r="C2491">
        <v>260</v>
      </c>
      <c r="D2491">
        <v>259</v>
      </c>
      <c r="E2491" t="s">
        <v>57</v>
      </c>
      <c r="F2491" t="s">
        <v>58</v>
      </c>
      <c r="G2491">
        <v>4</v>
      </c>
      <c r="H2491" t="s">
        <v>104</v>
      </c>
      <c r="I2491">
        <v>0</v>
      </c>
      <c r="J2491">
        <v>1</v>
      </c>
      <c r="K2491" t="s">
        <v>101</v>
      </c>
      <c r="L2491" t="s">
        <v>105</v>
      </c>
      <c r="M2491" t="s">
        <v>106</v>
      </c>
      <c r="N2491" t="s">
        <v>107</v>
      </c>
      <c r="O2491" t="s">
        <v>97</v>
      </c>
    </row>
    <row r="2492" spans="1:15" x14ac:dyDescent="0.2">
      <c r="A2492">
        <v>260</v>
      </c>
      <c r="B2492">
        <v>261</v>
      </c>
      <c r="C2492">
        <v>260</v>
      </c>
      <c r="D2492">
        <v>259</v>
      </c>
      <c r="E2492" t="s">
        <v>57</v>
      </c>
      <c r="F2492" t="s">
        <v>58</v>
      </c>
      <c r="G2492">
        <v>5</v>
      </c>
      <c r="H2492" t="s">
        <v>108</v>
      </c>
      <c r="I2492">
        <v>0</v>
      </c>
      <c r="J2492">
        <v>1</v>
      </c>
      <c r="K2492" t="s">
        <v>101</v>
      </c>
      <c r="L2492" t="s">
        <v>109</v>
      </c>
      <c r="M2492" t="s">
        <v>110</v>
      </c>
      <c r="N2492" t="s">
        <v>107</v>
      </c>
      <c r="O2492" t="s">
        <v>97</v>
      </c>
    </row>
    <row r="2493" spans="1:15" x14ac:dyDescent="0.2">
      <c r="A2493">
        <v>260</v>
      </c>
      <c r="B2493">
        <v>261</v>
      </c>
      <c r="C2493">
        <v>260</v>
      </c>
      <c r="D2493">
        <v>259</v>
      </c>
      <c r="E2493" t="s">
        <v>57</v>
      </c>
      <c r="F2493" t="s">
        <v>58</v>
      </c>
      <c r="G2493">
        <v>9</v>
      </c>
      <c r="H2493" t="s">
        <v>111</v>
      </c>
      <c r="I2493">
        <v>0</v>
      </c>
      <c r="J2493">
        <v>0.5</v>
      </c>
      <c r="K2493" t="s">
        <v>112</v>
      </c>
      <c r="L2493" t="s">
        <v>113</v>
      </c>
      <c r="M2493" t="s">
        <v>114</v>
      </c>
      <c r="N2493" t="s">
        <v>96</v>
      </c>
      <c r="O2493" t="s">
        <v>97</v>
      </c>
    </row>
    <row r="2494" spans="1:15" x14ac:dyDescent="0.2">
      <c r="A2494">
        <v>260</v>
      </c>
      <c r="B2494">
        <v>261</v>
      </c>
      <c r="C2494">
        <v>260</v>
      </c>
      <c r="D2494">
        <v>259</v>
      </c>
      <c r="E2494" t="s">
        <v>57</v>
      </c>
      <c r="F2494" t="s">
        <v>58</v>
      </c>
      <c r="G2494">
        <v>10</v>
      </c>
      <c r="H2494" t="s">
        <v>115</v>
      </c>
      <c r="I2494">
        <v>0</v>
      </c>
      <c r="J2494">
        <v>0.5</v>
      </c>
      <c r="K2494" t="s">
        <v>112</v>
      </c>
      <c r="L2494" t="s">
        <v>116</v>
      </c>
      <c r="M2494" t="s">
        <v>117</v>
      </c>
      <c r="N2494" t="s">
        <v>96</v>
      </c>
      <c r="O2494" t="s">
        <v>97</v>
      </c>
    </row>
    <row r="2495" spans="1:15" x14ac:dyDescent="0.2">
      <c r="A2495">
        <v>260</v>
      </c>
      <c r="B2495">
        <v>261</v>
      </c>
      <c r="C2495">
        <v>260</v>
      </c>
      <c r="D2495">
        <v>259</v>
      </c>
      <c r="E2495" t="s">
        <v>57</v>
      </c>
      <c r="F2495" t="s">
        <v>58</v>
      </c>
      <c r="G2495">
        <v>11</v>
      </c>
      <c r="H2495" t="s">
        <v>118</v>
      </c>
      <c r="I2495">
        <v>0.5</v>
      </c>
      <c r="J2495">
        <v>1</v>
      </c>
      <c r="K2495" t="s">
        <v>112</v>
      </c>
      <c r="L2495" t="s">
        <v>119</v>
      </c>
      <c r="M2495" t="s">
        <v>120</v>
      </c>
      <c r="N2495" t="s">
        <v>107</v>
      </c>
      <c r="O2495" t="s">
        <v>97</v>
      </c>
    </row>
    <row r="2496" spans="1:15" x14ac:dyDescent="0.2">
      <c r="A2496">
        <v>260</v>
      </c>
      <c r="B2496">
        <v>261</v>
      </c>
      <c r="C2496">
        <v>260</v>
      </c>
      <c r="D2496">
        <v>259</v>
      </c>
      <c r="E2496" t="s">
        <v>57</v>
      </c>
      <c r="F2496" t="s">
        <v>58</v>
      </c>
      <c r="G2496">
        <v>12</v>
      </c>
      <c r="H2496" t="s">
        <v>121</v>
      </c>
      <c r="I2496">
        <v>0</v>
      </c>
      <c r="J2496">
        <v>0.5</v>
      </c>
      <c r="K2496" t="s">
        <v>122</v>
      </c>
      <c r="L2496" t="s">
        <v>113</v>
      </c>
      <c r="M2496" t="s">
        <v>123</v>
      </c>
      <c r="N2496" t="s">
        <v>96</v>
      </c>
      <c r="O2496" t="s">
        <v>97</v>
      </c>
    </row>
    <row r="2497" spans="1:15" x14ac:dyDescent="0.2">
      <c r="A2497">
        <v>260</v>
      </c>
      <c r="B2497">
        <v>261</v>
      </c>
      <c r="C2497">
        <v>260</v>
      </c>
      <c r="D2497">
        <v>259</v>
      </c>
      <c r="E2497" t="s">
        <v>57</v>
      </c>
      <c r="F2497" t="s">
        <v>58</v>
      </c>
      <c r="G2497">
        <v>13</v>
      </c>
      <c r="H2497" t="s">
        <v>124</v>
      </c>
      <c r="I2497">
        <v>0</v>
      </c>
      <c r="J2497">
        <v>0.5</v>
      </c>
      <c r="K2497" t="s">
        <v>122</v>
      </c>
      <c r="L2497" t="s">
        <v>125</v>
      </c>
      <c r="M2497" t="s">
        <v>126</v>
      </c>
      <c r="N2497" t="s">
        <v>96</v>
      </c>
      <c r="O2497" t="s">
        <v>97</v>
      </c>
    </row>
    <row r="2498" spans="1:15" x14ac:dyDescent="0.2">
      <c r="A2498">
        <v>260</v>
      </c>
      <c r="B2498">
        <v>261</v>
      </c>
      <c r="C2498">
        <v>260</v>
      </c>
      <c r="D2498">
        <v>259</v>
      </c>
      <c r="E2498" t="s">
        <v>57</v>
      </c>
      <c r="F2498" t="s">
        <v>58</v>
      </c>
      <c r="G2498">
        <v>14</v>
      </c>
      <c r="H2498" t="s">
        <v>127</v>
      </c>
      <c r="I2498">
        <v>0.5</v>
      </c>
      <c r="J2498">
        <v>1</v>
      </c>
      <c r="K2498" t="s">
        <v>122</v>
      </c>
      <c r="L2498" t="s">
        <v>119</v>
      </c>
      <c r="M2498" t="s">
        <v>128</v>
      </c>
      <c r="N2498" t="s">
        <v>107</v>
      </c>
      <c r="O2498" t="s">
        <v>97</v>
      </c>
    </row>
    <row r="2499" spans="1:15" x14ac:dyDescent="0.2">
      <c r="A2499">
        <v>260</v>
      </c>
      <c r="B2499">
        <v>261</v>
      </c>
      <c r="C2499">
        <v>260</v>
      </c>
      <c r="D2499">
        <v>259</v>
      </c>
      <c r="E2499" t="s">
        <v>57</v>
      </c>
      <c r="F2499" t="s">
        <v>58</v>
      </c>
      <c r="G2499">
        <v>15</v>
      </c>
      <c r="H2499" t="s">
        <v>129</v>
      </c>
      <c r="I2499">
        <v>0</v>
      </c>
      <c r="J2499">
        <v>1</v>
      </c>
      <c r="K2499" t="s">
        <v>130</v>
      </c>
      <c r="L2499" t="s">
        <v>131</v>
      </c>
      <c r="M2499" t="s">
        <v>132</v>
      </c>
      <c r="N2499" t="s">
        <v>107</v>
      </c>
      <c r="O2499" t="s">
        <v>97</v>
      </c>
    </row>
    <row r="2500" spans="1:15" x14ac:dyDescent="0.2">
      <c r="A2500">
        <v>260</v>
      </c>
      <c r="B2500">
        <v>261</v>
      </c>
      <c r="C2500">
        <v>260</v>
      </c>
      <c r="D2500">
        <v>259</v>
      </c>
      <c r="E2500" t="s">
        <v>57</v>
      </c>
      <c r="F2500" t="s">
        <v>58</v>
      </c>
      <c r="G2500">
        <v>16</v>
      </c>
      <c r="H2500" t="s">
        <v>133</v>
      </c>
      <c r="I2500">
        <v>0</v>
      </c>
      <c r="J2500">
        <v>0</v>
      </c>
      <c r="K2500" t="e">
        <v>#N/A</v>
      </c>
      <c r="L2500" t="e">
        <v>#N/A</v>
      </c>
      <c r="M2500" t="e">
        <v>#N/A</v>
      </c>
      <c r="N2500" t="e">
        <v>#N/A</v>
      </c>
      <c r="O2500" t="s">
        <v>97</v>
      </c>
    </row>
    <row r="2501" spans="1:15" x14ac:dyDescent="0.2">
      <c r="A2501">
        <v>260</v>
      </c>
      <c r="B2501">
        <v>261</v>
      </c>
      <c r="C2501">
        <v>260</v>
      </c>
      <c r="D2501">
        <v>259</v>
      </c>
      <c r="E2501" t="s">
        <v>57</v>
      </c>
      <c r="F2501" t="s">
        <v>58</v>
      </c>
      <c r="G2501">
        <v>17</v>
      </c>
      <c r="H2501" t="s">
        <v>134</v>
      </c>
      <c r="I2501">
        <v>1</v>
      </c>
      <c r="J2501">
        <v>1</v>
      </c>
      <c r="K2501" t="s">
        <v>112</v>
      </c>
      <c r="L2501" t="s">
        <v>135</v>
      </c>
      <c r="M2501" t="s">
        <v>136</v>
      </c>
      <c r="N2501" t="s">
        <v>107</v>
      </c>
      <c r="O2501" t="s">
        <v>97</v>
      </c>
    </row>
    <row r="2502" spans="1:15" x14ac:dyDescent="0.2">
      <c r="A2502">
        <v>260</v>
      </c>
      <c r="B2502">
        <v>261</v>
      </c>
      <c r="C2502">
        <v>260</v>
      </c>
      <c r="D2502">
        <v>259</v>
      </c>
      <c r="E2502" t="s">
        <v>57</v>
      </c>
      <c r="F2502" t="s">
        <v>58</v>
      </c>
      <c r="G2502">
        <v>18</v>
      </c>
      <c r="H2502" t="s">
        <v>137</v>
      </c>
      <c r="I2502">
        <v>1</v>
      </c>
      <c r="J2502">
        <v>1</v>
      </c>
      <c r="K2502" t="s">
        <v>112</v>
      </c>
      <c r="L2502" t="s">
        <v>138</v>
      </c>
      <c r="M2502" t="s">
        <v>139</v>
      </c>
      <c r="N2502" t="s">
        <v>107</v>
      </c>
      <c r="O2502" t="s">
        <v>97</v>
      </c>
    </row>
    <row r="2503" spans="1:15" x14ac:dyDescent="0.2">
      <c r="A2503">
        <v>260</v>
      </c>
      <c r="B2503">
        <v>261</v>
      </c>
      <c r="C2503">
        <v>260</v>
      </c>
      <c r="D2503">
        <v>259</v>
      </c>
      <c r="E2503" t="s">
        <v>57</v>
      </c>
      <c r="F2503" t="s">
        <v>58</v>
      </c>
      <c r="G2503">
        <v>19</v>
      </c>
      <c r="H2503" t="s">
        <v>140</v>
      </c>
      <c r="I2503">
        <v>1</v>
      </c>
      <c r="J2503">
        <v>1</v>
      </c>
      <c r="K2503" t="s">
        <v>122</v>
      </c>
      <c r="L2503" t="s">
        <v>141</v>
      </c>
      <c r="M2503" t="s">
        <v>142</v>
      </c>
      <c r="N2503" t="s">
        <v>107</v>
      </c>
      <c r="O2503" t="s">
        <v>97</v>
      </c>
    </row>
    <row r="2504" spans="1:15" x14ac:dyDescent="0.2">
      <c r="A2504">
        <v>260</v>
      </c>
      <c r="B2504">
        <v>261</v>
      </c>
      <c r="C2504">
        <v>260</v>
      </c>
      <c r="D2504">
        <v>259</v>
      </c>
      <c r="E2504" t="s">
        <v>57</v>
      </c>
      <c r="F2504" t="s">
        <v>58</v>
      </c>
      <c r="G2504">
        <v>20</v>
      </c>
      <c r="H2504" t="s">
        <v>143</v>
      </c>
      <c r="I2504">
        <v>1</v>
      </c>
      <c r="J2504">
        <v>1</v>
      </c>
      <c r="K2504" t="s">
        <v>122</v>
      </c>
      <c r="L2504" t="s">
        <v>144</v>
      </c>
      <c r="M2504" t="s">
        <v>145</v>
      </c>
      <c r="N2504" t="s">
        <v>107</v>
      </c>
      <c r="O2504" t="s">
        <v>97</v>
      </c>
    </row>
    <row r="2505" spans="1:15" x14ac:dyDescent="0.2">
      <c r="A2505">
        <v>260</v>
      </c>
      <c r="B2505">
        <v>261</v>
      </c>
      <c r="C2505">
        <v>260</v>
      </c>
      <c r="D2505">
        <v>259</v>
      </c>
      <c r="E2505" t="s">
        <v>57</v>
      </c>
      <c r="F2505" t="s">
        <v>58</v>
      </c>
      <c r="G2505">
        <v>21</v>
      </c>
      <c r="H2505" t="s">
        <v>146</v>
      </c>
      <c r="I2505">
        <v>1</v>
      </c>
      <c r="J2505">
        <v>1</v>
      </c>
      <c r="K2505" t="s">
        <v>147</v>
      </c>
      <c r="L2505" t="s">
        <v>148</v>
      </c>
      <c r="M2505" t="s">
        <v>149</v>
      </c>
      <c r="N2505" t="s">
        <v>96</v>
      </c>
      <c r="O2505" t="s">
        <v>97</v>
      </c>
    </row>
    <row r="2506" spans="1:15" x14ac:dyDescent="0.2">
      <c r="A2506">
        <v>260</v>
      </c>
      <c r="B2506">
        <v>261</v>
      </c>
      <c r="C2506">
        <v>260</v>
      </c>
      <c r="D2506">
        <v>259</v>
      </c>
      <c r="E2506" t="s">
        <v>57</v>
      </c>
      <c r="F2506" t="s">
        <v>58</v>
      </c>
      <c r="G2506">
        <v>22</v>
      </c>
      <c r="H2506" t="s">
        <v>150</v>
      </c>
      <c r="I2506">
        <v>0</v>
      </c>
      <c r="J2506">
        <v>1</v>
      </c>
      <c r="K2506" t="s">
        <v>147</v>
      </c>
      <c r="L2506" t="s">
        <v>151</v>
      </c>
      <c r="M2506" t="s">
        <v>149</v>
      </c>
      <c r="N2506" t="s">
        <v>107</v>
      </c>
      <c r="O2506" t="s">
        <v>97</v>
      </c>
    </row>
    <row r="2507" spans="1:15" x14ac:dyDescent="0.2">
      <c r="A2507">
        <v>260</v>
      </c>
      <c r="B2507">
        <v>261</v>
      </c>
      <c r="C2507">
        <v>260</v>
      </c>
      <c r="D2507">
        <v>259</v>
      </c>
      <c r="E2507" t="s">
        <v>57</v>
      </c>
      <c r="F2507" t="s">
        <v>58</v>
      </c>
      <c r="G2507">
        <v>23</v>
      </c>
      <c r="H2507" t="s">
        <v>152</v>
      </c>
      <c r="I2507">
        <v>0</v>
      </c>
      <c r="J2507">
        <v>0</v>
      </c>
      <c r="K2507" t="s">
        <v>153</v>
      </c>
      <c r="L2507" t="s">
        <v>154</v>
      </c>
      <c r="M2507" t="s">
        <v>155</v>
      </c>
      <c r="N2507" t="s">
        <v>107</v>
      </c>
      <c r="O2507" t="s">
        <v>97</v>
      </c>
    </row>
    <row r="2508" spans="1:15" x14ac:dyDescent="0.2">
      <c r="A2508">
        <v>260</v>
      </c>
      <c r="B2508">
        <v>261</v>
      </c>
      <c r="C2508">
        <v>260</v>
      </c>
      <c r="D2508">
        <v>259</v>
      </c>
      <c r="E2508" t="s">
        <v>57</v>
      </c>
      <c r="F2508" t="s">
        <v>58</v>
      </c>
      <c r="G2508">
        <v>24</v>
      </c>
      <c r="H2508" t="s">
        <v>156</v>
      </c>
      <c r="I2508">
        <v>0</v>
      </c>
      <c r="J2508">
        <v>0.5</v>
      </c>
      <c r="K2508" t="s">
        <v>122</v>
      </c>
      <c r="L2508" t="s">
        <v>157</v>
      </c>
      <c r="M2508" t="s">
        <v>158</v>
      </c>
      <c r="N2508" t="s">
        <v>107</v>
      </c>
      <c r="O2508" t="s">
        <v>97</v>
      </c>
    </row>
    <row r="2509" spans="1:15" x14ac:dyDescent="0.2">
      <c r="A2509">
        <v>260</v>
      </c>
      <c r="B2509">
        <v>261</v>
      </c>
      <c r="C2509">
        <v>260</v>
      </c>
      <c r="D2509">
        <v>259</v>
      </c>
      <c r="E2509" t="s">
        <v>57</v>
      </c>
      <c r="F2509" t="s">
        <v>58</v>
      </c>
      <c r="G2509">
        <v>25</v>
      </c>
      <c r="H2509" t="s">
        <v>156</v>
      </c>
      <c r="I2509">
        <v>0</v>
      </c>
      <c r="J2509">
        <v>0.5</v>
      </c>
      <c r="K2509" t="s">
        <v>122</v>
      </c>
      <c r="L2509" t="s">
        <v>157</v>
      </c>
      <c r="M2509" t="s">
        <v>158</v>
      </c>
      <c r="N2509" t="s">
        <v>107</v>
      </c>
      <c r="O2509" t="s">
        <v>97</v>
      </c>
    </row>
    <row r="2510" spans="1:15" x14ac:dyDescent="0.2">
      <c r="A2510">
        <v>260</v>
      </c>
      <c r="B2510">
        <v>261</v>
      </c>
      <c r="C2510">
        <v>260</v>
      </c>
      <c r="D2510">
        <v>259</v>
      </c>
      <c r="E2510" t="s">
        <v>57</v>
      </c>
      <c r="F2510" t="s">
        <v>58</v>
      </c>
      <c r="G2510">
        <v>26</v>
      </c>
      <c r="H2510" t="s">
        <v>152</v>
      </c>
      <c r="I2510">
        <v>0</v>
      </c>
      <c r="J2510">
        <v>0</v>
      </c>
      <c r="K2510" t="s">
        <v>153</v>
      </c>
      <c r="L2510" t="s">
        <v>154</v>
      </c>
      <c r="M2510" t="s">
        <v>155</v>
      </c>
      <c r="N2510" t="s">
        <v>107</v>
      </c>
      <c r="O2510" t="s">
        <v>97</v>
      </c>
    </row>
    <row r="2511" spans="1:15" x14ac:dyDescent="0.2">
      <c r="A2511">
        <v>260</v>
      </c>
      <c r="B2511">
        <v>261</v>
      </c>
      <c r="C2511">
        <v>260</v>
      </c>
      <c r="D2511">
        <v>259</v>
      </c>
      <c r="E2511" t="s">
        <v>57</v>
      </c>
      <c r="F2511" t="s">
        <v>58</v>
      </c>
      <c r="G2511">
        <v>27</v>
      </c>
      <c r="H2511" t="s">
        <v>159</v>
      </c>
      <c r="I2511">
        <v>0</v>
      </c>
      <c r="J2511">
        <v>0.5</v>
      </c>
      <c r="K2511" t="s">
        <v>122</v>
      </c>
      <c r="L2511" t="s">
        <v>160</v>
      </c>
      <c r="M2511" t="s">
        <v>161</v>
      </c>
      <c r="N2511" t="s">
        <v>107</v>
      </c>
      <c r="O2511" t="s">
        <v>97</v>
      </c>
    </row>
    <row r="2512" spans="1:15" x14ac:dyDescent="0.2">
      <c r="A2512">
        <v>260</v>
      </c>
      <c r="B2512">
        <v>261</v>
      </c>
      <c r="C2512">
        <v>260</v>
      </c>
      <c r="D2512">
        <v>259</v>
      </c>
      <c r="E2512" t="s">
        <v>57</v>
      </c>
      <c r="F2512" t="s">
        <v>58</v>
      </c>
      <c r="G2512">
        <v>28</v>
      </c>
      <c r="H2512" t="s">
        <v>159</v>
      </c>
      <c r="I2512">
        <v>0</v>
      </c>
      <c r="J2512">
        <v>0.5</v>
      </c>
      <c r="K2512" t="s">
        <v>122</v>
      </c>
      <c r="L2512" t="s">
        <v>160</v>
      </c>
      <c r="M2512" t="s">
        <v>161</v>
      </c>
      <c r="N2512" t="s">
        <v>107</v>
      </c>
      <c r="O2512" t="s">
        <v>97</v>
      </c>
    </row>
    <row r="2513" spans="1:15" x14ac:dyDescent="0.2">
      <c r="A2513">
        <v>260</v>
      </c>
      <c r="B2513">
        <v>261</v>
      </c>
      <c r="C2513">
        <v>260</v>
      </c>
      <c r="D2513">
        <v>259</v>
      </c>
      <c r="E2513" t="s">
        <v>57</v>
      </c>
      <c r="F2513" t="s">
        <v>58</v>
      </c>
      <c r="G2513">
        <v>29</v>
      </c>
      <c r="H2513" t="s">
        <v>152</v>
      </c>
      <c r="I2513">
        <v>0</v>
      </c>
      <c r="J2513">
        <v>0</v>
      </c>
      <c r="K2513" t="s">
        <v>153</v>
      </c>
      <c r="L2513" t="s">
        <v>154</v>
      </c>
      <c r="M2513" t="s">
        <v>155</v>
      </c>
      <c r="N2513" t="s">
        <v>107</v>
      </c>
      <c r="O2513" t="s">
        <v>97</v>
      </c>
    </row>
    <row r="2514" spans="1:15" x14ac:dyDescent="0.2">
      <c r="A2514">
        <v>260</v>
      </c>
      <c r="B2514">
        <v>261</v>
      </c>
      <c r="C2514">
        <v>260</v>
      </c>
      <c r="D2514">
        <v>259</v>
      </c>
      <c r="E2514" t="s">
        <v>57</v>
      </c>
      <c r="F2514" t="s">
        <v>58</v>
      </c>
      <c r="G2514">
        <v>30</v>
      </c>
      <c r="H2514" t="s">
        <v>162</v>
      </c>
      <c r="I2514">
        <v>0</v>
      </c>
      <c r="J2514">
        <v>1</v>
      </c>
      <c r="K2514" t="s">
        <v>112</v>
      </c>
      <c r="L2514" t="s">
        <v>163</v>
      </c>
      <c r="M2514" t="s">
        <v>164</v>
      </c>
      <c r="N2514" t="s">
        <v>107</v>
      </c>
      <c r="O2514" t="s">
        <v>97</v>
      </c>
    </row>
    <row r="2515" spans="1:15" x14ac:dyDescent="0.2">
      <c r="A2515">
        <v>260</v>
      </c>
      <c r="B2515">
        <v>261</v>
      </c>
      <c r="C2515">
        <v>260</v>
      </c>
      <c r="D2515">
        <v>259</v>
      </c>
      <c r="E2515" t="s">
        <v>57</v>
      </c>
      <c r="F2515" t="s">
        <v>58</v>
      </c>
      <c r="G2515">
        <v>31</v>
      </c>
      <c r="H2515" t="s">
        <v>162</v>
      </c>
      <c r="I2515">
        <v>0</v>
      </c>
      <c r="J2515">
        <v>0</v>
      </c>
      <c r="K2515" t="s">
        <v>112</v>
      </c>
      <c r="L2515" t="s">
        <v>163</v>
      </c>
      <c r="M2515" t="s">
        <v>164</v>
      </c>
      <c r="N2515" t="s">
        <v>107</v>
      </c>
      <c r="O2515" t="s">
        <v>97</v>
      </c>
    </row>
    <row r="2516" spans="1:15" x14ac:dyDescent="0.2">
      <c r="A2516">
        <v>260</v>
      </c>
      <c r="B2516">
        <v>261</v>
      </c>
      <c r="C2516">
        <v>260</v>
      </c>
      <c r="D2516">
        <v>259</v>
      </c>
      <c r="E2516" t="s">
        <v>57</v>
      </c>
      <c r="F2516" t="s">
        <v>58</v>
      </c>
      <c r="G2516">
        <v>32</v>
      </c>
      <c r="H2516" t="s">
        <v>162</v>
      </c>
      <c r="I2516">
        <v>0</v>
      </c>
      <c r="J2516">
        <v>0</v>
      </c>
      <c r="K2516" t="s">
        <v>112</v>
      </c>
      <c r="L2516" t="s">
        <v>163</v>
      </c>
      <c r="M2516" t="s">
        <v>164</v>
      </c>
      <c r="N2516" t="s">
        <v>107</v>
      </c>
      <c r="O2516" t="s">
        <v>97</v>
      </c>
    </row>
    <row r="2517" spans="1:15" x14ac:dyDescent="0.2">
      <c r="A2517">
        <v>260</v>
      </c>
      <c r="B2517">
        <v>261</v>
      </c>
      <c r="C2517">
        <v>260</v>
      </c>
      <c r="D2517">
        <v>259</v>
      </c>
      <c r="E2517" t="s">
        <v>57</v>
      </c>
      <c r="F2517" t="s">
        <v>58</v>
      </c>
      <c r="G2517">
        <v>33</v>
      </c>
      <c r="H2517" t="s">
        <v>152</v>
      </c>
      <c r="I2517">
        <v>0</v>
      </c>
      <c r="J2517">
        <v>1</v>
      </c>
      <c r="K2517" t="s">
        <v>153</v>
      </c>
      <c r="L2517" t="s">
        <v>154</v>
      </c>
      <c r="M2517" t="s">
        <v>155</v>
      </c>
      <c r="N2517" t="s">
        <v>107</v>
      </c>
      <c r="O2517" t="s">
        <v>97</v>
      </c>
    </row>
    <row r="2518" spans="1:15" x14ac:dyDescent="0.2">
      <c r="A2518">
        <v>260</v>
      </c>
      <c r="B2518">
        <v>261</v>
      </c>
      <c r="C2518">
        <v>260</v>
      </c>
      <c r="D2518">
        <v>259</v>
      </c>
      <c r="E2518" t="s">
        <v>57</v>
      </c>
      <c r="F2518" t="s">
        <v>58</v>
      </c>
      <c r="G2518">
        <v>34</v>
      </c>
      <c r="H2518" t="s">
        <v>152</v>
      </c>
      <c r="I2518">
        <v>0</v>
      </c>
      <c r="J2518">
        <v>0</v>
      </c>
      <c r="K2518" t="s">
        <v>153</v>
      </c>
      <c r="L2518" t="s">
        <v>154</v>
      </c>
      <c r="M2518" t="s">
        <v>155</v>
      </c>
      <c r="N2518" t="s">
        <v>107</v>
      </c>
      <c r="O2518" t="s">
        <v>97</v>
      </c>
    </row>
    <row r="2519" spans="1:15" x14ac:dyDescent="0.2">
      <c r="A2519">
        <v>260</v>
      </c>
      <c r="B2519">
        <v>261</v>
      </c>
      <c r="C2519">
        <v>260</v>
      </c>
      <c r="D2519">
        <v>259</v>
      </c>
      <c r="E2519" t="s">
        <v>57</v>
      </c>
      <c r="F2519" t="s">
        <v>58</v>
      </c>
      <c r="G2519">
        <v>35</v>
      </c>
      <c r="H2519" t="s">
        <v>165</v>
      </c>
      <c r="I2519">
        <v>0</v>
      </c>
      <c r="J2519">
        <v>1</v>
      </c>
      <c r="K2519" t="s">
        <v>166</v>
      </c>
      <c r="L2519" t="s">
        <v>167</v>
      </c>
      <c r="M2519" t="s">
        <v>168</v>
      </c>
      <c r="N2519" t="s">
        <v>107</v>
      </c>
      <c r="O2519" t="s">
        <v>97</v>
      </c>
    </row>
    <row r="2520" spans="1:15" x14ac:dyDescent="0.2">
      <c r="A2520">
        <v>260</v>
      </c>
      <c r="B2520">
        <v>261</v>
      </c>
      <c r="C2520">
        <v>260</v>
      </c>
      <c r="D2520">
        <v>259</v>
      </c>
      <c r="E2520" t="s">
        <v>57</v>
      </c>
      <c r="F2520" t="s">
        <v>58</v>
      </c>
      <c r="G2520">
        <v>36</v>
      </c>
      <c r="H2520" t="s">
        <v>169</v>
      </c>
      <c r="I2520">
        <v>0</v>
      </c>
      <c r="J2520">
        <v>0</v>
      </c>
      <c r="K2520" t="e">
        <v>#N/A</v>
      </c>
      <c r="L2520" t="e">
        <v>#N/A</v>
      </c>
      <c r="M2520" t="e">
        <v>#N/A</v>
      </c>
      <c r="N2520" t="e">
        <v>#N/A</v>
      </c>
      <c r="O2520" t="s">
        <v>97</v>
      </c>
    </row>
    <row r="2521" spans="1:15" x14ac:dyDescent="0.2">
      <c r="A2521">
        <v>260</v>
      </c>
      <c r="B2521">
        <v>261</v>
      </c>
      <c r="C2521">
        <v>260</v>
      </c>
      <c r="D2521">
        <v>259</v>
      </c>
      <c r="E2521" t="s">
        <v>57</v>
      </c>
      <c r="F2521" t="s">
        <v>58</v>
      </c>
      <c r="G2521">
        <v>38</v>
      </c>
      <c r="H2521" t="s">
        <v>170</v>
      </c>
      <c r="I2521">
        <v>0</v>
      </c>
      <c r="J2521">
        <v>0</v>
      </c>
      <c r="K2521" t="s">
        <v>112</v>
      </c>
      <c r="L2521" t="s">
        <v>171</v>
      </c>
      <c r="M2521" t="s">
        <v>172</v>
      </c>
      <c r="N2521" t="s">
        <v>96</v>
      </c>
      <c r="O2521" t="s">
        <v>97</v>
      </c>
    </row>
    <row r="2522" spans="1:15" x14ac:dyDescent="0.2">
      <c r="A2522">
        <v>260</v>
      </c>
      <c r="B2522">
        <v>261</v>
      </c>
      <c r="C2522">
        <v>260</v>
      </c>
      <c r="D2522">
        <v>259</v>
      </c>
      <c r="E2522" t="s">
        <v>57</v>
      </c>
      <c r="F2522" t="s">
        <v>58</v>
      </c>
      <c r="G2522">
        <v>39</v>
      </c>
      <c r="H2522" t="s">
        <v>170</v>
      </c>
      <c r="I2522">
        <v>0</v>
      </c>
      <c r="J2522">
        <v>0</v>
      </c>
      <c r="K2522" t="s">
        <v>112</v>
      </c>
      <c r="L2522" t="s">
        <v>171</v>
      </c>
      <c r="M2522" t="s">
        <v>172</v>
      </c>
      <c r="N2522" t="s">
        <v>96</v>
      </c>
      <c r="O2522" t="s">
        <v>97</v>
      </c>
    </row>
    <row r="2523" spans="1:15" x14ac:dyDescent="0.2">
      <c r="A2523">
        <v>260</v>
      </c>
      <c r="B2523">
        <v>261</v>
      </c>
      <c r="C2523">
        <v>260</v>
      </c>
      <c r="D2523">
        <v>259</v>
      </c>
      <c r="E2523" t="s">
        <v>57</v>
      </c>
      <c r="F2523" t="s">
        <v>58</v>
      </c>
      <c r="G2523">
        <v>40</v>
      </c>
      <c r="H2523" t="s">
        <v>170</v>
      </c>
      <c r="I2523">
        <v>0</v>
      </c>
      <c r="J2523">
        <v>0</v>
      </c>
      <c r="K2523" t="s">
        <v>112</v>
      </c>
      <c r="L2523" t="s">
        <v>171</v>
      </c>
      <c r="M2523" t="s">
        <v>172</v>
      </c>
      <c r="N2523" t="s">
        <v>96</v>
      </c>
      <c r="O2523" t="s">
        <v>97</v>
      </c>
    </row>
    <row r="2524" spans="1:15" x14ac:dyDescent="0.2">
      <c r="A2524">
        <v>260</v>
      </c>
      <c r="B2524">
        <v>261</v>
      </c>
      <c r="C2524">
        <v>260</v>
      </c>
      <c r="D2524">
        <v>259</v>
      </c>
      <c r="E2524" t="s">
        <v>57</v>
      </c>
      <c r="F2524" t="s">
        <v>58</v>
      </c>
      <c r="G2524">
        <v>41</v>
      </c>
      <c r="H2524" t="s">
        <v>173</v>
      </c>
      <c r="I2524">
        <v>0</v>
      </c>
      <c r="J2524">
        <v>0</v>
      </c>
      <c r="K2524" t="s">
        <v>166</v>
      </c>
      <c r="L2524" t="s">
        <v>174</v>
      </c>
      <c r="M2524" t="s">
        <v>175</v>
      </c>
      <c r="N2524" t="s">
        <v>107</v>
      </c>
      <c r="O2524" t="s">
        <v>97</v>
      </c>
    </row>
    <row r="2525" spans="1:15" x14ac:dyDescent="0.2">
      <c r="A2525">
        <v>260</v>
      </c>
      <c r="B2525">
        <v>261</v>
      </c>
      <c r="C2525">
        <v>260</v>
      </c>
      <c r="D2525">
        <v>259</v>
      </c>
      <c r="E2525" t="s">
        <v>57</v>
      </c>
      <c r="F2525" t="s">
        <v>58</v>
      </c>
      <c r="G2525">
        <v>42</v>
      </c>
      <c r="H2525" t="s">
        <v>176</v>
      </c>
      <c r="I2525">
        <v>0</v>
      </c>
      <c r="J2525" t="s">
        <v>198</v>
      </c>
      <c r="K2525" t="s">
        <v>153</v>
      </c>
      <c r="L2525" t="s">
        <v>177</v>
      </c>
      <c r="M2525" t="s">
        <v>178</v>
      </c>
      <c r="N2525" t="s">
        <v>107</v>
      </c>
      <c r="O2525" t="s">
        <v>97</v>
      </c>
    </row>
    <row r="2526" spans="1:15" x14ac:dyDescent="0.2">
      <c r="A2526">
        <v>260</v>
      </c>
      <c r="B2526">
        <v>261</v>
      </c>
      <c r="C2526">
        <v>260</v>
      </c>
      <c r="D2526">
        <v>259</v>
      </c>
      <c r="E2526" t="s">
        <v>57</v>
      </c>
      <c r="F2526" t="s">
        <v>58</v>
      </c>
      <c r="G2526">
        <v>43</v>
      </c>
      <c r="H2526" t="s">
        <v>179</v>
      </c>
      <c r="I2526">
        <v>0</v>
      </c>
      <c r="J2526">
        <v>0</v>
      </c>
      <c r="K2526" t="s">
        <v>166</v>
      </c>
      <c r="L2526" t="s">
        <v>180</v>
      </c>
      <c r="M2526" t="s">
        <v>181</v>
      </c>
      <c r="N2526" t="s">
        <v>107</v>
      </c>
      <c r="O2526" t="s">
        <v>97</v>
      </c>
    </row>
    <row r="2527" spans="1:15" x14ac:dyDescent="0.2">
      <c r="A2527">
        <v>260</v>
      </c>
      <c r="B2527">
        <v>261</v>
      </c>
      <c r="C2527">
        <v>260</v>
      </c>
      <c r="D2527">
        <v>259</v>
      </c>
      <c r="E2527" t="s">
        <v>57</v>
      </c>
      <c r="F2527" t="s">
        <v>58</v>
      </c>
      <c r="G2527">
        <v>44</v>
      </c>
      <c r="H2527" t="s">
        <v>182</v>
      </c>
      <c r="I2527">
        <v>0</v>
      </c>
      <c r="J2527">
        <v>1</v>
      </c>
      <c r="K2527" t="s">
        <v>166</v>
      </c>
      <c r="L2527" t="s">
        <v>183</v>
      </c>
      <c r="M2527" t="s">
        <v>184</v>
      </c>
      <c r="N2527" t="s">
        <v>107</v>
      </c>
      <c r="O2527" t="s">
        <v>97</v>
      </c>
    </row>
    <row r="2528" spans="1:15" x14ac:dyDescent="0.2">
      <c r="A2528">
        <v>260</v>
      </c>
      <c r="B2528">
        <v>261</v>
      </c>
      <c r="C2528">
        <v>260</v>
      </c>
      <c r="D2528">
        <v>259</v>
      </c>
      <c r="E2528" t="s">
        <v>57</v>
      </c>
      <c r="F2528" t="s">
        <v>58</v>
      </c>
      <c r="G2528">
        <v>45</v>
      </c>
      <c r="H2528" t="s">
        <v>185</v>
      </c>
      <c r="I2528">
        <v>0</v>
      </c>
      <c r="J2528">
        <v>1</v>
      </c>
      <c r="K2528" t="s">
        <v>166</v>
      </c>
      <c r="L2528" t="s">
        <v>186</v>
      </c>
      <c r="M2528" t="s">
        <v>139</v>
      </c>
      <c r="N2528" t="s">
        <v>107</v>
      </c>
      <c r="O2528" t="s">
        <v>97</v>
      </c>
    </row>
    <row r="2529" spans="1:15" x14ac:dyDescent="0.2">
      <c r="A2529">
        <v>260</v>
      </c>
      <c r="B2529">
        <v>261</v>
      </c>
      <c r="C2529">
        <v>260</v>
      </c>
      <c r="D2529">
        <v>259</v>
      </c>
      <c r="E2529" t="s">
        <v>57</v>
      </c>
      <c r="F2529" t="s">
        <v>58</v>
      </c>
      <c r="G2529">
        <v>47</v>
      </c>
      <c r="H2529" t="s">
        <v>187</v>
      </c>
      <c r="I2529">
        <v>0.2</v>
      </c>
      <c r="J2529">
        <v>0.2</v>
      </c>
      <c r="K2529" t="s">
        <v>93</v>
      </c>
      <c r="L2529" t="s">
        <v>188</v>
      </c>
      <c r="M2529" t="s">
        <v>95</v>
      </c>
      <c r="N2529" t="s">
        <v>96</v>
      </c>
      <c r="O2529" t="s">
        <v>97</v>
      </c>
    </row>
    <row r="2530" spans="1:15" x14ac:dyDescent="0.2">
      <c r="A2530">
        <v>260</v>
      </c>
      <c r="B2530">
        <v>261</v>
      </c>
      <c r="C2530">
        <v>260</v>
      </c>
      <c r="D2530">
        <v>259</v>
      </c>
      <c r="E2530" t="s">
        <v>57</v>
      </c>
      <c r="F2530" t="s">
        <v>58</v>
      </c>
      <c r="G2530">
        <v>48</v>
      </c>
      <c r="H2530" t="s">
        <v>189</v>
      </c>
      <c r="I2530">
        <v>0.2</v>
      </c>
      <c r="J2530">
        <v>0.2</v>
      </c>
      <c r="K2530" t="s">
        <v>93</v>
      </c>
      <c r="L2530" t="s">
        <v>190</v>
      </c>
      <c r="M2530" t="s">
        <v>95</v>
      </c>
      <c r="N2530" t="s">
        <v>96</v>
      </c>
      <c r="O2530" t="s">
        <v>97</v>
      </c>
    </row>
    <row r="2531" spans="1:15" x14ac:dyDescent="0.2">
      <c r="A2531">
        <v>260</v>
      </c>
      <c r="B2531">
        <v>261</v>
      </c>
      <c r="C2531">
        <v>260</v>
      </c>
      <c r="D2531">
        <v>259</v>
      </c>
      <c r="E2531" t="s">
        <v>57</v>
      </c>
      <c r="F2531" t="s">
        <v>58</v>
      </c>
      <c r="G2531">
        <v>49</v>
      </c>
      <c r="H2531" t="s">
        <v>191</v>
      </c>
      <c r="I2531">
        <v>0.2</v>
      </c>
      <c r="J2531">
        <v>0.2</v>
      </c>
      <c r="K2531" t="s">
        <v>93</v>
      </c>
      <c r="L2531" t="s">
        <v>192</v>
      </c>
      <c r="M2531" t="s">
        <v>95</v>
      </c>
      <c r="N2531" t="s">
        <v>96</v>
      </c>
      <c r="O2531" t="s">
        <v>97</v>
      </c>
    </row>
    <row r="2532" spans="1:15" x14ac:dyDescent="0.2">
      <c r="A2532">
        <v>260</v>
      </c>
      <c r="B2532">
        <v>261</v>
      </c>
      <c r="C2532">
        <v>260</v>
      </c>
      <c r="D2532">
        <v>259</v>
      </c>
      <c r="E2532" t="s">
        <v>57</v>
      </c>
      <c r="F2532" t="s">
        <v>58</v>
      </c>
      <c r="G2532">
        <v>50</v>
      </c>
      <c r="H2532" t="s">
        <v>193</v>
      </c>
      <c r="I2532">
        <v>0.1</v>
      </c>
      <c r="J2532">
        <v>0.1</v>
      </c>
      <c r="K2532" t="s">
        <v>93</v>
      </c>
      <c r="L2532" t="s">
        <v>194</v>
      </c>
      <c r="M2532" t="s">
        <v>95</v>
      </c>
      <c r="N2532" t="s">
        <v>96</v>
      </c>
      <c r="O2532" t="s">
        <v>97</v>
      </c>
    </row>
    <row r="2533" spans="1:15" x14ac:dyDescent="0.2">
      <c r="A2533">
        <v>260</v>
      </c>
      <c r="B2533">
        <v>261</v>
      </c>
      <c r="C2533">
        <v>260</v>
      </c>
      <c r="D2533">
        <v>259</v>
      </c>
      <c r="E2533" t="s">
        <v>57</v>
      </c>
      <c r="F2533" t="s">
        <v>58</v>
      </c>
      <c r="G2533">
        <v>51</v>
      </c>
      <c r="H2533" t="s">
        <v>193</v>
      </c>
      <c r="I2533">
        <v>0</v>
      </c>
      <c r="J2533">
        <v>0.1</v>
      </c>
      <c r="K2533" t="s">
        <v>93</v>
      </c>
      <c r="L2533" t="s">
        <v>194</v>
      </c>
      <c r="M2533" t="s">
        <v>95</v>
      </c>
      <c r="N2533" t="s">
        <v>96</v>
      </c>
      <c r="O2533" t="s">
        <v>97</v>
      </c>
    </row>
    <row r="2534" spans="1:15" x14ac:dyDescent="0.2">
      <c r="A2534">
        <v>260</v>
      </c>
      <c r="B2534">
        <v>261</v>
      </c>
      <c r="C2534">
        <v>260</v>
      </c>
      <c r="D2534">
        <v>259</v>
      </c>
      <c r="E2534" t="s">
        <v>57</v>
      </c>
      <c r="F2534" t="s">
        <v>58</v>
      </c>
      <c r="G2534">
        <v>97</v>
      </c>
      <c r="H2534" t="s">
        <v>152</v>
      </c>
      <c r="I2534">
        <v>0.25</v>
      </c>
      <c r="J2534">
        <v>0.25</v>
      </c>
      <c r="K2534" t="s">
        <v>153</v>
      </c>
      <c r="L2534" t="s">
        <v>154</v>
      </c>
      <c r="M2534" t="s">
        <v>155</v>
      </c>
      <c r="N2534" t="s">
        <v>107</v>
      </c>
      <c r="O2534" t="s">
        <v>97</v>
      </c>
    </row>
    <row r="2535" spans="1:15" x14ac:dyDescent="0.2">
      <c r="A2535">
        <v>260</v>
      </c>
      <c r="B2535">
        <v>261</v>
      </c>
      <c r="C2535">
        <v>260</v>
      </c>
      <c r="D2535">
        <v>259</v>
      </c>
      <c r="E2535" t="s">
        <v>57</v>
      </c>
      <c r="F2535" t="s">
        <v>58</v>
      </c>
      <c r="G2535">
        <v>96</v>
      </c>
      <c r="H2535" t="s">
        <v>152</v>
      </c>
      <c r="I2535">
        <v>0</v>
      </c>
      <c r="J2535">
        <v>0</v>
      </c>
      <c r="K2535" t="s">
        <v>153</v>
      </c>
      <c r="L2535" t="s">
        <v>154</v>
      </c>
      <c r="M2535" t="s">
        <v>155</v>
      </c>
      <c r="N2535" t="s">
        <v>107</v>
      </c>
      <c r="O2535" t="s">
        <v>97</v>
      </c>
    </row>
    <row r="2536" spans="1:15" x14ac:dyDescent="0.2">
      <c r="A2536">
        <v>260</v>
      </c>
      <c r="B2536">
        <v>261</v>
      </c>
      <c r="C2536">
        <v>260</v>
      </c>
      <c r="D2536">
        <v>259</v>
      </c>
      <c r="E2536" t="s">
        <v>57</v>
      </c>
      <c r="F2536" t="s">
        <v>58</v>
      </c>
      <c r="G2536">
        <v>99</v>
      </c>
      <c r="H2536" t="s">
        <v>152</v>
      </c>
      <c r="I2536">
        <v>0</v>
      </c>
      <c r="J2536">
        <v>0</v>
      </c>
      <c r="K2536" t="s">
        <v>153</v>
      </c>
      <c r="L2536" t="s">
        <v>154</v>
      </c>
      <c r="M2536" t="s">
        <v>155</v>
      </c>
      <c r="N2536" t="s">
        <v>107</v>
      </c>
      <c r="O2536" t="s">
        <v>97</v>
      </c>
    </row>
    <row r="2537" spans="1:15" x14ac:dyDescent="0.2">
      <c r="A2537">
        <v>260</v>
      </c>
      <c r="B2537">
        <v>261</v>
      </c>
      <c r="C2537">
        <v>260</v>
      </c>
      <c r="D2537">
        <v>259</v>
      </c>
      <c r="E2537" t="s">
        <v>57</v>
      </c>
      <c r="F2537" t="s">
        <v>58</v>
      </c>
      <c r="G2537">
        <v>98</v>
      </c>
      <c r="H2537" t="s">
        <v>204</v>
      </c>
      <c r="I2537">
        <v>0.5</v>
      </c>
      <c r="J2537">
        <v>1</v>
      </c>
      <c r="K2537" t="s">
        <v>122</v>
      </c>
      <c r="L2537" t="s">
        <v>205</v>
      </c>
      <c r="M2537" t="s">
        <v>206</v>
      </c>
      <c r="N2537" t="s">
        <v>207</v>
      </c>
      <c r="O2537" t="s">
        <v>97</v>
      </c>
    </row>
    <row r="2538" spans="1:15" x14ac:dyDescent="0.2">
      <c r="A2538">
        <v>85</v>
      </c>
      <c r="B2538">
        <v>86</v>
      </c>
      <c r="C2538">
        <v>85</v>
      </c>
      <c r="D2538">
        <v>84</v>
      </c>
      <c r="E2538" t="s">
        <v>5</v>
      </c>
      <c r="F2538" t="s">
        <v>271</v>
      </c>
      <c r="G2538">
        <v>5</v>
      </c>
      <c r="H2538" t="s">
        <v>108</v>
      </c>
      <c r="I2538">
        <v>0.5</v>
      </c>
      <c r="J2538">
        <v>1</v>
      </c>
      <c r="K2538" t="s">
        <v>101</v>
      </c>
      <c r="L2538" t="s">
        <v>109</v>
      </c>
      <c r="M2538" t="s">
        <v>110</v>
      </c>
      <c r="N2538" t="s">
        <v>107</v>
      </c>
      <c r="O2538" t="s">
        <v>97</v>
      </c>
    </row>
    <row r="2539" spans="1:15" x14ac:dyDescent="0.2">
      <c r="A2539">
        <v>85</v>
      </c>
      <c r="B2539">
        <v>86</v>
      </c>
      <c r="C2539">
        <v>85</v>
      </c>
      <c r="D2539">
        <v>84</v>
      </c>
      <c r="E2539" t="s">
        <v>5</v>
      </c>
      <c r="F2539" t="s">
        <v>271</v>
      </c>
      <c r="G2539">
        <v>9</v>
      </c>
      <c r="H2539" t="s">
        <v>111</v>
      </c>
      <c r="I2539">
        <v>0.25</v>
      </c>
      <c r="J2539">
        <v>0.5</v>
      </c>
      <c r="K2539" t="s">
        <v>112</v>
      </c>
      <c r="L2539" t="s">
        <v>113</v>
      </c>
      <c r="M2539" t="s">
        <v>114</v>
      </c>
      <c r="N2539" t="s">
        <v>96</v>
      </c>
      <c r="O2539" t="s">
        <v>97</v>
      </c>
    </row>
    <row r="2540" spans="1:15" x14ac:dyDescent="0.2">
      <c r="A2540">
        <v>85</v>
      </c>
      <c r="B2540">
        <v>86</v>
      </c>
      <c r="C2540">
        <v>85</v>
      </c>
      <c r="D2540">
        <v>84</v>
      </c>
      <c r="E2540" t="s">
        <v>5</v>
      </c>
      <c r="F2540" t="s">
        <v>271</v>
      </c>
      <c r="G2540">
        <v>10</v>
      </c>
      <c r="H2540" t="s">
        <v>115</v>
      </c>
      <c r="I2540">
        <v>0.25</v>
      </c>
      <c r="J2540">
        <v>0.5</v>
      </c>
      <c r="K2540" t="s">
        <v>112</v>
      </c>
      <c r="L2540" t="s">
        <v>116</v>
      </c>
      <c r="M2540" t="s">
        <v>117</v>
      </c>
      <c r="N2540" t="s">
        <v>96</v>
      </c>
      <c r="O2540" t="s">
        <v>97</v>
      </c>
    </row>
    <row r="2541" spans="1:15" x14ac:dyDescent="0.2">
      <c r="A2541">
        <v>85</v>
      </c>
      <c r="B2541">
        <v>86</v>
      </c>
      <c r="C2541">
        <v>85</v>
      </c>
      <c r="D2541">
        <v>84</v>
      </c>
      <c r="E2541" t="s">
        <v>5</v>
      </c>
      <c r="F2541" t="s">
        <v>271</v>
      </c>
      <c r="G2541">
        <v>11</v>
      </c>
      <c r="H2541" t="s">
        <v>118</v>
      </c>
      <c r="I2541">
        <v>0.5</v>
      </c>
      <c r="J2541">
        <v>1</v>
      </c>
      <c r="K2541" t="s">
        <v>112</v>
      </c>
      <c r="L2541" t="s">
        <v>119</v>
      </c>
      <c r="M2541" t="s">
        <v>120</v>
      </c>
      <c r="N2541" t="s">
        <v>107</v>
      </c>
      <c r="O2541" t="s">
        <v>97</v>
      </c>
    </row>
    <row r="2542" spans="1:15" x14ac:dyDescent="0.2">
      <c r="A2542">
        <v>85</v>
      </c>
      <c r="B2542">
        <v>86</v>
      </c>
      <c r="C2542">
        <v>85</v>
      </c>
      <c r="D2542">
        <v>84</v>
      </c>
      <c r="E2542" t="s">
        <v>5</v>
      </c>
      <c r="F2542" t="s">
        <v>271</v>
      </c>
      <c r="G2542">
        <v>12</v>
      </c>
      <c r="H2542" t="s">
        <v>121</v>
      </c>
      <c r="I2542">
        <v>0.5</v>
      </c>
      <c r="J2542">
        <v>0.5</v>
      </c>
      <c r="K2542" t="s">
        <v>122</v>
      </c>
      <c r="L2542" t="s">
        <v>113</v>
      </c>
      <c r="M2542" t="s">
        <v>123</v>
      </c>
      <c r="N2542" t="s">
        <v>96</v>
      </c>
      <c r="O2542" t="s">
        <v>97</v>
      </c>
    </row>
    <row r="2543" spans="1:15" x14ac:dyDescent="0.2">
      <c r="A2543">
        <v>85</v>
      </c>
      <c r="B2543">
        <v>86</v>
      </c>
      <c r="C2543">
        <v>85</v>
      </c>
      <c r="D2543">
        <v>84</v>
      </c>
      <c r="E2543" t="s">
        <v>5</v>
      </c>
      <c r="F2543" t="s">
        <v>271</v>
      </c>
      <c r="G2543">
        <v>13</v>
      </c>
      <c r="H2543" t="s">
        <v>124</v>
      </c>
      <c r="I2543">
        <v>0</v>
      </c>
      <c r="J2543">
        <v>0.5</v>
      </c>
      <c r="K2543" t="s">
        <v>122</v>
      </c>
      <c r="L2543" t="s">
        <v>125</v>
      </c>
      <c r="M2543" t="s">
        <v>126</v>
      </c>
      <c r="N2543" t="s">
        <v>96</v>
      </c>
      <c r="O2543" t="s">
        <v>97</v>
      </c>
    </row>
    <row r="2544" spans="1:15" x14ac:dyDescent="0.2">
      <c r="A2544">
        <v>85</v>
      </c>
      <c r="B2544">
        <v>86</v>
      </c>
      <c r="C2544">
        <v>85</v>
      </c>
      <c r="D2544">
        <v>84</v>
      </c>
      <c r="E2544" t="s">
        <v>5</v>
      </c>
      <c r="F2544" t="s">
        <v>271</v>
      </c>
      <c r="G2544">
        <v>14</v>
      </c>
      <c r="H2544" t="s">
        <v>127</v>
      </c>
      <c r="I2544">
        <v>1</v>
      </c>
      <c r="J2544">
        <v>1</v>
      </c>
      <c r="K2544" t="s">
        <v>122</v>
      </c>
      <c r="L2544" t="s">
        <v>119</v>
      </c>
      <c r="M2544" t="s">
        <v>128</v>
      </c>
      <c r="N2544" t="s">
        <v>107</v>
      </c>
      <c r="O2544" t="s">
        <v>97</v>
      </c>
    </row>
    <row r="2545" spans="1:15" x14ac:dyDescent="0.2">
      <c r="A2545">
        <v>85</v>
      </c>
      <c r="B2545">
        <v>86</v>
      </c>
      <c r="C2545">
        <v>85</v>
      </c>
      <c r="D2545">
        <v>84</v>
      </c>
      <c r="E2545" t="s">
        <v>5</v>
      </c>
      <c r="F2545" t="s">
        <v>271</v>
      </c>
      <c r="G2545">
        <v>15</v>
      </c>
      <c r="H2545" t="s">
        <v>129</v>
      </c>
      <c r="I2545">
        <v>1</v>
      </c>
      <c r="J2545">
        <v>1</v>
      </c>
      <c r="K2545" t="s">
        <v>130</v>
      </c>
      <c r="L2545" t="s">
        <v>131</v>
      </c>
      <c r="M2545" t="s">
        <v>132</v>
      </c>
      <c r="N2545" t="s">
        <v>107</v>
      </c>
      <c r="O2545" t="s">
        <v>97</v>
      </c>
    </row>
    <row r="2546" spans="1:15" x14ac:dyDescent="0.2">
      <c r="A2546">
        <v>85</v>
      </c>
      <c r="B2546">
        <v>86</v>
      </c>
      <c r="C2546">
        <v>85</v>
      </c>
      <c r="D2546">
        <v>84</v>
      </c>
      <c r="E2546" t="s">
        <v>5</v>
      </c>
      <c r="F2546" t="s">
        <v>271</v>
      </c>
      <c r="G2546">
        <v>16</v>
      </c>
      <c r="H2546" t="s">
        <v>133</v>
      </c>
      <c r="I2546">
        <v>0</v>
      </c>
      <c r="J2546" t="s">
        <v>272</v>
      </c>
      <c r="K2546" t="e">
        <v>#N/A</v>
      </c>
      <c r="L2546" t="e">
        <v>#N/A</v>
      </c>
      <c r="M2546" t="e">
        <v>#N/A</v>
      </c>
      <c r="N2546" t="e">
        <v>#N/A</v>
      </c>
      <c r="O2546" t="s">
        <v>97</v>
      </c>
    </row>
    <row r="2547" spans="1:15" x14ac:dyDescent="0.2">
      <c r="A2547">
        <v>85</v>
      </c>
      <c r="B2547">
        <v>86</v>
      </c>
      <c r="C2547">
        <v>85</v>
      </c>
      <c r="D2547">
        <v>84</v>
      </c>
      <c r="E2547" t="s">
        <v>5</v>
      </c>
      <c r="F2547" t="s">
        <v>271</v>
      </c>
      <c r="G2547">
        <v>17</v>
      </c>
      <c r="H2547" t="s">
        <v>134</v>
      </c>
      <c r="I2547">
        <v>1</v>
      </c>
      <c r="J2547">
        <v>1</v>
      </c>
      <c r="K2547" t="s">
        <v>112</v>
      </c>
      <c r="L2547" t="s">
        <v>135</v>
      </c>
      <c r="M2547" t="s">
        <v>136</v>
      </c>
      <c r="N2547" t="s">
        <v>107</v>
      </c>
      <c r="O2547" t="s">
        <v>97</v>
      </c>
    </row>
    <row r="2548" spans="1:15" x14ac:dyDescent="0.2">
      <c r="A2548">
        <v>85</v>
      </c>
      <c r="B2548">
        <v>86</v>
      </c>
      <c r="C2548">
        <v>85</v>
      </c>
      <c r="D2548">
        <v>84</v>
      </c>
      <c r="E2548" t="s">
        <v>5</v>
      </c>
      <c r="F2548" t="s">
        <v>271</v>
      </c>
      <c r="G2548">
        <v>18</v>
      </c>
      <c r="H2548" t="s">
        <v>137</v>
      </c>
      <c r="I2548">
        <v>1</v>
      </c>
      <c r="J2548">
        <v>1</v>
      </c>
      <c r="K2548" t="s">
        <v>112</v>
      </c>
      <c r="L2548" t="s">
        <v>138</v>
      </c>
      <c r="M2548" t="s">
        <v>139</v>
      </c>
      <c r="N2548" t="s">
        <v>107</v>
      </c>
      <c r="O2548" t="s">
        <v>97</v>
      </c>
    </row>
    <row r="2549" spans="1:15" x14ac:dyDescent="0.2">
      <c r="A2549">
        <v>85</v>
      </c>
      <c r="B2549">
        <v>86</v>
      </c>
      <c r="C2549">
        <v>85</v>
      </c>
      <c r="D2549">
        <v>84</v>
      </c>
      <c r="E2549" t="s">
        <v>5</v>
      </c>
      <c r="F2549" t="s">
        <v>271</v>
      </c>
      <c r="G2549">
        <v>19</v>
      </c>
      <c r="H2549" t="s">
        <v>140</v>
      </c>
      <c r="I2549">
        <v>0.5</v>
      </c>
      <c r="J2549">
        <v>1</v>
      </c>
      <c r="K2549" t="s">
        <v>122</v>
      </c>
      <c r="L2549" t="s">
        <v>141</v>
      </c>
      <c r="M2549" t="s">
        <v>142</v>
      </c>
      <c r="N2549" t="s">
        <v>107</v>
      </c>
      <c r="O2549" t="s">
        <v>97</v>
      </c>
    </row>
    <row r="2550" spans="1:15" x14ac:dyDescent="0.2">
      <c r="A2550">
        <v>85</v>
      </c>
      <c r="B2550">
        <v>86</v>
      </c>
      <c r="C2550">
        <v>85</v>
      </c>
      <c r="D2550">
        <v>84</v>
      </c>
      <c r="E2550" t="s">
        <v>5</v>
      </c>
      <c r="F2550" t="s">
        <v>271</v>
      </c>
      <c r="G2550">
        <v>20</v>
      </c>
      <c r="H2550" t="s">
        <v>143</v>
      </c>
      <c r="I2550">
        <v>1</v>
      </c>
      <c r="J2550">
        <v>1</v>
      </c>
      <c r="K2550" t="s">
        <v>122</v>
      </c>
      <c r="L2550" t="s">
        <v>144</v>
      </c>
      <c r="M2550" t="s">
        <v>145</v>
      </c>
      <c r="N2550" t="s">
        <v>107</v>
      </c>
      <c r="O2550" t="s">
        <v>97</v>
      </c>
    </row>
    <row r="2551" spans="1:15" x14ac:dyDescent="0.2">
      <c r="A2551">
        <v>85</v>
      </c>
      <c r="B2551">
        <v>86</v>
      </c>
      <c r="C2551">
        <v>85</v>
      </c>
      <c r="D2551">
        <v>84</v>
      </c>
      <c r="E2551" t="s">
        <v>5</v>
      </c>
      <c r="F2551" t="s">
        <v>271</v>
      </c>
      <c r="G2551">
        <v>21</v>
      </c>
      <c r="H2551" t="s">
        <v>146</v>
      </c>
      <c r="I2551">
        <v>1</v>
      </c>
      <c r="J2551">
        <v>1</v>
      </c>
      <c r="K2551" t="s">
        <v>147</v>
      </c>
      <c r="L2551" t="s">
        <v>148</v>
      </c>
      <c r="M2551" t="s">
        <v>149</v>
      </c>
      <c r="N2551" t="s">
        <v>96</v>
      </c>
      <c r="O2551" t="s">
        <v>97</v>
      </c>
    </row>
    <row r="2552" spans="1:15" x14ac:dyDescent="0.2">
      <c r="A2552">
        <v>85</v>
      </c>
      <c r="B2552">
        <v>86</v>
      </c>
      <c r="C2552">
        <v>85</v>
      </c>
      <c r="D2552">
        <v>84</v>
      </c>
      <c r="E2552" t="s">
        <v>5</v>
      </c>
      <c r="F2552" t="s">
        <v>271</v>
      </c>
      <c r="G2552">
        <v>22</v>
      </c>
      <c r="H2552" t="s">
        <v>150</v>
      </c>
      <c r="I2552">
        <v>0</v>
      </c>
      <c r="J2552">
        <v>1</v>
      </c>
      <c r="K2552" t="s">
        <v>147</v>
      </c>
      <c r="L2552" t="s">
        <v>151</v>
      </c>
      <c r="M2552" t="s">
        <v>149</v>
      </c>
      <c r="N2552" t="s">
        <v>107</v>
      </c>
      <c r="O2552" t="s">
        <v>97</v>
      </c>
    </row>
    <row r="2553" spans="1:15" x14ac:dyDescent="0.2">
      <c r="A2553">
        <v>85</v>
      </c>
      <c r="B2553">
        <v>86</v>
      </c>
      <c r="C2553">
        <v>85</v>
      </c>
      <c r="D2553">
        <v>84</v>
      </c>
      <c r="E2553" t="s">
        <v>5</v>
      </c>
      <c r="F2553" t="s">
        <v>271</v>
      </c>
      <c r="G2553">
        <v>23</v>
      </c>
      <c r="H2553" t="s">
        <v>152</v>
      </c>
      <c r="I2553">
        <v>0</v>
      </c>
      <c r="J2553">
        <v>0</v>
      </c>
      <c r="K2553" t="s">
        <v>153</v>
      </c>
      <c r="L2553" t="s">
        <v>154</v>
      </c>
      <c r="M2553" t="s">
        <v>155</v>
      </c>
      <c r="N2553" t="s">
        <v>107</v>
      </c>
      <c r="O2553" t="s">
        <v>97</v>
      </c>
    </row>
    <row r="2554" spans="1:15" x14ac:dyDescent="0.2">
      <c r="A2554">
        <v>85</v>
      </c>
      <c r="B2554">
        <v>86</v>
      </c>
      <c r="C2554">
        <v>85</v>
      </c>
      <c r="D2554">
        <v>84</v>
      </c>
      <c r="E2554" t="s">
        <v>5</v>
      </c>
      <c r="F2554" t="s">
        <v>271</v>
      </c>
      <c r="G2554">
        <v>24</v>
      </c>
      <c r="H2554" t="s">
        <v>156</v>
      </c>
      <c r="I2554">
        <v>0</v>
      </c>
      <c r="J2554" t="s">
        <v>195</v>
      </c>
      <c r="K2554" t="s">
        <v>122</v>
      </c>
      <c r="L2554" t="s">
        <v>157</v>
      </c>
      <c r="M2554" t="s">
        <v>158</v>
      </c>
      <c r="N2554" t="s">
        <v>107</v>
      </c>
      <c r="O2554" t="s">
        <v>97</v>
      </c>
    </row>
    <row r="2555" spans="1:15" x14ac:dyDescent="0.2">
      <c r="A2555">
        <v>85</v>
      </c>
      <c r="B2555">
        <v>86</v>
      </c>
      <c r="C2555">
        <v>85</v>
      </c>
      <c r="D2555">
        <v>84</v>
      </c>
      <c r="E2555" t="s">
        <v>5</v>
      </c>
      <c r="F2555" t="s">
        <v>271</v>
      </c>
      <c r="G2555">
        <v>25</v>
      </c>
      <c r="H2555" t="s">
        <v>156</v>
      </c>
      <c r="I2555">
        <v>0</v>
      </c>
      <c r="J2555" t="s">
        <v>195</v>
      </c>
      <c r="K2555" t="s">
        <v>122</v>
      </c>
      <c r="L2555" t="s">
        <v>157</v>
      </c>
      <c r="M2555" t="s">
        <v>158</v>
      </c>
      <c r="N2555" t="s">
        <v>107</v>
      </c>
      <c r="O2555" t="s">
        <v>97</v>
      </c>
    </row>
    <row r="2556" spans="1:15" x14ac:dyDescent="0.2">
      <c r="A2556">
        <v>85</v>
      </c>
      <c r="B2556">
        <v>86</v>
      </c>
      <c r="C2556">
        <v>85</v>
      </c>
      <c r="D2556">
        <v>84</v>
      </c>
      <c r="E2556" t="s">
        <v>5</v>
      </c>
      <c r="F2556" t="s">
        <v>271</v>
      </c>
      <c r="G2556">
        <v>26</v>
      </c>
      <c r="H2556" t="s">
        <v>152</v>
      </c>
      <c r="I2556">
        <v>0</v>
      </c>
      <c r="J2556">
        <v>0</v>
      </c>
      <c r="K2556" t="s">
        <v>153</v>
      </c>
      <c r="L2556" t="s">
        <v>154</v>
      </c>
      <c r="M2556" t="s">
        <v>155</v>
      </c>
      <c r="N2556" t="s">
        <v>107</v>
      </c>
      <c r="O2556" t="s">
        <v>97</v>
      </c>
    </row>
    <row r="2557" spans="1:15" x14ac:dyDescent="0.2">
      <c r="A2557">
        <v>85</v>
      </c>
      <c r="B2557">
        <v>86</v>
      </c>
      <c r="C2557">
        <v>85</v>
      </c>
      <c r="D2557">
        <v>84</v>
      </c>
      <c r="E2557" t="s">
        <v>5</v>
      </c>
      <c r="F2557" t="s">
        <v>271</v>
      </c>
      <c r="G2557">
        <v>27</v>
      </c>
      <c r="H2557" t="s">
        <v>159</v>
      </c>
      <c r="I2557">
        <v>0</v>
      </c>
      <c r="J2557" t="s">
        <v>195</v>
      </c>
      <c r="K2557" t="s">
        <v>122</v>
      </c>
      <c r="L2557" t="s">
        <v>160</v>
      </c>
      <c r="M2557" t="s">
        <v>161</v>
      </c>
      <c r="N2557" t="s">
        <v>107</v>
      </c>
      <c r="O2557" t="s">
        <v>97</v>
      </c>
    </row>
    <row r="2558" spans="1:15" x14ac:dyDescent="0.2">
      <c r="A2558">
        <v>85</v>
      </c>
      <c r="B2558">
        <v>86</v>
      </c>
      <c r="C2558">
        <v>85</v>
      </c>
      <c r="D2558">
        <v>84</v>
      </c>
      <c r="E2558" t="s">
        <v>5</v>
      </c>
      <c r="F2558" t="s">
        <v>271</v>
      </c>
      <c r="G2558">
        <v>28</v>
      </c>
      <c r="H2558" t="s">
        <v>159</v>
      </c>
      <c r="I2558">
        <v>0</v>
      </c>
      <c r="J2558" t="s">
        <v>195</v>
      </c>
      <c r="K2558" t="s">
        <v>122</v>
      </c>
      <c r="L2558" t="s">
        <v>160</v>
      </c>
      <c r="M2558" t="s">
        <v>161</v>
      </c>
      <c r="N2558" t="s">
        <v>107</v>
      </c>
      <c r="O2558" t="s">
        <v>97</v>
      </c>
    </row>
    <row r="2559" spans="1:15" x14ac:dyDescent="0.2">
      <c r="A2559">
        <v>85</v>
      </c>
      <c r="B2559">
        <v>86</v>
      </c>
      <c r="C2559">
        <v>85</v>
      </c>
      <c r="D2559">
        <v>84</v>
      </c>
      <c r="E2559" t="s">
        <v>5</v>
      </c>
      <c r="F2559" t="s">
        <v>271</v>
      </c>
      <c r="G2559">
        <v>29</v>
      </c>
      <c r="H2559" t="s">
        <v>152</v>
      </c>
      <c r="I2559">
        <v>0</v>
      </c>
      <c r="J2559">
        <v>0</v>
      </c>
      <c r="K2559" t="s">
        <v>153</v>
      </c>
      <c r="L2559" t="s">
        <v>154</v>
      </c>
      <c r="M2559" t="s">
        <v>155</v>
      </c>
      <c r="N2559" t="s">
        <v>107</v>
      </c>
      <c r="O2559" t="s">
        <v>97</v>
      </c>
    </row>
    <row r="2560" spans="1:15" x14ac:dyDescent="0.2">
      <c r="A2560">
        <v>85</v>
      </c>
      <c r="B2560">
        <v>86</v>
      </c>
      <c r="C2560">
        <v>85</v>
      </c>
      <c r="D2560">
        <v>84</v>
      </c>
      <c r="E2560" t="s">
        <v>5</v>
      </c>
      <c r="F2560" t="s">
        <v>271</v>
      </c>
      <c r="G2560">
        <v>30</v>
      </c>
      <c r="H2560" t="s">
        <v>162</v>
      </c>
      <c r="I2560">
        <v>0</v>
      </c>
      <c r="J2560" t="s">
        <v>195</v>
      </c>
      <c r="K2560" t="s">
        <v>112</v>
      </c>
      <c r="L2560" t="s">
        <v>163</v>
      </c>
      <c r="M2560" t="s">
        <v>164</v>
      </c>
      <c r="N2560" t="s">
        <v>107</v>
      </c>
      <c r="O2560" t="s">
        <v>97</v>
      </c>
    </row>
    <row r="2561" spans="1:15" x14ac:dyDescent="0.2">
      <c r="A2561">
        <v>85</v>
      </c>
      <c r="B2561">
        <v>86</v>
      </c>
      <c r="C2561">
        <v>85</v>
      </c>
      <c r="D2561">
        <v>84</v>
      </c>
      <c r="E2561" t="s">
        <v>5</v>
      </c>
      <c r="F2561" t="s">
        <v>271</v>
      </c>
      <c r="G2561">
        <v>31</v>
      </c>
      <c r="H2561" t="s">
        <v>162</v>
      </c>
      <c r="I2561">
        <v>0</v>
      </c>
      <c r="J2561">
        <v>0</v>
      </c>
      <c r="K2561" t="s">
        <v>112</v>
      </c>
      <c r="L2561" t="s">
        <v>163</v>
      </c>
      <c r="M2561" t="s">
        <v>164</v>
      </c>
      <c r="N2561" t="s">
        <v>107</v>
      </c>
      <c r="O2561" t="s">
        <v>97</v>
      </c>
    </row>
    <row r="2562" spans="1:15" x14ac:dyDescent="0.2">
      <c r="A2562">
        <v>85</v>
      </c>
      <c r="B2562">
        <v>86</v>
      </c>
      <c r="C2562">
        <v>85</v>
      </c>
      <c r="D2562">
        <v>84</v>
      </c>
      <c r="E2562" t="s">
        <v>5</v>
      </c>
      <c r="F2562" t="s">
        <v>271</v>
      </c>
      <c r="G2562">
        <v>32</v>
      </c>
      <c r="H2562" t="s">
        <v>162</v>
      </c>
      <c r="I2562">
        <v>0</v>
      </c>
      <c r="J2562">
        <v>0</v>
      </c>
      <c r="K2562" t="s">
        <v>112</v>
      </c>
      <c r="L2562" t="s">
        <v>163</v>
      </c>
      <c r="M2562" t="s">
        <v>164</v>
      </c>
      <c r="N2562" t="s">
        <v>107</v>
      </c>
      <c r="O2562" t="s">
        <v>97</v>
      </c>
    </row>
    <row r="2563" spans="1:15" x14ac:dyDescent="0.2">
      <c r="A2563">
        <v>85</v>
      </c>
      <c r="B2563">
        <v>86</v>
      </c>
      <c r="C2563">
        <v>85</v>
      </c>
      <c r="D2563">
        <v>84</v>
      </c>
      <c r="E2563" t="s">
        <v>5</v>
      </c>
      <c r="F2563" t="s">
        <v>271</v>
      </c>
      <c r="G2563">
        <v>33</v>
      </c>
      <c r="H2563" t="s">
        <v>152</v>
      </c>
      <c r="I2563">
        <v>0</v>
      </c>
      <c r="J2563">
        <v>1</v>
      </c>
      <c r="K2563" t="s">
        <v>153</v>
      </c>
      <c r="L2563" t="s">
        <v>154</v>
      </c>
      <c r="M2563" t="s">
        <v>155</v>
      </c>
      <c r="N2563" t="s">
        <v>107</v>
      </c>
      <c r="O2563" t="s">
        <v>97</v>
      </c>
    </row>
    <row r="2564" spans="1:15" x14ac:dyDescent="0.2">
      <c r="A2564">
        <v>85</v>
      </c>
      <c r="B2564">
        <v>86</v>
      </c>
      <c r="C2564">
        <v>85</v>
      </c>
      <c r="D2564">
        <v>84</v>
      </c>
      <c r="E2564" t="s">
        <v>5</v>
      </c>
      <c r="F2564" t="s">
        <v>271</v>
      </c>
      <c r="G2564">
        <v>34</v>
      </c>
      <c r="H2564" t="s">
        <v>152</v>
      </c>
      <c r="I2564">
        <v>0</v>
      </c>
      <c r="J2564">
        <v>0</v>
      </c>
      <c r="K2564" t="s">
        <v>153</v>
      </c>
      <c r="L2564" t="s">
        <v>154</v>
      </c>
      <c r="M2564" t="s">
        <v>155</v>
      </c>
      <c r="N2564" t="s">
        <v>107</v>
      </c>
      <c r="O2564" t="s">
        <v>97</v>
      </c>
    </row>
    <row r="2565" spans="1:15" x14ac:dyDescent="0.2">
      <c r="A2565">
        <v>85</v>
      </c>
      <c r="B2565">
        <v>86</v>
      </c>
      <c r="C2565">
        <v>85</v>
      </c>
      <c r="D2565">
        <v>84</v>
      </c>
      <c r="E2565" t="s">
        <v>5</v>
      </c>
      <c r="F2565" t="s">
        <v>271</v>
      </c>
      <c r="G2565">
        <v>35</v>
      </c>
      <c r="H2565" t="s">
        <v>165</v>
      </c>
      <c r="I2565">
        <v>0</v>
      </c>
      <c r="J2565">
        <v>1</v>
      </c>
      <c r="K2565" t="s">
        <v>166</v>
      </c>
      <c r="L2565" t="s">
        <v>167</v>
      </c>
      <c r="M2565" t="s">
        <v>168</v>
      </c>
      <c r="N2565" t="s">
        <v>107</v>
      </c>
      <c r="O2565" t="s">
        <v>97</v>
      </c>
    </row>
    <row r="2566" spans="1:15" x14ac:dyDescent="0.2">
      <c r="A2566">
        <v>85</v>
      </c>
      <c r="B2566">
        <v>86</v>
      </c>
      <c r="C2566">
        <v>85</v>
      </c>
      <c r="D2566">
        <v>84</v>
      </c>
      <c r="E2566" t="s">
        <v>5</v>
      </c>
      <c r="F2566" t="s">
        <v>271</v>
      </c>
      <c r="G2566">
        <v>36</v>
      </c>
      <c r="H2566" t="s">
        <v>169</v>
      </c>
      <c r="I2566">
        <v>0</v>
      </c>
      <c r="J2566">
        <v>0</v>
      </c>
      <c r="K2566" t="e">
        <v>#N/A</v>
      </c>
      <c r="L2566" t="e">
        <v>#N/A</v>
      </c>
      <c r="M2566" t="e">
        <v>#N/A</v>
      </c>
      <c r="N2566" t="e">
        <v>#N/A</v>
      </c>
      <c r="O2566" t="s">
        <v>97</v>
      </c>
    </row>
    <row r="2567" spans="1:15" x14ac:dyDescent="0.2">
      <c r="A2567">
        <v>85</v>
      </c>
      <c r="B2567">
        <v>86</v>
      </c>
      <c r="C2567">
        <v>85</v>
      </c>
      <c r="D2567">
        <v>84</v>
      </c>
      <c r="E2567" t="s">
        <v>5</v>
      </c>
      <c r="F2567" t="s">
        <v>271</v>
      </c>
      <c r="G2567">
        <v>38</v>
      </c>
      <c r="H2567" t="s">
        <v>170</v>
      </c>
      <c r="I2567">
        <v>0</v>
      </c>
      <c r="J2567">
        <v>0.5</v>
      </c>
      <c r="K2567" t="s">
        <v>112</v>
      </c>
      <c r="L2567" t="s">
        <v>171</v>
      </c>
      <c r="M2567" t="s">
        <v>172</v>
      </c>
      <c r="N2567" t="s">
        <v>96</v>
      </c>
      <c r="O2567" t="s">
        <v>97</v>
      </c>
    </row>
    <row r="2568" spans="1:15" x14ac:dyDescent="0.2">
      <c r="A2568">
        <v>85</v>
      </c>
      <c r="B2568">
        <v>86</v>
      </c>
      <c r="C2568">
        <v>85</v>
      </c>
      <c r="D2568">
        <v>84</v>
      </c>
      <c r="E2568" t="s">
        <v>5</v>
      </c>
      <c r="F2568" t="s">
        <v>271</v>
      </c>
      <c r="G2568">
        <v>39</v>
      </c>
      <c r="H2568" t="s">
        <v>170</v>
      </c>
      <c r="I2568">
        <v>0</v>
      </c>
      <c r="J2568">
        <v>0.5</v>
      </c>
      <c r="K2568" t="s">
        <v>112</v>
      </c>
      <c r="L2568" t="s">
        <v>171</v>
      </c>
      <c r="M2568" t="s">
        <v>172</v>
      </c>
      <c r="N2568" t="s">
        <v>96</v>
      </c>
      <c r="O2568" t="s">
        <v>97</v>
      </c>
    </row>
    <row r="2569" spans="1:15" x14ac:dyDescent="0.2">
      <c r="A2569">
        <v>85</v>
      </c>
      <c r="B2569">
        <v>86</v>
      </c>
      <c r="C2569">
        <v>85</v>
      </c>
      <c r="D2569">
        <v>84</v>
      </c>
      <c r="E2569" t="s">
        <v>5</v>
      </c>
      <c r="F2569" t="s">
        <v>271</v>
      </c>
      <c r="G2569">
        <v>40</v>
      </c>
      <c r="H2569" t="s">
        <v>170</v>
      </c>
      <c r="I2569">
        <v>0</v>
      </c>
      <c r="J2569">
        <v>0.5</v>
      </c>
      <c r="K2569" t="s">
        <v>112</v>
      </c>
      <c r="L2569" t="s">
        <v>171</v>
      </c>
      <c r="M2569" t="s">
        <v>172</v>
      </c>
      <c r="N2569" t="s">
        <v>96</v>
      </c>
      <c r="O2569" t="s">
        <v>97</v>
      </c>
    </row>
    <row r="2570" spans="1:15" x14ac:dyDescent="0.2">
      <c r="A2570">
        <v>85</v>
      </c>
      <c r="B2570">
        <v>86</v>
      </c>
      <c r="C2570">
        <v>85</v>
      </c>
      <c r="D2570">
        <v>84</v>
      </c>
      <c r="E2570" t="s">
        <v>5</v>
      </c>
      <c r="F2570" t="s">
        <v>271</v>
      </c>
      <c r="G2570">
        <v>41</v>
      </c>
      <c r="H2570" t="s">
        <v>173</v>
      </c>
      <c r="I2570">
        <v>0.5</v>
      </c>
      <c r="J2570">
        <v>1</v>
      </c>
      <c r="K2570" t="s">
        <v>166</v>
      </c>
      <c r="L2570" t="s">
        <v>174</v>
      </c>
      <c r="M2570" t="s">
        <v>175</v>
      </c>
      <c r="N2570" t="s">
        <v>107</v>
      </c>
      <c r="O2570" t="s">
        <v>97</v>
      </c>
    </row>
    <row r="2571" spans="1:15" x14ac:dyDescent="0.2">
      <c r="A2571">
        <v>85</v>
      </c>
      <c r="B2571">
        <v>86</v>
      </c>
      <c r="C2571">
        <v>85</v>
      </c>
      <c r="D2571">
        <v>84</v>
      </c>
      <c r="E2571" t="s">
        <v>5</v>
      </c>
      <c r="F2571" t="s">
        <v>271</v>
      </c>
      <c r="G2571">
        <v>42</v>
      </c>
      <c r="H2571" t="s">
        <v>176</v>
      </c>
      <c r="I2571">
        <v>0</v>
      </c>
      <c r="J2571" t="s">
        <v>198</v>
      </c>
      <c r="K2571" t="s">
        <v>153</v>
      </c>
      <c r="L2571" t="s">
        <v>177</v>
      </c>
      <c r="M2571" t="s">
        <v>178</v>
      </c>
      <c r="N2571" t="s">
        <v>107</v>
      </c>
      <c r="O2571" t="s">
        <v>97</v>
      </c>
    </row>
    <row r="2572" spans="1:15" x14ac:dyDescent="0.2">
      <c r="A2572">
        <v>85</v>
      </c>
      <c r="B2572">
        <v>86</v>
      </c>
      <c r="C2572">
        <v>85</v>
      </c>
      <c r="D2572">
        <v>84</v>
      </c>
      <c r="E2572" t="s">
        <v>5</v>
      </c>
      <c r="F2572" t="s">
        <v>271</v>
      </c>
      <c r="G2572">
        <v>43</v>
      </c>
      <c r="H2572" t="s">
        <v>179</v>
      </c>
      <c r="I2572">
        <v>0</v>
      </c>
      <c r="J2572">
        <v>0</v>
      </c>
      <c r="K2572" t="s">
        <v>166</v>
      </c>
      <c r="L2572" t="s">
        <v>180</v>
      </c>
      <c r="M2572" t="s">
        <v>181</v>
      </c>
      <c r="N2572" t="s">
        <v>107</v>
      </c>
      <c r="O2572" t="s">
        <v>97</v>
      </c>
    </row>
    <row r="2573" spans="1:15" x14ac:dyDescent="0.2">
      <c r="A2573">
        <v>85</v>
      </c>
      <c r="B2573">
        <v>86</v>
      </c>
      <c r="C2573">
        <v>85</v>
      </c>
      <c r="D2573">
        <v>84</v>
      </c>
      <c r="E2573" t="s">
        <v>5</v>
      </c>
      <c r="F2573" t="s">
        <v>271</v>
      </c>
      <c r="G2573">
        <v>44</v>
      </c>
      <c r="H2573" t="s">
        <v>182</v>
      </c>
      <c r="I2573">
        <v>0</v>
      </c>
      <c r="J2573">
        <v>1</v>
      </c>
      <c r="K2573" t="s">
        <v>166</v>
      </c>
      <c r="L2573" t="s">
        <v>183</v>
      </c>
      <c r="M2573" t="s">
        <v>184</v>
      </c>
      <c r="N2573" t="s">
        <v>107</v>
      </c>
      <c r="O2573" t="s">
        <v>97</v>
      </c>
    </row>
    <row r="2574" spans="1:15" x14ac:dyDescent="0.2">
      <c r="A2574">
        <v>85</v>
      </c>
      <c r="B2574">
        <v>86</v>
      </c>
      <c r="C2574">
        <v>85</v>
      </c>
      <c r="D2574">
        <v>84</v>
      </c>
      <c r="E2574" t="s">
        <v>5</v>
      </c>
      <c r="F2574" t="s">
        <v>271</v>
      </c>
      <c r="G2574">
        <v>45</v>
      </c>
      <c r="H2574" t="s">
        <v>185</v>
      </c>
      <c r="I2574">
        <v>1</v>
      </c>
      <c r="J2574">
        <v>1</v>
      </c>
      <c r="K2574" t="s">
        <v>166</v>
      </c>
      <c r="L2574" t="s">
        <v>186</v>
      </c>
      <c r="M2574" t="s">
        <v>139</v>
      </c>
      <c r="N2574" t="s">
        <v>107</v>
      </c>
      <c r="O2574" t="s">
        <v>97</v>
      </c>
    </row>
    <row r="2575" spans="1:15" x14ac:dyDescent="0.2">
      <c r="A2575">
        <v>85</v>
      </c>
      <c r="B2575">
        <v>86</v>
      </c>
      <c r="C2575">
        <v>85</v>
      </c>
      <c r="D2575">
        <v>84</v>
      </c>
      <c r="E2575" t="s">
        <v>5</v>
      </c>
      <c r="F2575" t="s">
        <v>271</v>
      </c>
      <c r="G2575">
        <v>47</v>
      </c>
      <c r="H2575" t="s">
        <v>187</v>
      </c>
      <c r="I2575">
        <v>0</v>
      </c>
      <c r="J2575">
        <v>0.2</v>
      </c>
      <c r="K2575" t="s">
        <v>93</v>
      </c>
      <c r="L2575" t="s">
        <v>188</v>
      </c>
      <c r="M2575" t="s">
        <v>95</v>
      </c>
      <c r="N2575" t="s">
        <v>96</v>
      </c>
      <c r="O2575" t="s">
        <v>97</v>
      </c>
    </row>
    <row r="2576" spans="1:15" x14ac:dyDescent="0.2">
      <c r="A2576">
        <v>85</v>
      </c>
      <c r="B2576">
        <v>86</v>
      </c>
      <c r="C2576">
        <v>85</v>
      </c>
      <c r="D2576">
        <v>84</v>
      </c>
      <c r="E2576" t="s">
        <v>5</v>
      </c>
      <c r="F2576" t="s">
        <v>271</v>
      </c>
      <c r="G2576">
        <v>48</v>
      </c>
      <c r="H2576" t="s">
        <v>189</v>
      </c>
      <c r="I2576">
        <v>0</v>
      </c>
      <c r="J2576">
        <v>0.2</v>
      </c>
      <c r="K2576" t="s">
        <v>93</v>
      </c>
      <c r="L2576" t="s">
        <v>190</v>
      </c>
      <c r="M2576" t="s">
        <v>95</v>
      </c>
      <c r="N2576" t="s">
        <v>96</v>
      </c>
      <c r="O2576" t="s">
        <v>97</v>
      </c>
    </row>
    <row r="2577" spans="1:15" x14ac:dyDescent="0.2">
      <c r="A2577">
        <v>85</v>
      </c>
      <c r="B2577">
        <v>86</v>
      </c>
      <c r="C2577">
        <v>85</v>
      </c>
      <c r="D2577">
        <v>84</v>
      </c>
      <c r="E2577" t="s">
        <v>5</v>
      </c>
      <c r="F2577" t="s">
        <v>271</v>
      </c>
      <c r="G2577">
        <v>49</v>
      </c>
      <c r="H2577" t="s">
        <v>191</v>
      </c>
      <c r="I2577">
        <v>0.2</v>
      </c>
      <c r="J2577">
        <v>0.2</v>
      </c>
      <c r="K2577" t="s">
        <v>93</v>
      </c>
      <c r="L2577" t="s">
        <v>192</v>
      </c>
      <c r="M2577" t="s">
        <v>95</v>
      </c>
      <c r="N2577" t="s">
        <v>96</v>
      </c>
      <c r="O2577" t="s">
        <v>97</v>
      </c>
    </row>
    <row r="2578" spans="1:15" x14ac:dyDescent="0.2">
      <c r="A2578">
        <v>85</v>
      </c>
      <c r="B2578">
        <v>86</v>
      </c>
      <c r="C2578">
        <v>85</v>
      </c>
      <c r="D2578">
        <v>84</v>
      </c>
      <c r="E2578" t="s">
        <v>5</v>
      </c>
      <c r="F2578" t="s">
        <v>271</v>
      </c>
      <c r="G2578">
        <v>50</v>
      </c>
      <c r="H2578" t="s">
        <v>193</v>
      </c>
      <c r="I2578">
        <v>0.1</v>
      </c>
      <c r="J2578">
        <v>0.1</v>
      </c>
      <c r="K2578" t="s">
        <v>93</v>
      </c>
      <c r="L2578" t="s">
        <v>194</v>
      </c>
      <c r="M2578" t="s">
        <v>95</v>
      </c>
      <c r="N2578" t="s">
        <v>96</v>
      </c>
      <c r="O2578" t="s">
        <v>97</v>
      </c>
    </row>
    <row r="2579" spans="1:15" x14ac:dyDescent="0.2">
      <c r="A2579">
        <v>85</v>
      </c>
      <c r="B2579">
        <v>86</v>
      </c>
      <c r="C2579">
        <v>85</v>
      </c>
      <c r="D2579">
        <v>84</v>
      </c>
      <c r="E2579" t="s">
        <v>5</v>
      </c>
      <c r="F2579" t="s">
        <v>271</v>
      </c>
      <c r="G2579">
        <v>51</v>
      </c>
      <c r="H2579" t="s">
        <v>193</v>
      </c>
      <c r="I2579">
        <v>0.1</v>
      </c>
      <c r="J2579">
        <v>0.1</v>
      </c>
      <c r="K2579" t="s">
        <v>93</v>
      </c>
      <c r="L2579" t="s">
        <v>194</v>
      </c>
      <c r="M2579" t="s">
        <v>95</v>
      </c>
      <c r="N2579" t="s">
        <v>96</v>
      </c>
      <c r="O2579" t="s">
        <v>97</v>
      </c>
    </row>
    <row r="2580" spans="1:15" x14ac:dyDescent="0.2">
      <c r="A2580">
        <v>85</v>
      </c>
      <c r="B2580">
        <v>86</v>
      </c>
      <c r="C2580">
        <v>85</v>
      </c>
      <c r="D2580">
        <v>84</v>
      </c>
      <c r="E2580" t="s">
        <v>5</v>
      </c>
      <c r="F2580" t="s">
        <v>271</v>
      </c>
      <c r="G2580">
        <v>52</v>
      </c>
      <c r="H2580" t="s">
        <v>200</v>
      </c>
      <c r="I2580">
        <v>0</v>
      </c>
      <c r="J2580" t="s">
        <v>273</v>
      </c>
      <c r="K2580" t="e">
        <v>#N/A</v>
      </c>
      <c r="L2580" t="e">
        <v>#N/A</v>
      </c>
      <c r="M2580" t="e">
        <v>#N/A</v>
      </c>
      <c r="N2580" t="e">
        <v>#N/A</v>
      </c>
      <c r="O2580" t="s">
        <v>97</v>
      </c>
    </row>
    <row r="2581" spans="1:15" x14ac:dyDescent="0.2">
      <c r="A2581">
        <v>85</v>
      </c>
      <c r="B2581">
        <v>86</v>
      </c>
      <c r="C2581">
        <v>85</v>
      </c>
      <c r="D2581">
        <v>84</v>
      </c>
      <c r="E2581" t="s">
        <v>5</v>
      </c>
      <c r="F2581" t="s">
        <v>271</v>
      </c>
      <c r="G2581">
        <v>53</v>
      </c>
      <c r="H2581" t="s">
        <v>201</v>
      </c>
      <c r="I2581">
        <v>0</v>
      </c>
      <c r="J2581" t="s">
        <v>274</v>
      </c>
      <c r="K2581" t="e">
        <v>#N/A</v>
      </c>
      <c r="L2581" t="e">
        <v>#N/A</v>
      </c>
      <c r="M2581" t="e">
        <v>#N/A</v>
      </c>
      <c r="N2581" t="e">
        <v>#N/A</v>
      </c>
      <c r="O2581" t="s">
        <v>97</v>
      </c>
    </row>
    <row r="2582" spans="1:15" x14ac:dyDescent="0.2">
      <c r="A2582">
        <v>85</v>
      </c>
      <c r="B2582">
        <v>86</v>
      </c>
      <c r="C2582">
        <v>85</v>
      </c>
      <c r="D2582">
        <v>84</v>
      </c>
      <c r="E2582" t="s">
        <v>5</v>
      </c>
      <c r="F2582" t="s">
        <v>271</v>
      </c>
      <c r="G2582">
        <v>54</v>
      </c>
      <c r="H2582" t="s">
        <v>203</v>
      </c>
      <c r="I2582">
        <v>0</v>
      </c>
      <c r="J2582">
        <v>0</v>
      </c>
      <c r="K2582" t="e">
        <v>#N/A</v>
      </c>
      <c r="L2582" t="e">
        <v>#N/A</v>
      </c>
      <c r="M2582" t="e">
        <v>#N/A</v>
      </c>
      <c r="N2582" t="e">
        <v>#N/A</v>
      </c>
      <c r="O2582" t="s">
        <v>97</v>
      </c>
    </row>
    <row r="2583" spans="1:15" x14ac:dyDescent="0.2">
      <c r="A2583">
        <v>85</v>
      </c>
      <c r="B2583">
        <v>86</v>
      </c>
      <c r="C2583">
        <v>85</v>
      </c>
      <c r="D2583">
        <v>84</v>
      </c>
      <c r="E2583" t="s">
        <v>5</v>
      </c>
      <c r="F2583" t="s">
        <v>271</v>
      </c>
      <c r="G2583">
        <v>99</v>
      </c>
      <c r="H2583" t="s">
        <v>152</v>
      </c>
      <c r="I2583">
        <v>0</v>
      </c>
      <c r="J2583">
        <v>0</v>
      </c>
      <c r="K2583" t="s">
        <v>153</v>
      </c>
      <c r="L2583" t="s">
        <v>154</v>
      </c>
      <c r="M2583" t="s">
        <v>155</v>
      </c>
      <c r="N2583" t="s">
        <v>107</v>
      </c>
      <c r="O2583" t="s">
        <v>97</v>
      </c>
    </row>
    <row r="2584" spans="1:15" x14ac:dyDescent="0.2">
      <c r="A2584">
        <v>85</v>
      </c>
      <c r="B2584">
        <v>86</v>
      </c>
      <c r="C2584">
        <v>85</v>
      </c>
      <c r="D2584">
        <v>84</v>
      </c>
      <c r="E2584" t="s">
        <v>5</v>
      </c>
      <c r="F2584" t="s">
        <v>271</v>
      </c>
      <c r="G2584">
        <v>98</v>
      </c>
      <c r="H2584" t="s">
        <v>204</v>
      </c>
      <c r="I2584">
        <v>0</v>
      </c>
      <c r="J2584">
        <v>1</v>
      </c>
      <c r="K2584" t="s">
        <v>122</v>
      </c>
      <c r="L2584" t="s">
        <v>205</v>
      </c>
      <c r="M2584" t="s">
        <v>206</v>
      </c>
      <c r="N2584" t="s">
        <v>207</v>
      </c>
      <c r="O2584" t="s">
        <v>97</v>
      </c>
    </row>
    <row r="2585" spans="1:15" x14ac:dyDescent="0.2">
      <c r="A2585">
        <v>85</v>
      </c>
      <c r="B2585">
        <v>86</v>
      </c>
      <c r="C2585">
        <v>85</v>
      </c>
      <c r="D2585">
        <v>84</v>
      </c>
      <c r="E2585" t="s">
        <v>5</v>
      </c>
      <c r="F2585" t="s">
        <v>271</v>
      </c>
      <c r="G2585">
        <v>97</v>
      </c>
      <c r="H2585" t="s">
        <v>152</v>
      </c>
      <c r="I2585">
        <v>0.25</v>
      </c>
      <c r="J2585">
        <v>0.25</v>
      </c>
      <c r="K2585" t="s">
        <v>153</v>
      </c>
      <c r="L2585" t="s">
        <v>154</v>
      </c>
      <c r="M2585" t="s">
        <v>155</v>
      </c>
      <c r="N2585" t="s">
        <v>107</v>
      </c>
      <c r="O2585" t="s">
        <v>97</v>
      </c>
    </row>
    <row r="2586" spans="1:15" x14ac:dyDescent="0.2">
      <c r="A2586">
        <v>85</v>
      </c>
      <c r="B2586">
        <v>86</v>
      </c>
      <c r="C2586">
        <v>85</v>
      </c>
      <c r="D2586">
        <v>84</v>
      </c>
      <c r="E2586" t="s">
        <v>5</v>
      </c>
      <c r="F2586" t="s">
        <v>271</v>
      </c>
      <c r="G2586">
        <v>96</v>
      </c>
      <c r="H2586" t="s">
        <v>152</v>
      </c>
      <c r="I2586">
        <v>0</v>
      </c>
      <c r="J2586">
        <v>0</v>
      </c>
      <c r="K2586" t="s">
        <v>153</v>
      </c>
      <c r="L2586" t="s">
        <v>154</v>
      </c>
      <c r="M2586" t="s">
        <v>155</v>
      </c>
      <c r="N2586" t="s">
        <v>107</v>
      </c>
      <c r="O2586" t="s">
        <v>97</v>
      </c>
    </row>
    <row r="2587" spans="1:15" x14ac:dyDescent="0.2">
      <c r="A2587">
        <v>85</v>
      </c>
      <c r="B2587">
        <v>86</v>
      </c>
      <c r="C2587">
        <v>85</v>
      </c>
      <c r="D2587">
        <v>84</v>
      </c>
      <c r="E2587" t="s">
        <v>5</v>
      </c>
      <c r="F2587" t="s">
        <v>271</v>
      </c>
      <c r="G2587">
        <v>101</v>
      </c>
      <c r="H2587" t="s">
        <v>208</v>
      </c>
      <c r="I2587">
        <v>0</v>
      </c>
      <c r="J2587">
        <v>1</v>
      </c>
      <c r="K2587" t="e">
        <v>#N/A</v>
      </c>
      <c r="L2587" t="e">
        <v>#N/A</v>
      </c>
      <c r="M2587" t="e">
        <v>#N/A</v>
      </c>
      <c r="N2587" t="e">
        <v>#N/A</v>
      </c>
      <c r="O2587" t="s">
        <v>97</v>
      </c>
    </row>
    <row r="2588" spans="1:15" x14ac:dyDescent="0.2">
      <c r="A2588">
        <v>85</v>
      </c>
      <c r="B2588">
        <v>86</v>
      </c>
      <c r="C2588">
        <v>85</v>
      </c>
      <c r="D2588">
        <v>84</v>
      </c>
      <c r="E2588" t="s">
        <v>5</v>
      </c>
      <c r="F2588" t="s">
        <v>271</v>
      </c>
      <c r="G2588">
        <v>102</v>
      </c>
      <c r="H2588" t="s">
        <v>209</v>
      </c>
      <c r="I2588">
        <v>1</v>
      </c>
      <c r="J2588">
        <v>1</v>
      </c>
      <c r="K2588" t="e">
        <v>#N/A</v>
      </c>
      <c r="L2588" t="e">
        <v>#N/A</v>
      </c>
      <c r="M2588" t="e">
        <v>#N/A</v>
      </c>
      <c r="N2588" t="e">
        <v>#N/A</v>
      </c>
      <c r="O2588" t="s">
        <v>97</v>
      </c>
    </row>
    <row r="2589" spans="1:15" x14ac:dyDescent="0.2">
      <c r="A2589">
        <v>85</v>
      </c>
      <c r="B2589">
        <v>86</v>
      </c>
      <c r="C2589">
        <v>85</v>
      </c>
      <c r="D2589">
        <v>84</v>
      </c>
      <c r="E2589" t="s">
        <v>5</v>
      </c>
      <c r="F2589" t="s">
        <v>271</v>
      </c>
      <c r="G2589">
        <v>103</v>
      </c>
      <c r="H2589" t="s">
        <v>210</v>
      </c>
      <c r="I2589">
        <v>0</v>
      </c>
      <c r="J2589">
        <v>1</v>
      </c>
      <c r="K2589" t="e">
        <v>#N/A</v>
      </c>
      <c r="L2589" t="e">
        <v>#N/A</v>
      </c>
      <c r="M2589" t="e">
        <v>#N/A</v>
      </c>
      <c r="N2589" t="e">
        <v>#N/A</v>
      </c>
      <c r="O2589" t="s">
        <v>97</v>
      </c>
    </row>
    <row r="2590" spans="1:15" x14ac:dyDescent="0.2">
      <c r="A2590">
        <v>160</v>
      </c>
      <c r="B2590">
        <v>161</v>
      </c>
      <c r="C2590">
        <v>160</v>
      </c>
      <c r="D2590">
        <v>159</v>
      </c>
      <c r="E2590" t="s">
        <v>5</v>
      </c>
      <c r="F2590" t="s">
        <v>26</v>
      </c>
      <c r="G2590">
        <v>52</v>
      </c>
      <c r="H2590" t="s">
        <v>200</v>
      </c>
      <c r="I2590">
        <v>0</v>
      </c>
      <c r="J2590" t="s">
        <v>275</v>
      </c>
      <c r="K2590" t="e">
        <v>#N/A</v>
      </c>
      <c r="L2590" t="e">
        <v>#N/A</v>
      </c>
      <c r="M2590" t="e">
        <v>#N/A</v>
      </c>
      <c r="N2590" t="e">
        <v>#N/A</v>
      </c>
      <c r="O2590" t="s">
        <v>97</v>
      </c>
    </row>
    <row r="2591" spans="1:15" x14ac:dyDescent="0.2">
      <c r="A2591">
        <v>160</v>
      </c>
      <c r="B2591">
        <v>161</v>
      </c>
      <c r="C2591">
        <v>160</v>
      </c>
      <c r="D2591">
        <v>159</v>
      </c>
      <c r="E2591" t="s">
        <v>5</v>
      </c>
      <c r="F2591" t="s">
        <v>26</v>
      </c>
      <c r="G2591">
        <v>53</v>
      </c>
      <c r="H2591" t="s">
        <v>201</v>
      </c>
      <c r="I2591">
        <v>0</v>
      </c>
      <c r="J2591" t="s">
        <v>276</v>
      </c>
      <c r="K2591" t="e">
        <v>#N/A</v>
      </c>
      <c r="L2591" t="e">
        <v>#N/A</v>
      </c>
      <c r="M2591" t="e">
        <v>#N/A</v>
      </c>
      <c r="N2591" t="e">
        <v>#N/A</v>
      </c>
      <c r="O2591" t="s">
        <v>97</v>
      </c>
    </row>
    <row r="2592" spans="1:15" x14ac:dyDescent="0.2">
      <c r="A2592">
        <v>160</v>
      </c>
      <c r="B2592">
        <v>161</v>
      </c>
      <c r="C2592">
        <v>160</v>
      </c>
      <c r="D2592">
        <v>159</v>
      </c>
      <c r="E2592" t="s">
        <v>5</v>
      </c>
      <c r="F2592" t="s">
        <v>26</v>
      </c>
      <c r="G2592">
        <v>54</v>
      </c>
      <c r="H2592" t="s">
        <v>203</v>
      </c>
      <c r="I2592">
        <v>0</v>
      </c>
      <c r="J2592">
        <v>0</v>
      </c>
      <c r="K2592" t="e">
        <v>#N/A</v>
      </c>
      <c r="L2592" t="e">
        <v>#N/A</v>
      </c>
      <c r="M2592" t="e">
        <v>#N/A</v>
      </c>
      <c r="N2592" t="e">
        <v>#N/A</v>
      </c>
      <c r="O2592" t="s">
        <v>97</v>
      </c>
    </row>
    <row r="2593" spans="1:15" x14ac:dyDescent="0.2">
      <c r="A2593">
        <v>160</v>
      </c>
      <c r="B2593">
        <v>161</v>
      </c>
      <c r="C2593">
        <v>160</v>
      </c>
      <c r="D2593">
        <v>159</v>
      </c>
      <c r="E2593" t="s">
        <v>5</v>
      </c>
      <c r="F2593" t="s">
        <v>26</v>
      </c>
      <c r="G2593">
        <v>99</v>
      </c>
      <c r="H2593" t="s">
        <v>152</v>
      </c>
      <c r="I2593">
        <v>0</v>
      </c>
      <c r="J2593">
        <v>0</v>
      </c>
      <c r="K2593" t="s">
        <v>153</v>
      </c>
      <c r="L2593" t="s">
        <v>154</v>
      </c>
      <c r="M2593" t="s">
        <v>155</v>
      </c>
      <c r="N2593" t="s">
        <v>107</v>
      </c>
      <c r="O2593" t="s">
        <v>97</v>
      </c>
    </row>
    <row r="2594" spans="1:15" x14ac:dyDescent="0.2">
      <c r="A2594">
        <v>160</v>
      </c>
      <c r="B2594">
        <v>161</v>
      </c>
      <c r="C2594">
        <v>160</v>
      </c>
      <c r="D2594">
        <v>159</v>
      </c>
      <c r="E2594" t="s">
        <v>5</v>
      </c>
      <c r="F2594" t="s">
        <v>26</v>
      </c>
      <c r="G2594">
        <v>98</v>
      </c>
      <c r="H2594" t="s">
        <v>204</v>
      </c>
      <c r="I2594">
        <v>0</v>
      </c>
      <c r="J2594">
        <v>1</v>
      </c>
      <c r="K2594" t="s">
        <v>122</v>
      </c>
      <c r="L2594" t="s">
        <v>205</v>
      </c>
      <c r="M2594" t="s">
        <v>206</v>
      </c>
      <c r="N2594" t="s">
        <v>207</v>
      </c>
      <c r="O2594" t="s">
        <v>97</v>
      </c>
    </row>
    <row r="2595" spans="1:15" x14ac:dyDescent="0.2">
      <c r="A2595">
        <v>160</v>
      </c>
      <c r="B2595">
        <v>161</v>
      </c>
      <c r="C2595">
        <v>160</v>
      </c>
      <c r="D2595">
        <v>159</v>
      </c>
      <c r="E2595" t="s">
        <v>5</v>
      </c>
      <c r="F2595" t="s">
        <v>26</v>
      </c>
      <c r="G2595">
        <v>97</v>
      </c>
      <c r="H2595" t="s">
        <v>152</v>
      </c>
      <c r="I2595">
        <v>0.25</v>
      </c>
      <c r="J2595">
        <v>0.25</v>
      </c>
      <c r="K2595" t="s">
        <v>153</v>
      </c>
      <c r="L2595" t="s">
        <v>154</v>
      </c>
      <c r="M2595" t="s">
        <v>155</v>
      </c>
      <c r="N2595" t="s">
        <v>107</v>
      </c>
      <c r="O2595" t="s">
        <v>97</v>
      </c>
    </row>
    <row r="2596" spans="1:15" x14ac:dyDescent="0.2">
      <c r="A2596">
        <v>160</v>
      </c>
      <c r="B2596">
        <v>161</v>
      </c>
      <c r="C2596">
        <v>160</v>
      </c>
      <c r="D2596">
        <v>159</v>
      </c>
      <c r="E2596" t="s">
        <v>5</v>
      </c>
      <c r="F2596" t="s">
        <v>26</v>
      </c>
      <c r="G2596">
        <v>96</v>
      </c>
      <c r="H2596" t="s">
        <v>152</v>
      </c>
      <c r="I2596">
        <v>0</v>
      </c>
      <c r="J2596">
        <v>0</v>
      </c>
      <c r="K2596" t="s">
        <v>153</v>
      </c>
      <c r="L2596" t="s">
        <v>154</v>
      </c>
      <c r="M2596" t="s">
        <v>155</v>
      </c>
      <c r="N2596" t="s">
        <v>107</v>
      </c>
      <c r="O2596" t="s">
        <v>97</v>
      </c>
    </row>
    <row r="2597" spans="1:15" x14ac:dyDescent="0.2">
      <c r="A2597">
        <v>160</v>
      </c>
      <c r="B2597">
        <v>161</v>
      </c>
      <c r="C2597">
        <v>160</v>
      </c>
      <c r="D2597">
        <v>159</v>
      </c>
      <c r="E2597" t="s">
        <v>5</v>
      </c>
      <c r="F2597" t="s">
        <v>26</v>
      </c>
      <c r="G2597">
        <v>101</v>
      </c>
      <c r="H2597" t="s">
        <v>208</v>
      </c>
      <c r="I2597">
        <v>1</v>
      </c>
      <c r="J2597">
        <v>1</v>
      </c>
      <c r="K2597" t="e">
        <v>#N/A</v>
      </c>
      <c r="L2597" t="e">
        <v>#N/A</v>
      </c>
      <c r="M2597" t="e">
        <v>#N/A</v>
      </c>
      <c r="N2597" t="e">
        <v>#N/A</v>
      </c>
      <c r="O2597" t="s">
        <v>97</v>
      </c>
    </row>
    <row r="2598" spans="1:15" x14ac:dyDescent="0.2">
      <c r="A2598">
        <v>160</v>
      </c>
      <c r="B2598">
        <v>161</v>
      </c>
      <c r="C2598">
        <v>160</v>
      </c>
      <c r="D2598">
        <v>159</v>
      </c>
      <c r="E2598" t="s">
        <v>5</v>
      </c>
      <c r="F2598" t="s">
        <v>26</v>
      </c>
      <c r="G2598">
        <v>102</v>
      </c>
      <c r="H2598" t="s">
        <v>209</v>
      </c>
      <c r="I2598">
        <v>1</v>
      </c>
      <c r="J2598">
        <v>1</v>
      </c>
      <c r="K2598" t="e">
        <v>#N/A</v>
      </c>
      <c r="L2598" t="e">
        <v>#N/A</v>
      </c>
      <c r="M2598" t="e">
        <v>#N/A</v>
      </c>
      <c r="N2598" t="e">
        <v>#N/A</v>
      </c>
      <c r="O2598" t="s">
        <v>97</v>
      </c>
    </row>
    <row r="2599" spans="1:15" x14ac:dyDescent="0.2">
      <c r="A2599">
        <v>160</v>
      </c>
      <c r="B2599">
        <v>161</v>
      </c>
      <c r="C2599">
        <v>160</v>
      </c>
      <c r="D2599">
        <v>159</v>
      </c>
      <c r="E2599" t="s">
        <v>5</v>
      </c>
      <c r="F2599" t="s">
        <v>26</v>
      </c>
      <c r="G2599">
        <v>103</v>
      </c>
      <c r="H2599" t="s">
        <v>210</v>
      </c>
      <c r="I2599">
        <v>0</v>
      </c>
      <c r="J2599">
        <v>1</v>
      </c>
      <c r="K2599" t="e">
        <v>#N/A</v>
      </c>
      <c r="L2599" t="e">
        <v>#N/A</v>
      </c>
      <c r="M2599" t="e">
        <v>#N/A</v>
      </c>
      <c r="N2599" t="e">
        <v>#N/A</v>
      </c>
      <c r="O2599" t="s">
        <v>97</v>
      </c>
    </row>
    <row r="2600" spans="1:15" x14ac:dyDescent="0.2">
      <c r="A2600">
        <v>160</v>
      </c>
      <c r="B2600">
        <v>161</v>
      </c>
      <c r="C2600">
        <v>160</v>
      </c>
      <c r="D2600">
        <v>159</v>
      </c>
      <c r="E2600" t="s">
        <v>5</v>
      </c>
      <c r="F2600" t="s">
        <v>26</v>
      </c>
      <c r="G2600">
        <v>1</v>
      </c>
      <c r="H2600" t="s">
        <v>92</v>
      </c>
      <c r="I2600">
        <v>0.2</v>
      </c>
      <c r="J2600">
        <v>0.2</v>
      </c>
      <c r="K2600" t="s">
        <v>93</v>
      </c>
      <c r="L2600" t="s">
        <v>94</v>
      </c>
      <c r="M2600" t="s">
        <v>95</v>
      </c>
      <c r="N2600" t="s">
        <v>96</v>
      </c>
      <c r="O2600" t="s">
        <v>97</v>
      </c>
    </row>
    <row r="2601" spans="1:15" x14ac:dyDescent="0.2">
      <c r="A2601">
        <v>160</v>
      </c>
      <c r="B2601">
        <v>161</v>
      </c>
      <c r="C2601">
        <v>160</v>
      </c>
      <c r="D2601">
        <v>159</v>
      </c>
      <c r="E2601" t="s">
        <v>5</v>
      </c>
      <c r="F2601" t="s">
        <v>26</v>
      </c>
      <c r="G2601">
        <v>2</v>
      </c>
      <c r="H2601" t="s">
        <v>98</v>
      </c>
      <c r="I2601">
        <v>0.25</v>
      </c>
      <c r="J2601">
        <v>0.5</v>
      </c>
      <c r="K2601" t="s">
        <v>93</v>
      </c>
      <c r="L2601" t="s">
        <v>99</v>
      </c>
      <c r="M2601" t="s">
        <v>95</v>
      </c>
      <c r="N2601" t="s">
        <v>96</v>
      </c>
      <c r="O2601" t="s">
        <v>97</v>
      </c>
    </row>
    <row r="2602" spans="1:15" x14ac:dyDescent="0.2">
      <c r="A2602">
        <v>160</v>
      </c>
      <c r="B2602">
        <v>161</v>
      </c>
      <c r="C2602">
        <v>160</v>
      </c>
      <c r="D2602">
        <v>159</v>
      </c>
      <c r="E2602" t="s">
        <v>5</v>
      </c>
      <c r="F2602" t="s">
        <v>26</v>
      </c>
      <c r="G2602">
        <v>3</v>
      </c>
      <c r="H2602" t="s">
        <v>100</v>
      </c>
      <c r="I2602">
        <v>0</v>
      </c>
      <c r="J2602">
        <v>1</v>
      </c>
      <c r="K2602" t="s">
        <v>101</v>
      </c>
      <c r="L2602" t="s">
        <v>102</v>
      </c>
      <c r="M2602" t="s">
        <v>103</v>
      </c>
      <c r="N2602" t="s">
        <v>96</v>
      </c>
      <c r="O2602" t="s">
        <v>97</v>
      </c>
    </row>
    <row r="2603" spans="1:15" x14ac:dyDescent="0.2">
      <c r="A2603">
        <v>160</v>
      </c>
      <c r="B2603">
        <v>161</v>
      </c>
      <c r="C2603">
        <v>160</v>
      </c>
      <c r="D2603">
        <v>159</v>
      </c>
      <c r="E2603" t="s">
        <v>5</v>
      </c>
      <c r="F2603" t="s">
        <v>26</v>
      </c>
      <c r="G2603">
        <v>4</v>
      </c>
      <c r="H2603" t="s">
        <v>104</v>
      </c>
      <c r="I2603">
        <v>0</v>
      </c>
      <c r="J2603">
        <v>1</v>
      </c>
      <c r="K2603" t="s">
        <v>101</v>
      </c>
      <c r="L2603" t="s">
        <v>105</v>
      </c>
      <c r="M2603" t="s">
        <v>106</v>
      </c>
      <c r="N2603" t="s">
        <v>107</v>
      </c>
      <c r="O2603" t="s">
        <v>97</v>
      </c>
    </row>
    <row r="2604" spans="1:15" x14ac:dyDescent="0.2">
      <c r="A2604">
        <v>160</v>
      </c>
      <c r="B2604">
        <v>161</v>
      </c>
      <c r="C2604">
        <v>160</v>
      </c>
      <c r="D2604">
        <v>159</v>
      </c>
      <c r="E2604" t="s">
        <v>5</v>
      </c>
      <c r="F2604" t="s">
        <v>26</v>
      </c>
      <c r="G2604">
        <v>5</v>
      </c>
      <c r="H2604" t="s">
        <v>108</v>
      </c>
      <c r="I2604">
        <v>0</v>
      </c>
      <c r="J2604">
        <v>1</v>
      </c>
      <c r="K2604" t="s">
        <v>101</v>
      </c>
      <c r="L2604" t="s">
        <v>109</v>
      </c>
      <c r="M2604" t="s">
        <v>110</v>
      </c>
      <c r="N2604" t="s">
        <v>107</v>
      </c>
      <c r="O2604" t="s">
        <v>97</v>
      </c>
    </row>
    <row r="2605" spans="1:15" x14ac:dyDescent="0.2">
      <c r="A2605">
        <v>160</v>
      </c>
      <c r="B2605">
        <v>161</v>
      </c>
      <c r="C2605">
        <v>160</v>
      </c>
      <c r="D2605">
        <v>159</v>
      </c>
      <c r="E2605" t="s">
        <v>5</v>
      </c>
      <c r="F2605" t="s">
        <v>26</v>
      </c>
      <c r="G2605">
        <v>9</v>
      </c>
      <c r="H2605" t="s">
        <v>111</v>
      </c>
      <c r="I2605">
        <v>0.5</v>
      </c>
      <c r="J2605">
        <v>0.5</v>
      </c>
      <c r="K2605" t="s">
        <v>112</v>
      </c>
      <c r="L2605" t="s">
        <v>113</v>
      </c>
      <c r="M2605" t="s">
        <v>114</v>
      </c>
      <c r="N2605" t="s">
        <v>96</v>
      </c>
      <c r="O2605" t="s">
        <v>97</v>
      </c>
    </row>
    <row r="2606" spans="1:15" x14ac:dyDescent="0.2">
      <c r="A2606">
        <v>160</v>
      </c>
      <c r="B2606">
        <v>161</v>
      </c>
      <c r="C2606">
        <v>160</v>
      </c>
      <c r="D2606">
        <v>159</v>
      </c>
      <c r="E2606" t="s">
        <v>5</v>
      </c>
      <c r="F2606" t="s">
        <v>26</v>
      </c>
      <c r="G2606">
        <v>10</v>
      </c>
      <c r="H2606" t="s">
        <v>115</v>
      </c>
      <c r="I2606">
        <v>0.25</v>
      </c>
      <c r="J2606">
        <v>0.5</v>
      </c>
      <c r="K2606" t="s">
        <v>112</v>
      </c>
      <c r="L2606" t="s">
        <v>116</v>
      </c>
      <c r="M2606" t="s">
        <v>117</v>
      </c>
      <c r="N2606" t="s">
        <v>96</v>
      </c>
      <c r="O2606" t="s">
        <v>97</v>
      </c>
    </row>
    <row r="2607" spans="1:15" x14ac:dyDescent="0.2">
      <c r="A2607">
        <v>160</v>
      </c>
      <c r="B2607">
        <v>161</v>
      </c>
      <c r="C2607">
        <v>160</v>
      </c>
      <c r="D2607">
        <v>159</v>
      </c>
      <c r="E2607" t="s">
        <v>5</v>
      </c>
      <c r="F2607" t="s">
        <v>26</v>
      </c>
      <c r="G2607">
        <v>11</v>
      </c>
      <c r="H2607" t="s">
        <v>118</v>
      </c>
      <c r="I2607">
        <v>1</v>
      </c>
      <c r="J2607">
        <v>1</v>
      </c>
      <c r="K2607" t="s">
        <v>112</v>
      </c>
      <c r="L2607" t="s">
        <v>119</v>
      </c>
      <c r="M2607" t="s">
        <v>120</v>
      </c>
      <c r="N2607" t="s">
        <v>107</v>
      </c>
      <c r="O2607" t="s">
        <v>97</v>
      </c>
    </row>
    <row r="2608" spans="1:15" x14ac:dyDescent="0.2">
      <c r="A2608">
        <v>160</v>
      </c>
      <c r="B2608">
        <v>161</v>
      </c>
      <c r="C2608">
        <v>160</v>
      </c>
      <c r="D2608">
        <v>159</v>
      </c>
      <c r="E2608" t="s">
        <v>5</v>
      </c>
      <c r="F2608" t="s">
        <v>26</v>
      </c>
      <c r="G2608">
        <v>12</v>
      </c>
      <c r="H2608" t="s">
        <v>121</v>
      </c>
      <c r="I2608">
        <v>0.5</v>
      </c>
      <c r="J2608">
        <v>0.5</v>
      </c>
      <c r="K2608" t="s">
        <v>122</v>
      </c>
      <c r="L2608" t="s">
        <v>113</v>
      </c>
      <c r="M2608" t="s">
        <v>123</v>
      </c>
      <c r="N2608" t="s">
        <v>96</v>
      </c>
      <c r="O2608" t="s">
        <v>97</v>
      </c>
    </row>
    <row r="2609" spans="1:15" x14ac:dyDescent="0.2">
      <c r="A2609">
        <v>160</v>
      </c>
      <c r="B2609">
        <v>161</v>
      </c>
      <c r="C2609">
        <v>160</v>
      </c>
      <c r="D2609">
        <v>159</v>
      </c>
      <c r="E2609" t="s">
        <v>5</v>
      </c>
      <c r="F2609" t="s">
        <v>26</v>
      </c>
      <c r="G2609">
        <v>13</v>
      </c>
      <c r="H2609" t="s">
        <v>124</v>
      </c>
      <c r="I2609">
        <v>0</v>
      </c>
      <c r="J2609">
        <v>0.5</v>
      </c>
      <c r="K2609" t="s">
        <v>122</v>
      </c>
      <c r="L2609" t="s">
        <v>125</v>
      </c>
      <c r="M2609" t="s">
        <v>126</v>
      </c>
      <c r="N2609" t="s">
        <v>96</v>
      </c>
      <c r="O2609" t="s">
        <v>97</v>
      </c>
    </row>
    <row r="2610" spans="1:15" x14ac:dyDescent="0.2">
      <c r="A2610">
        <v>160</v>
      </c>
      <c r="B2610">
        <v>161</v>
      </c>
      <c r="C2610">
        <v>160</v>
      </c>
      <c r="D2610">
        <v>159</v>
      </c>
      <c r="E2610" t="s">
        <v>5</v>
      </c>
      <c r="F2610" t="s">
        <v>26</v>
      </c>
      <c r="G2610">
        <v>14</v>
      </c>
      <c r="H2610" t="s">
        <v>127</v>
      </c>
      <c r="I2610">
        <v>1</v>
      </c>
      <c r="J2610">
        <v>1</v>
      </c>
      <c r="K2610" t="s">
        <v>122</v>
      </c>
      <c r="L2610" t="s">
        <v>119</v>
      </c>
      <c r="M2610" t="s">
        <v>128</v>
      </c>
      <c r="N2610" t="s">
        <v>107</v>
      </c>
      <c r="O2610" t="s">
        <v>97</v>
      </c>
    </row>
    <row r="2611" spans="1:15" x14ac:dyDescent="0.2">
      <c r="A2611">
        <v>160</v>
      </c>
      <c r="B2611">
        <v>161</v>
      </c>
      <c r="C2611">
        <v>160</v>
      </c>
      <c r="D2611">
        <v>159</v>
      </c>
      <c r="E2611" t="s">
        <v>5</v>
      </c>
      <c r="F2611" t="s">
        <v>26</v>
      </c>
      <c r="G2611">
        <v>15</v>
      </c>
      <c r="H2611" t="s">
        <v>129</v>
      </c>
      <c r="I2611">
        <v>0</v>
      </c>
      <c r="J2611">
        <v>1</v>
      </c>
      <c r="K2611" t="s">
        <v>130</v>
      </c>
      <c r="L2611" t="s">
        <v>131</v>
      </c>
      <c r="M2611" t="s">
        <v>132</v>
      </c>
      <c r="N2611" t="s">
        <v>107</v>
      </c>
      <c r="O2611" t="s">
        <v>97</v>
      </c>
    </row>
    <row r="2612" spans="1:15" x14ac:dyDescent="0.2">
      <c r="A2612">
        <v>160</v>
      </c>
      <c r="B2612">
        <v>161</v>
      </c>
      <c r="C2612">
        <v>160</v>
      </c>
      <c r="D2612">
        <v>159</v>
      </c>
      <c r="E2612" t="s">
        <v>5</v>
      </c>
      <c r="F2612" t="s">
        <v>26</v>
      </c>
      <c r="G2612">
        <v>16</v>
      </c>
      <c r="H2612" t="s">
        <v>133</v>
      </c>
      <c r="I2612">
        <v>0</v>
      </c>
      <c r="J2612">
        <v>0</v>
      </c>
      <c r="K2612" t="e">
        <v>#N/A</v>
      </c>
      <c r="L2612" t="e">
        <v>#N/A</v>
      </c>
      <c r="M2612" t="e">
        <v>#N/A</v>
      </c>
      <c r="N2612" t="e">
        <v>#N/A</v>
      </c>
      <c r="O2612" t="s">
        <v>97</v>
      </c>
    </row>
    <row r="2613" spans="1:15" x14ac:dyDescent="0.2">
      <c r="A2613">
        <v>160</v>
      </c>
      <c r="B2613">
        <v>161</v>
      </c>
      <c r="C2613">
        <v>160</v>
      </c>
      <c r="D2613">
        <v>159</v>
      </c>
      <c r="E2613" t="s">
        <v>5</v>
      </c>
      <c r="F2613" t="s">
        <v>26</v>
      </c>
      <c r="G2613">
        <v>17</v>
      </c>
      <c r="H2613" t="s">
        <v>134</v>
      </c>
      <c r="I2613">
        <v>1</v>
      </c>
      <c r="J2613">
        <v>1</v>
      </c>
      <c r="K2613" t="s">
        <v>112</v>
      </c>
      <c r="L2613" t="s">
        <v>135</v>
      </c>
      <c r="M2613" t="s">
        <v>136</v>
      </c>
      <c r="N2613" t="s">
        <v>107</v>
      </c>
      <c r="O2613" t="s">
        <v>97</v>
      </c>
    </row>
    <row r="2614" spans="1:15" x14ac:dyDescent="0.2">
      <c r="A2614">
        <v>160</v>
      </c>
      <c r="B2614">
        <v>161</v>
      </c>
      <c r="C2614">
        <v>160</v>
      </c>
      <c r="D2614">
        <v>159</v>
      </c>
      <c r="E2614" t="s">
        <v>5</v>
      </c>
      <c r="F2614" t="s">
        <v>26</v>
      </c>
      <c r="G2614">
        <v>18</v>
      </c>
      <c r="H2614" t="s">
        <v>137</v>
      </c>
      <c r="I2614">
        <v>1</v>
      </c>
      <c r="J2614">
        <v>1</v>
      </c>
      <c r="K2614" t="s">
        <v>112</v>
      </c>
      <c r="L2614" t="s">
        <v>138</v>
      </c>
      <c r="M2614" t="s">
        <v>139</v>
      </c>
      <c r="N2614" t="s">
        <v>107</v>
      </c>
      <c r="O2614" t="s">
        <v>97</v>
      </c>
    </row>
    <row r="2615" spans="1:15" x14ac:dyDescent="0.2">
      <c r="A2615">
        <v>160</v>
      </c>
      <c r="B2615">
        <v>161</v>
      </c>
      <c r="C2615">
        <v>160</v>
      </c>
      <c r="D2615">
        <v>159</v>
      </c>
      <c r="E2615" t="s">
        <v>5</v>
      </c>
      <c r="F2615" t="s">
        <v>26</v>
      </c>
      <c r="G2615">
        <v>19</v>
      </c>
      <c r="H2615" t="s">
        <v>140</v>
      </c>
      <c r="I2615">
        <v>0.5</v>
      </c>
      <c r="J2615">
        <v>1</v>
      </c>
      <c r="K2615" t="s">
        <v>122</v>
      </c>
      <c r="L2615" t="s">
        <v>141</v>
      </c>
      <c r="M2615" t="s">
        <v>142</v>
      </c>
      <c r="N2615" t="s">
        <v>107</v>
      </c>
      <c r="O2615" t="s">
        <v>97</v>
      </c>
    </row>
    <row r="2616" spans="1:15" x14ac:dyDescent="0.2">
      <c r="A2616">
        <v>160</v>
      </c>
      <c r="B2616">
        <v>161</v>
      </c>
      <c r="C2616">
        <v>160</v>
      </c>
      <c r="D2616">
        <v>159</v>
      </c>
      <c r="E2616" t="s">
        <v>5</v>
      </c>
      <c r="F2616" t="s">
        <v>26</v>
      </c>
      <c r="G2616">
        <v>20</v>
      </c>
      <c r="H2616" t="s">
        <v>143</v>
      </c>
      <c r="I2616">
        <v>1</v>
      </c>
      <c r="J2616">
        <v>1</v>
      </c>
      <c r="K2616" t="s">
        <v>122</v>
      </c>
      <c r="L2616" t="s">
        <v>144</v>
      </c>
      <c r="M2616" t="s">
        <v>145</v>
      </c>
      <c r="N2616" t="s">
        <v>107</v>
      </c>
      <c r="O2616" t="s">
        <v>97</v>
      </c>
    </row>
    <row r="2617" spans="1:15" x14ac:dyDescent="0.2">
      <c r="A2617">
        <v>160</v>
      </c>
      <c r="B2617">
        <v>161</v>
      </c>
      <c r="C2617">
        <v>160</v>
      </c>
      <c r="D2617">
        <v>159</v>
      </c>
      <c r="E2617" t="s">
        <v>5</v>
      </c>
      <c r="F2617" t="s">
        <v>26</v>
      </c>
      <c r="G2617">
        <v>21</v>
      </c>
      <c r="H2617" t="s">
        <v>146</v>
      </c>
      <c r="I2617">
        <v>1</v>
      </c>
      <c r="J2617">
        <v>1</v>
      </c>
      <c r="K2617" t="s">
        <v>147</v>
      </c>
      <c r="L2617" t="s">
        <v>148</v>
      </c>
      <c r="M2617" t="s">
        <v>149</v>
      </c>
      <c r="N2617" t="s">
        <v>96</v>
      </c>
      <c r="O2617" t="s">
        <v>97</v>
      </c>
    </row>
    <row r="2618" spans="1:15" x14ac:dyDescent="0.2">
      <c r="A2618">
        <v>160</v>
      </c>
      <c r="B2618">
        <v>161</v>
      </c>
      <c r="C2618">
        <v>160</v>
      </c>
      <c r="D2618">
        <v>159</v>
      </c>
      <c r="E2618" t="s">
        <v>5</v>
      </c>
      <c r="F2618" t="s">
        <v>26</v>
      </c>
      <c r="G2618">
        <v>22</v>
      </c>
      <c r="H2618" t="s">
        <v>150</v>
      </c>
      <c r="I2618">
        <v>0.5</v>
      </c>
      <c r="J2618">
        <v>1</v>
      </c>
      <c r="K2618" t="s">
        <v>147</v>
      </c>
      <c r="L2618" t="s">
        <v>151</v>
      </c>
      <c r="M2618" t="s">
        <v>149</v>
      </c>
      <c r="N2618" t="s">
        <v>107</v>
      </c>
      <c r="O2618" t="s">
        <v>97</v>
      </c>
    </row>
    <row r="2619" spans="1:15" x14ac:dyDescent="0.2">
      <c r="A2619">
        <v>160</v>
      </c>
      <c r="B2619">
        <v>161</v>
      </c>
      <c r="C2619">
        <v>160</v>
      </c>
      <c r="D2619">
        <v>159</v>
      </c>
      <c r="E2619" t="s">
        <v>5</v>
      </c>
      <c r="F2619" t="s">
        <v>26</v>
      </c>
      <c r="G2619">
        <v>23</v>
      </c>
      <c r="H2619" t="s">
        <v>152</v>
      </c>
      <c r="I2619">
        <v>0</v>
      </c>
      <c r="J2619">
        <v>0</v>
      </c>
      <c r="K2619" t="s">
        <v>153</v>
      </c>
      <c r="L2619" t="s">
        <v>154</v>
      </c>
      <c r="M2619" t="s">
        <v>155</v>
      </c>
      <c r="N2619" t="s">
        <v>107</v>
      </c>
      <c r="O2619" t="s">
        <v>97</v>
      </c>
    </row>
    <row r="2620" spans="1:15" x14ac:dyDescent="0.2">
      <c r="A2620">
        <v>160</v>
      </c>
      <c r="B2620">
        <v>161</v>
      </c>
      <c r="C2620">
        <v>160</v>
      </c>
      <c r="D2620">
        <v>159</v>
      </c>
      <c r="E2620" t="s">
        <v>5</v>
      </c>
      <c r="F2620" t="s">
        <v>26</v>
      </c>
      <c r="G2620">
        <v>24</v>
      </c>
      <c r="H2620" t="s">
        <v>156</v>
      </c>
      <c r="I2620">
        <v>0.5</v>
      </c>
      <c r="J2620">
        <v>0.5</v>
      </c>
      <c r="K2620" t="s">
        <v>122</v>
      </c>
      <c r="L2620" t="s">
        <v>157</v>
      </c>
      <c r="M2620" t="s">
        <v>158</v>
      </c>
      <c r="N2620" t="s">
        <v>107</v>
      </c>
      <c r="O2620" t="s">
        <v>97</v>
      </c>
    </row>
    <row r="2621" spans="1:15" x14ac:dyDescent="0.2">
      <c r="A2621">
        <v>160</v>
      </c>
      <c r="B2621">
        <v>161</v>
      </c>
      <c r="C2621">
        <v>160</v>
      </c>
      <c r="D2621">
        <v>159</v>
      </c>
      <c r="E2621" t="s">
        <v>5</v>
      </c>
      <c r="F2621" t="s">
        <v>26</v>
      </c>
      <c r="G2621">
        <v>25</v>
      </c>
      <c r="H2621" t="s">
        <v>156</v>
      </c>
      <c r="I2621">
        <v>0.5</v>
      </c>
      <c r="J2621">
        <v>0.5</v>
      </c>
      <c r="K2621" t="s">
        <v>122</v>
      </c>
      <c r="L2621" t="s">
        <v>157</v>
      </c>
      <c r="M2621" t="s">
        <v>158</v>
      </c>
      <c r="N2621" t="s">
        <v>107</v>
      </c>
      <c r="O2621" t="s">
        <v>97</v>
      </c>
    </row>
    <row r="2622" spans="1:15" x14ac:dyDescent="0.2">
      <c r="A2622">
        <v>160</v>
      </c>
      <c r="B2622">
        <v>161</v>
      </c>
      <c r="C2622">
        <v>160</v>
      </c>
      <c r="D2622">
        <v>159</v>
      </c>
      <c r="E2622" t="s">
        <v>5</v>
      </c>
      <c r="F2622" t="s">
        <v>26</v>
      </c>
      <c r="G2622">
        <v>26</v>
      </c>
      <c r="H2622" t="s">
        <v>152</v>
      </c>
      <c r="I2622">
        <v>0</v>
      </c>
      <c r="J2622">
        <v>0</v>
      </c>
      <c r="K2622" t="s">
        <v>153</v>
      </c>
      <c r="L2622" t="s">
        <v>154</v>
      </c>
      <c r="M2622" t="s">
        <v>155</v>
      </c>
      <c r="N2622" t="s">
        <v>107</v>
      </c>
      <c r="O2622" t="s">
        <v>97</v>
      </c>
    </row>
    <row r="2623" spans="1:15" x14ac:dyDescent="0.2">
      <c r="A2623">
        <v>160</v>
      </c>
      <c r="B2623">
        <v>161</v>
      </c>
      <c r="C2623">
        <v>160</v>
      </c>
      <c r="D2623">
        <v>159</v>
      </c>
      <c r="E2623" t="s">
        <v>5</v>
      </c>
      <c r="F2623" t="s">
        <v>26</v>
      </c>
      <c r="G2623">
        <v>27</v>
      </c>
      <c r="H2623" t="s">
        <v>159</v>
      </c>
      <c r="I2623">
        <v>0.5</v>
      </c>
      <c r="J2623">
        <v>0.5</v>
      </c>
      <c r="K2623" t="s">
        <v>122</v>
      </c>
      <c r="L2623" t="s">
        <v>160</v>
      </c>
      <c r="M2623" t="s">
        <v>161</v>
      </c>
      <c r="N2623" t="s">
        <v>107</v>
      </c>
      <c r="O2623" t="s">
        <v>97</v>
      </c>
    </row>
    <row r="2624" spans="1:15" x14ac:dyDescent="0.2">
      <c r="A2624">
        <v>160</v>
      </c>
      <c r="B2624">
        <v>161</v>
      </c>
      <c r="C2624">
        <v>160</v>
      </c>
      <c r="D2624">
        <v>159</v>
      </c>
      <c r="E2624" t="s">
        <v>5</v>
      </c>
      <c r="F2624" t="s">
        <v>26</v>
      </c>
      <c r="G2624">
        <v>28</v>
      </c>
      <c r="H2624" t="s">
        <v>159</v>
      </c>
      <c r="I2624">
        <v>0</v>
      </c>
      <c r="J2624">
        <v>0.5</v>
      </c>
      <c r="K2624" t="s">
        <v>122</v>
      </c>
      <c r="L2624" t="s">
        <v>160</v>
      </c>
      <c r="M2624" t="s">
        <v>161</v>
      </c>
      <c r="N2624" t="s">
        <v>107</v>
      </c>
      <c r="O2624" t="s">
        <v>97</v>
      </c>
    </row>
    <row r="2625" spans="1:15" x14ac:dyDescent="0.2">
      <c r="A2625">
        <v>160</v>
      </c>
      <c r="B2625">
        <v>161</v>
      </c>
      <c r="C2625">
        <v>160</v>
      </c>
      <c r="D2625">
        <v>159</v>
      </c>
      <c r="E2625" t="s">
        <v>5</v>
      </c>
      <c r="F2625" t="s">
        <v>26</v>
      </c>
      <c r="G2625">
        <v>29</v>
      </c>
      <c r="H2625" t="s">
        <v>152</v>
      </c>
      <c r="I2625">
        <v>0</v>
      </c>
      <c r="J2625">
        <v>0</v>
      </c>
      <c r="K2625" t="s">
        <v>153</v>
      </c>
      <c r="L2625" t="s">
        <v>154</v>
      </c>
      <c r="M2625" t="s">
        <v>155</v>
      </c>
      <c r="N2625" t="s">
        <v>107</v>
      </c>
      <c r="O2625" t="s">
        <v>97</v>
      </c>
    </row>
    <row r="2626" spans="1:15" x14ac:dyDescent="0.2">
      <c r="A2626">
        <v>160</v>
      </c>
      <c r="B2626">
        <v>161</v>
      </c>
      <c r="C2626">
        <v>160</v>
      </c>
      <c r="D2626">
        <v>159</v>
      </c>
      <c r="E2626" t="s">
        <v>5</v>
      </c>
      <c r="F2626" t="s">
        <v>26</v>
      </c>
      <c r="G2626">
        <v>30</v>
      </c>
      <c r="H2626" t="s">
        <v>162</v>
      </c>
      <c r="I2626">
        <v>0.5</v>
      </c>
      <c r="J2626">
        <v>1</v>
      </c>
      <c r="K2626" t="s">
        <v>112</v>
      </c>
      <c r="L2626" t="s">
        <v>163</v>
      </c>
      <c r="M2626" t="s">
        <v>164</v>
      </c>
      <c r="N2626" t="s">
        <v>107</v>
      </c>
      <c r="O2626" t="s">
        <v>97</v>
      </c>
    </row>
    <row r="2627" spans="1:15" x14ac:dyDescent="0.2">
      <c r="A2627">
        <v>160</v>
      </c>
      <c r="B2627">
        <v>161</v>
      </c>
      <c r="C2627">
        <v>160</v>
      </c>
      <c r="D2627">
        <v>159</v>
      </c>
      <c r="E2627" t="s">
        <v>5</v>
      </c>
      <c r="F2627" t="s">
        <v>26</v>
      </c>
      <c r="G2627">
        <v>31</v>
      </c>
      <c r="H2627" t="s">
        <v>162</v>
      </c>
      <c r="I2627">
        <v>0</v>
      </c>
      <c r="J2627">
        <v>0</v>
      </c>
      <c r="K2627" t="s">
        <v>112</v>
      </c>
      <c r="L2627" t="s">
        <v>163</v>
      </c>
      <c r="M2627" t="s">
        <v>164</v>
      </c>
      <c r="N2627" t="s">
        <v>107</v>
      </c>
      <c r="O2627" t="s">
        <v>97</v>
      </c>
    </row>
    <row r="2628" spans="1:15" x14ac:dyDescent="0.2">
      <c r="A2628">
        <v>160</v>
      </c>
      <c r="B2628">
        <v>161</v>
      </c>
      <c r="C2628">
        <v>160</v>
      </c>
      <c r="D2628">
        <v>159</v>
      </c>
      <c r="E2628" t="s">
        <v>5</v>
      </c>
      <c r="F2628" t="s">
        <v>26</v>
      </c>
      <c r="G2628">
        <v>32</v>
      </c>
      <c r="H2628" t="s">
        <v>162</v>
      </c>
      <c r="I2628">
        <v>0</v>
      </c>
      <c r="J2628">
        <v>0</v>
      </c>
      <c r="K2628" t="s">
        <v>112</v>
      </c>
      <c r="L2628" t="s">
        <v>163</v>
      </c>
      <c r="M2628" t="s">
        <v>164</v>
      </c>
      <c r="N2628" t="s">
        <v>107</v>
      </c>
      <c r="O2628" t="s">
        <v>97</v>
      </c>
    </row>
    <row r="2629" spans="1:15" x14ac:dyDescent="0.2">
      <c r="A2629">
        <v>160</v>
      </c>
      <c r="B2629">
        <v>161</v>
      </c>
      <c r="C2629">
        <v>160</v>
      </c>
      <c r="D2629">
        <v>159</v>
      </c>
      <c r="E2629" t="s">
        <v>5</v>
      </c>
      <c r="F2629" t="s">
        <v>26</v>
      </c>
      <c r="G2629">
        <v>33</v>
      </c>
      <c r="H2629" t="s">
        <v>152</v>
      </c>
      <c r="I2629">
        <v>1</v>
      </c>
      <c r="J2629">
        <v>1</v>
      </c>
      <c r="K2629" t="s">
        <v>153</v>
      </c>
      <c r="L2629" t="s">
        <v>154</v>
      </c>
      <c r="M2629" t="s">
        <v>155</v>
      </c>
      <c r="N2629" t="s">
        <v>107</v>
      </c>
      <c r="O2629" t="s">
        <v>97</v>
      </c>
    </row>
    <row r="2630" spans="1:15" x14ac:dyDescent="0.2">
      <c r="A2630">
        <v>160</v>
      </c>
      <c r="B2630">
        <v>161</v>
      </c>
      <c r="C2630">
        <v>160</v>
      </c>
      <c r="D2630">
        <v>159</v>
      </c>
      <c r="E2630" t="s">
        <v>5</v>
      </c>
      <c r="F2630" t="s">
        <v>26</v>
      </c>
      <c r="G2630">
        <v>34</v>
      </c>
      <c r="H2630" t="s">
        <v>152</v>
      </c>
      <c r="I2630">
        <v>0</v>
      </c>
      <c r="J2630">
        <v>0</v>
      </c>
      <c r="K2630" t="s">
        <v>153</v>
      </c>
      <c r="L2630" t="s">
        <v>154</v>
      </c>
      <c r="M2630" t="s">
        <v>155</v>
      </c>
      <c r="N2630" t="s">
        <v>107</v>
      </c>
      <c r="O2630" t="s">
        <v>97</v>
      </c>
    </row>
    <row r="2631" spans="1:15" x14ac:dyDescent="0.2">
      <c r="A2631">
        <v>160</v>
      </c>
      <c r="B2631">
        <v>161</v>
      </c>
      <c r="C2631">
        <v>160</v>
      </c>
      <c r="D2631">
        <v>159</v>
      </c>
      <c r="E2631" t="s">
        <v>5</v>
      </c>
      <c r="F2631" t="s">
        <v>26</v>
      </c>
      <c r="G2631">
        <v>35</v>
      </c>
      <c r="H2631" t="s">
        <v>165</v>
      </c>
      <c r="I2631">
        <v>0</v>
      </c>
      <c r="J2631">
        <v>1</v>
      </c>
      <c r="K2631" t="s">
        <v>166</v>
      </c>
      <c r="L2631" t="s">
        <v>167</v>
      </c>
      <c r="M2631" t="s">
        <v>168</v>
      </c>
      <c r="N2631" t="s">
        <v>107</v>
      </c>
      <c r="O2631" t="s">
        <v>97</v>
      </c>
    </row>
    <row r="2632" spans="1:15" x14ac:dyDescent="0.2">
      <c r="A2632">
        <v>160</v>
      </c>
      <c r="B2632">
        <v>161</v>
      </c>
      <c r="C2632">
        <v>160</v>
      </c>
      <c r="D2632">
        <v>159</v>
      </c>
      <c r="E2632" t="s">
        <v>5</v>
      </c>
      <c r="F2632" t="s">
        <v>26</v>
      </c>
      <c r="G2632">
        <v>36</v>
      </c>
      <c r="H2632" t="s">
        <v>169</v>
      </c>
      <c r="I2632">
        <v>0</v>
      </c>
      <c r="J2632">
        <v>0</v>
      </c>
      <c r="K2632" t="e">
        <v>#N/A</v>
      </c>
      <c r="L2632" t="e">
        <v>#N/A</v>
      </c>
      <c r="M2632" t="e">
        <v>#N/A</v>
      </c>
      <c r="N2632" t="e">
        <v>#N/A</v>
      </c>
      <c r="O2632" t="s">
        <v>97</v>
      </c>
    </row>
    <row r="2633" spans="1:15" x14ac:dyDescent="0.2">
      <c r="A2633">
        <v>160</v>
      </c>
      <c r="B2633">
        <v>161</v>
      </c>
      <c r="C2633">
        <v>160</v>
      </c>
      <c r="D2633">
        <v>159</v>
      </c>
      <c r="E2633" t="s">
        <v>5</v>
      </c>
      <c r="F2633" t="s">
        <v>26</v>
      </c>
      <c r="G2633">
        <v>38</v>
      </c>
      <c r="H2633" t="s">
        <v>170</v>
      </c>
      <c r="I2633">
        <v>0.5</v>
      </c>
      <c r="J2633">
        <v>0.5</v>
      </c>
      <c r="K2633" t="s">
        <v>112</v>
      </c>
      <c r="L2633" t="s">
        <v>171</v>
      </c>
      <c r="M2633" t="s">
        <v>172</v>
      </c>
      <c r="N2633" t="s">
        <v>96</v>
      </c>
      <c r="O2633" t="s">
        <v>97</v>
      </c>
    </row>
    <row r="2634" spans="1:15" x14ac:dyDescent="0.2">
      <c r="A2634">
        <v>160</v>
      </c>
      <c r="B2634">
        <v>161</v>
      </c>
      <c r="C2634">
        <v>160</v>
      </c>
      <c r="D2634">
        <v>159</v>
      </c>
      <c r="E2634" t="s">
        <v>5</v>
      </c>
      <c r="F2634" t="s">
        <v>26</v>
      </c>
      <c r="G2634">
        <v>39</v>
      </c>
      <c r="H2634" t="s">
        <v>170</v>
      </c>
      <c r="I2634">
        <v>0.5</v>
      </c>
      <c r="J2634">
        <v>0.5</v>
      </c>
      <c r="K2634" t="s">
        <v>112</v>
      </c>
      <c r="L2634" t="s">
        <v>171</v>
      </c>
      <c r="M2634" t="s">
        <v>172</v>
      </c>
      <c r="N2634" t="s">
        <v>96</v>
      </c>
      <c r="O2634" t="s">
        <v>97</v>
      </c>
    </row>
    <row r="2635" spans="1:15" x14ac:dyDescent="0.2">
      <c r="A2635">
        <v>160</v>
      </c>
      <c r="B2635">
        <v>161</v>
      </c>
      <c r="C2635">
        <v>160</v>
      </c>
      <c r="D2635">
        <v>159</v>
      </c>
      <c r="E2635" t="s">
        <v>5</v>
      </c>
      <c r="F2635" t="s">
        <v>26</v>
      </c>
      <c r="G2635">
        <v>40</v>
      </c>
      <c r="H2635" t="s">
        <v>170</v>
      </c>
      <c r="I2635">
        <v>0.5</v>
      </c>
      <c r="J2635">
        <v>0.5</v>
      </c>
      <c r="K2635" t="s">
        <v>112</v>
      </c>
      <c r="L2635" t="s">
        <v>171</v>
      </c>
      <c r="M2635" t="s">
        <v>172</v>
      </c>
      <c r="N2635" t="s">
        <v>96</v>
      </c>
      <c r="O2635" t="s">
        <v>97</v>
      </c>
    </row>
    <row r="2636" spans="1:15" x14ac:dyDescent="0.2">
      <c r="A2636">
        <v>160</v>
      </c>
      <c r="B2636">
        <v>161</v>
      </c>
      <c r="C2636">
        <v>160</v>
      </c>
      <c r="D2636">
        <v>159</v>
      </c>
      <c r="E2636" t="s">
        <v>5</v>
      </c>
      <c r="F2636" t="s">
        <v>26</v>
      </c>
      <c r="G2636">
        <v>41</v>
      </c>
      <c r="H2636" t="s">
        <v>173</v>
      </c>
      <c r="I2636">
        <v>0</v>
      </c>
      <c r="J2636">
        <v>1</v>
      </c>
      <c r="K2636" t="s">
        <v>166</v>
      </c>
      <c r="L2636" t="s">
        <v>174</v>
      </c>
      <c r="M2636" t="s">
        <v>175</v>
      </c>
      <c r="N2636" t="s">
        <v>107</v>
      </c>
      <c r="O2636" t="s">
        <v>97</v>
      </c>
    </row>
    <row r="2637" spans="1:15" x14ac:dyDescent="0.2">
      <c r="A2637">
        <v>160</v>
      </c>
      <c r="B2637">
        <v>161</v>
      </c>
      <c r="C2637">
        <v>160</v>
      </c>
      <c r="D2637">
        <v>159</v>
      </c>
      <c r="E2637" t="s">
        <v>5</v>
      </c>
      <c r="F2637" t="s">
        <v>26</v>
      </c>
      <c r="G2637">
        <v>42</v>
      </c>
      <c r="H2637" t="s">
        <v>176</v>
      </c>
      <c r="I2637">
        <v>1</v>
      </c>
      <c r="J2637">
        <v>1</v>
      </c>
      <c r="K2637" t="s">
        <v>153</v>
      </c>
      <c r="L2637" t="s">
        <v>177</v>
      </c>
      <c r="M2637" t="s">
        <v>178</v>
      </c>
      <c r="N2637" t="s">
        <v>107</v>
      </c>
      <c r="O2637" t="s">
        <v>97</v>
      </c>
    </row>
    <row r="2638" spans="1:15" x14ac:dyDescent="0.2">
      <c r="A2638">
        <v>160</v>
      </c>
      <c r="B2638">
        <v>161</v>
      </c>
      <c r="C2638">
        <v>160</v>
      </c>
      <c r="D2638">
        <v>159</v>
      </c>
      <c r="E2638" t="s">
        <v>5</v>
      </c>
      <c r="F2638" t="s">
        <v>26</v>
      </c>
      <c r="G2638">
        <v>43</v>
      </c>
      <c r="H2638" t="s">
        <v>179</v>
      </c>
      <c r="I2638">
        <v>0</v>
      </c>
      <c r="J2638">
        <v>0</v>
      </c>
      <c r="K2638" t="s">
        <v>166</v>
      </c>
      <c r="L2638" t="s">
        <v>180</v>
      </c>
      <c r="M2638" t="s">
        <v>181</v>
      </c>
      <c r="N2638" t="s">
        <v>107</v>
      </c>
      <c r="O2638" t="s">
        <v>97</v>
      </c>
    </row>
    <row r="2639" spans="1:15" x14ac:dyDescent="0.2">
      <c r="A2639">
        <v>160</v>
      </c>
      <c r="B2639">
        <v>161</v>
      </c>
      <c r="C2639">
        <v>160</v>
      </c>
      <c r="D2639">
        <v>159</v>
      </c>
      <c r="E2639" t="s">
        <v>5</v>
      </c>
      <c r="F2639" t="s">
        <v>26</v>
      </c>
      <c r="G2639">
        <v>44</v>
      </c>
      <c r="H2639" t="s">
        <v>182</v>
      </c>
      <c r="I2639">
        <v>0</v>
      </c>
      <c r="J2639">
        <v>1</v>
      </c>
      <c r="K2639" t="s">
        <v>166</v>
      </c>
      <c r="L2639" t="s">
        <v>183</v>
      </c>
      <c r="M2639" t="s">
        <v>184</v>
      </c>
      <c r="N2639" t="s">
        <v>107</v>
      </c>
      <c r="O2639" t="s">
        <v>97</v>
      </c>
    </row>
    <row r="2640" spans="1:15" x14ac:dyDescent="0.2">
      <c r="A2640">
        <v>160</v>
      </c>
      <c r="B2640">
        <v>161</v>
      </c>
      <c r="C2640">
        <v>160</v>
      </c>
      <c r="D2640">
        <v>159</v>
      </c>
      <c r="E2640" t="s">
        <v>5</v>
      </c>
      <c r="F2640" t="s">
        <v>26</v>
      </c>
      <c r="G2640">
        <v>45</v>
      </c>
      <c r="H2640" t="s">
        <v>185</v>
      </c>
      <c r="I2640">
        <v>0</v>
      </c>
      <c r="J2640">
        <v>1</v>
      </c>
      <c r="K2640" t="s">
        <v>166</v>
      </c>
      <c r="L2640" t="s">
        <v>186</v>
      </c>
      <c r="M2640" t="s">
        <v>139</v>
      </c>
      <c r="N2640" t="s">
        <v>107</v>
      </c>
      <c r="O2640" t="s">
        <v>97</v>
      </c>
    </row>
    <row r="2641" spans="1:15" x14ac:dyDescent="0.2">
      <c r="A2641">
        <v>160</v>
      </c>
      <c r="B2641">
        <v>161</v>
      </c>
      <c r="C2641">
        <v>160</v>
      </c>
      <c r="D2641">
        <v>159</v>
      </c>
      <c r="E2641" t="s">
        <v>5</v>
      </c>
      <c r="F2641" t="s">
        <v>26</v>
      </c>
      <c r="G2641">
        <v>47</v>
      </c>
      <c r="H2641" t="s">
        <v>187</v>
      </c>
      <c r="I2641">
        <v>0</v>
      </c>
      <c r="J2641">
        <v>0.2</v>
      </c>
      <c r="K2641" t="s">
        <v>93</v>
      </c>
      <c r="L2641" t="s">
        <v>188</v>
      </c>
      <c r="M2641" t="s">
        <v>95</v>
      </c>
      <c r="N2641" t="s">
        <v>96</v>
      </c>
      <c r="O2641" t="s">
        <v>97</v>
      </c>
    </row>
    <row r="2642" spans="1:15" x14ac:dyDescent="0.2">
      <c r="A2642">
        <v>160</v>
      </c>
      <c r="B2642">
        <v>161</v>
      </c>
      <c r="C2642">
        <v>160</v>
      </c>
      <c r="D2642">
        <v>159</v>
      </c>
      <c r="E2642" t="s">
        <v>5</v>
      </c>
      <c r="F2642" t="s">
        <v>26</v>
      </c>
      <c r="G2642">
        <v>48</v>
      </c>
      <c r="H2642" t="s">
        <v>189</v>
      </c>
      <c r="I2642">
        <v>0.2</v>
      </c>
      <c r="J2642">
        <v>0.2</v>
      </c>
      <c r="K2642" t="s">
        <v>93</v>
      </c>
      <c r="L2642" t="s">
        <v>190</v>
      </c>
      <c r="M2642" t="s">
        <v>95</v>
      </c>
      <c r="N2642" t="s">
        <v>96</v>
      </c>
      <c r="O2642" t="s">
        <v>97</v>
      </c>
    </row>
    <row r="2643" spans="1:15" x14ac:dyDescent="0.2">
      <c r="A2643">
        <v>160</v>
      </c>
      <c r="B2643">
        <v>161</v>
      </c>
      <c r="C2643">
        <v>160</v>
      </c>
      <c r="D2643">
        <v>159</v>
      </c>
      <c r="E2643" t="s">
        <v>5</v>
      </c>
      <c r="F2643" t="s">
        <v>26</v>
      </c>
      <c r="G2643">
        <v>49</v>
      </c>
      <c r="H2643" t="s">
        <v>191</v>
      </c>
      <c r="I2643">
        <v>0</v>
      </c>
      <c r="J2643">
        <v>0.2</v>
      </c>
      <c r="K2643" t="s">
        <v>93</v>
      </c>
      <c r="L2643" t="s">
        <v>192</v>
      </c>
      <c r="M2643" t="s">
        <v>95</v>
      </c>
      <c r="N2643" t="s">
        <v>96</v>
      </c>
      <c r="O2643" t="s">
        <v>97</v>
      </c>
    </row>
    <row r="2644" spans="1:15" x14ac:dyDescent="0.2">
      <c r="A2644">
        <v>160</v>
      </c>
      <c r="B2644">
        <v>161</v>
      </c>
      <c r="C2644">
        <v>160</v>
      </c>
      <c r="D2644">
        <v>159</v>
      </c>
      <c r="E2644" t="s">
        <v>5</v>
      </c>
      <c r="F2644" t="s">
        <v>26</v>
      </c>
      <c r="G2644">
        <v>50</v>
      </c>
      <c r="H2644" t="s">
        <v>193</v>
      </c>
      <c r="I2644">
        <v>0</v>
      </c>
      <c r="J2644">
        <v>0</v>
      </c>
      <c r="K2644" t="s">
        <v>93</v>
      </c>
      <c r="L2644" t="s">
        <v>194</v>
      </c>
      <c r="M2644" t="s">
        <v>95</v>
      </c>
      <c r="N2644" t="s">
        <v>96</v>
      </c>
      <c r="O2644" t="s">
        <v>97</v>
      </c>
    </row>
    <row r="2645" spans="1:15" x14ac:dyDescent="0.2">
      <c r="A2645">
        <v>160</v>
      </c>
      <c r="B2645">
        <v>161</v>
      </c>
      <c r="C2645">
        <v>160</v>
      </c>
      <c r="D2645">
        <v>159</v>
      </c>
      <c r="E2645" t="s">
        <v>5</v>
      </c>
      <c r="F2645" t="s">
        <v>26</v>
      </c>
      <c r="G2645">
        <v>51</v>
      </c>
      <c r="H2645" t="s">
        <v>193</v>
      </c>
      <c r="I2645">
        <v>0</v>
      </c>
      <c r="J2645">
        <v>0</v>
      </c>
      <c r="K2645" t="s">
        <v>93</v>
      </c>
      <c r="L2645" t="s">
        <v>194</v>
      </c>
      <c r="M2645" t="s">
        <v>95</v>
      </c>
      <c r="N2645" t="s">
        <v>96</v>
      </c>
      <c r="O2645" t="s">
        <v>97</v>
      </c>
    </row>
    <row r="2646" spans="1:15" x14ac:dyDescent="0.2">
      <c r="A2646">
        <v>239</v>
      </c>
      <c r="B2646">
        <v>240</v>
      </c>
      <c r="C2646">
        <v>239</v>
      </c>
      <c r="D2646">
        <v>238</v>
      </c>
      <c r="E2646" t="s">
        <v>251</v>
      </c>
      <c r="F2646" t="s">
        <v>49</v>
      </c>
      <c r="G2646">
        <v>1</v>
      </c>
      <c r="H2646" t="s">
        <v>92</v>
      </c>
      <c r="I2646">
        <v>0</v>
      </c>
      <c r="J2646">
        <v>0.2</v>
      </c>
      <c r="K2646" t="s">
        <v>93</v>
      </c>
      <c r="L2646" t="s">
        <v>94</v>
      </c>
      <c r="M2646" t="s">
        <v>95</v>
      </c>
      <c r="N2646" t="s">
        <v>96</v>
      </c>
      <c r="O2646" t="s">
        <v>97</v>
      </c>
    </row>
    <row r="2647" spans="1:15" x14ac:dyDescent="0.2">
      <c r="A2647">
        <v>239</v>
      </c>
      <c r="B2647">
        <v>240</v>
      </c>
      <c r="C2647">
        <v>239</v>
      </c>
      <c r="D2647">
        <v>238</v>
      </c>
      <c r="E2647" t="s">
        <v>251</v>
      </c>
      <c r="F2647" t="s">
        <v>49</v>
      </c>
      <c r="G2647">
        <v>2</v>
      </c>
      <c r="H2647" t="s">
        <v>98</v>
      </c>
      <c r="I2647">
        <v>0.25</v>
      </c>
      <c r="J2647">
        <v>0.5</v>
      </c>
      <c r="K2647" t="s">
        <v>93</v>
      </c>
      <c r="L2647" t="s">
        <v>99</v>
      </c>
      <c r="M2647" t="s">
        <v>95</v>
      </c>
      <c r="N2647" t="s">
        <v>96</v>
      </c>
      <c r="O2647" t="s">
        <v>97</v>
      </c>
    </row>
    <row r="2648" spans="1:15" x14ac:dyDescent="0.2">
      <c r="A2648">
        <v>239</v>
      </c>
      <c r="B2648">
        <v>240</v>
      </c>
      <c r="C2648">
        <v>239</v>
      </c>
      <c r="D2648">
        <v>238</v>
      </c>
      <c r="E2648" t="s">
        <v>251</v>
      </c>
      <c r="F2648" t="s">
        <v>49</v>
      </c>
      <c r="G2648">
        <v>3</v>
      </c>
      <c r="H2648" t="s">
        <v>100</v>
      </c>
      <c r="I2648">
        <v>0.5</v>
      </c>
      <c r="J2648">
        <v>1</v>
      </c>
      <c r="K2648" t="s">
        <v>101</v>
      </c>
      <c r="L2648" t="s">
        <v>102</v>
      </c>
      <c r="M2648" t="s">
        <v>103</v>
      </c>
      <c r="N2648" t="s">
        <v>96</v>
      </c>
      <c r="O2648" t="s">
        <v>97</v>
      </c>
    </row>
    <row r="2649" spans="1:15" x14ac:dyDescent="0.2">
      <c r="A2649">
        <v>239</v>
      </c>
      <c r="B2649">
        <v>240</v>
      </c>
      <c r="C2649">
        <v>239</v>
      </c>
      <c r="D2649">
        <v>238</v>
      </c>
      <c r="E2649" t="s">
        <v>251</v>
      </c>
      <c r="F2649" t="s">
        <v>49</v>
      </c>
      <c r="G2649">
        <v>4</v>
      </c>
      <c r="H2649" t="s">
        <v>104</v>
      </c>
      <c r="I2649">
        <v>0</v>
      </c>
      <c r="J2649">
        <v>1</v>
      </c>
      <c r="K2649" t="s">
        <v>101</v>
      </c>
      <c r="L2649" t="s">
        <v>105</v>
      </c>
      <c r="M2649" t="s">
        <v>106</v>
      </c>
      <c r="N2649" t="s">
        <v>107</v>
      </c>
      <c r="O2649" t="s">
        <v>97</v>
      </c>
    </row>
    <row r="2650" spans="1:15" x14ac:dyDescent="0.2">
      <c r="A2650">
        <v>239</v>
      </c>
      <c r="B2650">
        <v>240</v>
      </c>
      <c r="C2650">
        <v>239</v>
      </c>
      <c r="D2650">
        <v>238</v>
      </c>
      <c r="E2650" t="s">
        <v>251</v>
      </c>
      <c r="F2650" t="s">
        <v>49</v>
      </c>
      <c r="G2650">
        <v>5</v>
      </c>
      <c r="H2650" t="s">
        <v>108</v>
      </c>
      <c r="I2650">
        <v>0.5</v>
      </c>
      <c r="J2650">
        <v>1</v>
      </c>
      <c r="K2650" t="s">
        <v>101</v>
      </c>
      <c r="L2650" t="s">
        <v>109</v>
      </c>
      <c r="M2650" t="s">
        <v>110</v>
      </c>
      <c r="N2650" t="s">
        <v>107</v>
      </c>
      <c r="O2650" t="s">
        <v>97</v>
      </c>
    </row>
    <row r="2651" spans="1:15" x14ac:dyDescent="0.2">
      <c r="A2651">
        <v>239</v>
      </c>
      <c r="B2651">
        <v>240</v>
      </c>
      <c r="C2651">
        <v>239</v>
      </c>
      <c r="D2651">
        <v>238</v>
      </c>
      <c r="E2651" t="s">
        <v>251</v>
      </c>
      <c r="F2651" t="s">
        <v>49</v>
      </c>
      <c r="G2651">
        <v>9</v>
      </c>
      <c r="H2651" t="s">
        <v>111</v>
      </c>
      <c r="I2651">
        <v>0.25</v>
      </c>
      <c r="J2651">
        <v>0.5</v>
      </c>
      <c r="K2651" t="s">
        <v>112</v>
      </c>
      <c r="L2651" t="s">
        <v>113</v>
      </c>
      <c r="M2651" t="s">
        <v>114</v>
      </c>
      <c r="N2651" t="s">
        <v>96</v>
      </c>
      <c r="O2651" t="s">
        <v>97</v>
      </c>
    </row>
    <row r="2652" spans="1:15" x14ac:dyDescent="0.2">
      <c r="A2652">
        <v>239</v>
      </c>
      <c r="B2652">
        <v>240</v>
      </c>
      <c r="C2652">
        <v>239</v>
      </c>
      <c r="D2652">
        <v>238</v>
      </c>
      <c r="E2652" t="s">
        <v>251</v>
      </c>
      <c r="F2652" t="s">
        <v>49</v>
      </c>
      <c r="G2652">
        <v>10</v>
      </c>
      <c r="H2652" t="s">
        <v>115</v>
      </c>
      <c r="I2652">
        <v>0</v>
      </c>
      <c r="J2652">
        <v>0.5</v>
      </c>
      <c r="K2652" t="s">
        <v>112</v>
      </c>
      <c r="L2652" t="s">
        <v>116</v>
      </c>
      <c r="M2652" t="s">
        <v>117</v>
      </c>
      <c r="N2652" t="s">
        <v>96</v>
      </c>
      <c r="O2652" t="s">
        <v>97</v>
      </c>
    </row>
    <row r="2653" spans="1:15" x14ac:dyDescent="0.2">
      <c r="A2653">
        <v>239</v>
      </c>
      <c r="B2653">
        <v>240</v>
      </c>
      <c r="C2653">
        <v>239</v>
      </c>
      <c r="D2653">
        <v>238</v>
      </c>
      <c r="E2653" t="s">
        <v>251</v>
      </c>
      <c r="F2653" t="s">
        <v>49</v>
      </c>
      <c r="G2653">
        <v>11</v>
      </c>
      <c r="H2653" t="s">
        <v>118</v>
      </c>
      <c r="I2653">
        <v>0.5</v>
      </c>
      <c r="J2653">
        <v>1</v>
      </c>
      <c r="K2653" t="s">
        <v>112</v>
      </c>
      <c r="L2653" t="s">
        <v>119</v>
      </c>
      <c r="M2653" t="s">
        <v>120</v>
      </c>
      <c r="N2653" t="s">
        <v>107</v>
      </c>
      <c r="O2653" t="s">
        <v>97</v>
      </c>
    </row>
    <row r="2654" spans="1:15" x14ac:dyDescent="0.2">
      <c r="A2654">
        <v>239</v>
      </c>
      <c r="B2654">
        <v>240</v>
      </c>
      <c r="C2654">
        <v>239</v>
      </c>
      <c r="D2654">
        <v>238</v>
      </c>
      <c r="E2654" t="s">
        <v>251</v>
      </c>
      <c r="F2654" t="s">
        <v>49</v>
      </c>
      <c r="G2654">
        <v>12</v>
      </c>
      <c r="H2654" t="s">
        <v>121</v>
      </c>
      <c r="I2654">
        <v>0</v>
      </c>
      <c r="J2654">
        <v>0.5</v>
      </c>
      <c r="K2654" t="s">
        <v>122</v>
      </c>
      <c r="L2654" t="s">
        <v>113</v>
      </c>
      <c r="M2654" t="s">
        <v>123</v>
      </c>
      <c r="N2654" t="s">
        <v>96</v>
      </c>
      <c r="O2654" t="s">
        <v>97</v>
      </c>
    </row>
    <row r="2655" spans="1:15" x14ac:dyDescent="0.2">
      <c r="A2655">
        <v>239</v>
      </c>
      <c r="B2655">
        <v>240</v>
      </c>
      <c r="C2655">
        <v>239</v>
      </c>
      <c r="D2655">
        <v>238</v>
      </c>
      <c r="E2655" t="s">
        <v>251</v>
      </c>
      <c r="F2655" t="s">
        <v>49</v>
      </c>
      <c r="G2655">
        <v>13</v>
      </c>
      <c r="H2655" t="s">
        <v>124</v>
      </c>
      <c r="I2655">
        <v>0</v>
      </c>
      <c r="J2655">
        <v>0.5</v>
      </c>
      <c r="K2655" t="s">
        <v>122</v>
      </c>
      <c r="L2655" t="s">
        <v>125</v>
      </c>
      <c r="M2655" t="s">
        <v>126</v>
      </c>
      <c r="N2655" t="s">
        <v>96</v>
      </c>
      <c r="O2655" t="s">
        <v>97</v>
      </c>
    </row>
    <row r="2656" spans="1:15" x14ac:dyDescent="0.2">
      <c r="A2656">
        <v>239</v>
      </c>
      <c r="B2656">
        <v>240</v>
      </c>
      <c r="C2656">
        <v>239</v>
      </c>
      <c r="D2656">
        <v>238</v>
      </c>
      <c r="E2656" t="s">
        <v>251</v>
      </c>
      <c r="F2656" t="s">
        <v>49</v>
      </c>
      <c r="G2656">
        <v>14</v>
      </c>
      <c r="H2656" t="s">
        <v>127</v>
      </c>
      <c r="I2656">
        <v>0.5</v>
      </c>
      <c r="J2656">
        <v>1</v>
      </c>
      <c r="K2656" t="s">
        <v>122</v>
      </c>
      <c r="L2656" t="s">
        <v>119</v>
      </c>
      <c r="M2656" t="s">
        <v>128</v>
      </c>
      <c r="N2656" t="s">
        <v>107</v>
      </c>
      <c r="O2656" t="s">
        <v>97</v>
      </c>
    </row>
    <row r="2657" spans="1:15" x14ac:dyDescent="0.2">
      <c r="A2657">
        <v>239</v>
      </c>
      <c r="B2657">
        <v>240</v>
      </c>
      <c r="C2657">
        <v>239</v>
      </c>
      <c r="D2657">
        <v>238</v>
      </c>
      <c r="E2657" t="s">
        <v>251</v>
      </c>
      <c r="F2657" t="s">
        <v>49</v>
      </c>
      <c r="G2657">
        <v>15</v>
      </c>
      <c r="H2657" t="s">
        <v>129</v>
      </c>
      <c r="I2657">
        <v>0</v>
      </c>
      <c r="J2657">
        <v>1</v>
      </c>
      <c r="K2657" t="s">
        <v>130</v>
      </c>
      <c r="L2657" t="s">
        <v>131</v>
      </c>
      <c r="M2657" t="s">
        <v>132</v>
      </c>
      <c r="N2657" t="s">
        <v>107</v>
      </c>
      <c r="O2657" t="s">
        <v>97</v>
      </c>
    </row>
    <row r="2658" spans="1:15" x14ac:dyDescent="0.2">
      <c r="A2658">
        <v>239</v>
      </c>
      <c r="B2658">
        <v>240</v>
      </c>
      <c r="C2658">
        <v>239</v>
      </c>
      <c r="D2658">
        <v>238</v>
      </c>
      <c r="E2658" t="s">
        <v>251</v>
      </c>
      <c r="F2658" t="s">
        <v>49</v>
      </c>
      <c r="G2658">
        <v>16</v>
      </c>
      <c r="H2658" t="s">
        <v>133</v>
      </c>
      <c r="I2658">
        <v>0</v>
      </c>
      <c r="J2658">
        <v>0</v>
      </c>
      <c r="K2658" t="e">
        <v>#N/A</v>
      </c>
      <c r="L2658" t="e">
        <v>#N/A</v>
      </c>
      <c r="M2658" t="e">
        <v>#N/A</v>
      </c>
      <c r="N2658" t="e">
        <v>#N/A</v>
      </c>
      <c r="O2658" t="s">
        <v>97</v>
      </c>
    </row>
    <row r="2659" spans="1:15" x14ac:dyDescent="0.2">
      <c r="A2659">
        <v>239</v>
      </c>
      <c r="B2659">
        <v>240</v>
      </c>
      <c r="C2659">
        <v>239</v>
      </c>
      <c r="D2659">
        <v>238</v>
      </c>
      <c r="E2659" t="s">
        <v>251</v>
      </c>
      <c r="F2659" t="s">
        <v>49</v>
      </c>
      <c r="G2659">
        <v>17</v>
      </c>
      <c r="H2659" t="s">
        <v>134</v>
      </c>
      <c r="I2659">
        <v>0.5</v>
      </c>
      <c r="J2659">
        <v>1</v>
      </c>
      <c r="K2659" t="s">
        <v>112</v>
      </c>
      <c r="L2659" t="s">
        <v>135</v>
      </c>
      <c r="M2659" t="s">
        <v>136</v>
      </c>
      <c r="N2659" t="s">
        <v>107</v>
      </c>
      <c r="O2659" t="s">
        <v>97</v>
      </c>
    </row>
    <row r="2660" spans="1:15" x14ac:dyDescent="0.2">
      <c r="A2660">
        <v>239</v>
      </c>
      <c r="B2660">
        <v>240</v>
      </c>
      <c r="C2660">
        <v>239</v>
      </c>
      <c r="D2660">
        <v>238</v>
      </c>
      <c r="E2660" t="s">
        <v>251</v>
      </c>
      <c r="F2660" t="s">
        <v>49</v>
      </c>
      <c r="G2660">
        <v>18</v>
      </c>
      <c r="H2660" t="s">
        <v>137</v>
      </c>
      <c r="I2660">
        <v>0</v>
      </c>
      <c r="J2660">
        <v>1</v>
      </c>
      <c r="K2660" t="s">
        <v>112</v>
      </c>
      <c r="L2660" t="s">
        <v>138</v>
      </c>
      <c r="M2660" t="s">
        <v>139</v>
      </c>
      <c r="N2660" t="s">
        <v>107</v>
      </c>
      <c r="O2660" t="s">
        <v>97</v>
      </c>
    </row>
    <row r="2661" spans="1:15" x14ac:dyDescent="0.2">
      <c r="A2661">
        <v>239</v>
      </c>
      <c r="B2661">
        <v>240</v>
      </c>
      <c r="C2661">
        <v>239</v>
      </c>
      <c r="D2661">
        <v>238</v>
      </c>
      <c r="E2661" t="s">
        <v>251</v>
      </c>
      <c r="F2661" t="s">
        <v>49</v>
      </c>
      <c r="G2661">
        <v>19</v>
      </c>
      <c r="H2661" t="s">
        <v>140</v>
      </c>
      <c r="I2661">
        <v>0.5</v>
      </c>
      <c r="J2661">
        <v>1</v>
      </c>
      <c r="K2661" t="s">
        <v>122</v>
      </c>
      <c r="L2661" t="s">
        <v>141</v>
      </c>
      <c r="M2661" t="s">
        <v>142</v>
      </c>
      <c r="N2661" t="s">
        <v>107</v>
      </c>
      <c r="O2661" t="s">
        <v>97</v>
      </c>
    </row>
    <row r="2662" spans="1:15" x14ac:dyDescent="0.2">
      <c r="A2662">
        <v>239</v>
      </c>
      <c r="B2662">
        <v>240</v>
      </c>
      <c r="C2662">
        <v>239</v>
      </c>
      <c r="D2662">
        <v>238</v>
      </c>
      <c r="E2662" t="s">
        <v>251</v>
      </c>
      <c r="F2662" t="s">
        <v>49</v>
      </c>
      <c r="G2662">
        <v>20</v>
      </c>
      <c r="H2662" t="s">
        <v>143</v>
      </c>
      <c r="I2662">
        <v>0</v>
      </c>
      <c r="J2662">
        <v>1</v>
      </c>
      <c r="K2662" t="s">
        <v>122</v>
      </c>
      <c r="L2662" t="s">
        <v>144</v>
      </c>
      <c r="M2662" t="s">
        <v>145</v>
      </c>
      <c r="N2662" t="s">
        <v>107</v>
      </c>
      <c r="O2662" t="s">
        <v>97</v>
      </c>
    </row>
    <row r="2663" spans="1:15" x14ac:dyDescent="0.2">
      <c r="A2663">
        <v>239</v>
      </c>
      <c r="B2663">
        <v>240</v>
      </c>
      <c r="C2663">
        <v>239</v>
      </c>
      <c r="D2663">
        <v>238</v>
      </c>
      <c r="E2663" t="s">
        <v>251</v>
      </c>
      <c r="F2663" t="s">
        <v>49</v>
      </c>
      <c r="G2663">
        <v>21</v>
      </c>
      <c r="H2663" t="s">
        <v>146</v>
      </c>
      <c r="I2663">
        <v>1</v>
      </c>
      <c r="J2663">
        <v>1</v>
      </c>
      <c r="K2663" t="s">
        <v>147</v>
      </c>
      <c r="L2663" t="s">
        <v>148</v>
      </c>
      <c r="M2663" t="s">
        <v>149</v>
      </c>
      <c r="N2663" t="s">
        <v>96</v>
      </c>
      <c r="O2663" t="s">
        <v>97</v>
      </c>
    </row>
    <row r="2664" spans="1:15" x14ac:dyDescent="0.2">
      <c r="A2664">
        <v>239</v>
      </c>
      <c r="B2664">
        <v>240</v>
      </c>
      <c r="C2664">
        <v>239</v>
      </c>
      <c r="D2664">
        <v>238</v>
      </c>
      <c r="E2664" t="s">
        <v>251</v>
      </c>
      <c r="F2664" t="s">
        <v>49</v>
      </c>
      <c r="G2664">
        <v>22</v>
      </c>
      <c r="H2664" t="s">
        <v>150</v>
      </c>
      <c r="I2664">
        <v>0</v>
      </c>
      <c r="J2664">
        <v>1</v>
      </c>
      <c r="K2664" t="s">
        <v>147</v>
      </c>
      <c r="L2664" t="s">
        <v>151</v>
      </c>
      <c r="M2664" t="s">
        <v>149</v>
      </c>
      <c r="N2664" t="s">
        <v>107</v>
      </c>
      <c r="O2664" t="s">
        <v>97</v>
      </c>
    </row>
    <row r="2665" spans="1:15" x14ac:dyDescent="0.2">
      <c r="A2665">
        <v>239</v>
      </c>
      <c r="B2665">
        <v>240</v>
      </c>
      <c r="C2665">
        <v>239</v>
      </c>
      <c r="D2665">
        <v>238</v>
      </c>
      <c r="E2665" t="s">
        <v>251</v>
      </c>
      <c r="F2665" t="s">
        <v>49</v>
      </c>
      <c r="G2665">
        <v>23</v>
      </c>
      <c r="H2665" t="s">
        <v>152</v>
      </c>
      <c r="I2665">
        <v>0</v>
      </c>
      <c r="J2665">
        <v>0</v>
      </c>
      <c r="K2665" t="s">
        <v>153</v>
      </c>
      <c r="L2665" t="s">
        <v>154</v>
      </c>
      <c r="M2665" t="s">
        <v>155</v>
      </c>
      <c r="N2665" t="s">
        <v>107</v>
      </c>
      <c r="O2665" t="s">
        <v>97</v>
      </c>
    </row>
    <row r="2666" spans="1:15" x14ac:dyDescent="0.2">
      <c r="A2666">
        <v>239</v>
      </c>
      <c r="B2666">
        <v>240</v>
      </c>
      <c r="C2666">
        <v>239</v>
      </c>
      <c r="D2666">
        <v>238</v>
      </c>
      <c r="E2666" t="s">
        <v>251</v>
      </c>
      <c r="F2666" t="s">
        <v>49</v>
      </c>
      <c r="G2666">
        <v>24</v>
      </c>
      <c r="H2666" t="s">
        <v>156</v>
      </c>
      <c r="I2666">
        <v>0</v>
      </c>
      <c r="J2666">
        <v>0</v>
      </c>
      <c r="K2666" t="s">
        <v>122</v>
      </c>
      <c r="L2666" t="s">
        <v>157</v>
      </c>
      <c r="M2666" t="s">
        <v>158</v>
      </c>
      <c r="N2666" t="s">
        <v>107</v>
      </c>
      <c r="O2666" t="s">
        <v>97</v>
      </c>
    </row>
    <row r="2667" spans="1:15" x14ac:dyDescent="0.2">
      <c r="A2667">
        <v>239</v>
      </c>
      <c r="B2667">
        <v>240</v>
      </c>
      <c r="C2667">
        <v>239</v>
      </c>
      <c r="D2667">
        <v>238</v>
      </c>
      <c r="E2667" t="s">
        <v>251</v>
      </c>
      <c r="F2667" t="s">
        <v>49</v>
      </c>
      <c r="G2667">
        <v>25</v>
      </c>
      <c r="H2667" t="s">
        <v>156</v>
      </c>
      <c r="I2667">
        <v>1</v>
      </c>
      <c r="J2667">
        <v>1</v>
      </c>
      <c r="K2667" t="s">
        <v>122</v>
      </c>
      <c r="L2667" t="s">
        <v>157</v>
      </c>
      <c r="M2667" t="s">
        <v>158</v>
      </c>
      <c r="N2667" t="s">
        <v>107</v>
      </c>
      <c r="O2667" t="s">
        <v>97</v>
      </c>
    </row>
    <row r="2668" spans="1:15" x14ac:dyDescent="0.2">
      <c r="A2668">
        <v>239</v>
      </c>
      <c r="B2668">
        <v>240</v>
      </c>
      <c r="C2668">
        <v>239</v>
      </c>
      <c r="D2668">
        <v>238</v>
      </c>
      <c r="E2668" t="s">
        <v>251</v>
      </c>
      <c r="F2668" t="s">
        <v>49</v>
      </c>
      <c r="G2668">
        <v>26</v>
      </c>
      <c r="H2668" t="s">
        <v>152</v>
      </c>
      <c r="I2668">
        <v>0</v>
      </c>
      <c r="J2668">
        <v>0</v>
      </c>
      <c r="K2668" t="s">
        <v>153</v>
      </c>
      <c r="L2668" t="s">
        <v>154</v>
      </c>
      <c r="M2668" t="s">
        <v>155</v>
      </c>
      <c r="N2668" t="s">
        <v>107</v>
      </c>
      <c r="O2668" t="s">
        <v>97</v>
      </c>
    </row>
    <row r="2669" spans="1:15" x14ac:dyDescent="0.2">
      <c r="A2669">
        <v>239</v>
      </c>
      <c r="B2669">
        <v>240</v>
      </c>
      <c r="C2669">
        <v>239</v>
      </c>
      <c r="D2669">
        <v>238</v>
      </c>
      <c r="E2669" t="s">
        <v>251</v>
      </c>
      <c r="F2669" t="s">
        <v>49</v>
      </c>
      <c r="G2669">
        <v>27</v>
      </c>
      <c r="H2669" t="s">
        <v>159</v>
      </c>
      <c r="I2669">
        <v>0</v>
      </c>
      <c r="J2669">
        <v>0.5</v>
      </c>
      <c r="K2669" t="s">
        <v>122</v>
      </c>
      <c r="L2669" t="s">
        <v>160</v>
      </c>
      <c r="M2669" t="s">
        <v>161</v>
      </c>
      <c r="N2669" t="s">
        <v>107</v>
      </c>
      <c r="O2669" t="s">
        <v>97</v>
      </c>
    </row>
    <row r="2670" spans="1:15" x14ac:dyDescent="0.2">
      <c r="A2670">
        <v>239</v>
      </c>
      <c r="B2670">
        <v>240</v>
      </c>
      <c r="C2670">
        <v>239</v>
      </c>
      <c r="D2670">
        <v>238</v>
      </c>
      <c r="E2670" t="s">
        <v>251</v>
      </c>
      <c r="F2670" t="s">
        <v>49</v>
      </c>
      <c r="G2670">
        <v>28</v>
      </c>
      <c r="H2670" t="s">
        <v>159</v>
      </c>
      <c r="I2670">
        <v>0</v>
      </c>
      <c r="J2670">
        <v>0.5</v>
      </c>
      <c r="K2670" t="s">
        <v>122</v>
      </c>
      <c r="L2670" t="s">
        <v>160</v>
      </c>
      <c r="M2670" t="s">
        <v>161</v>
      </c>
      <c r="N2670" t="s">
        <v>107</v>
      </c>
      <c r="O2670" t="s">
        <v>97</v>
      </c>
    </row>
    <row r="2671" spans="1:15" x14ac:dyDescent="0.2">
      <c r="A2671">
        <v>239</v>
      </c>
      <c r="B2671">
        <v>240</v>
      </c>
      <c r="C2671">
        <v>239</v>
      </c>
      <c r="D2671">
        <v>238</v>
      </c>
      <c r="E2671" t="s">
        <v>251</v>
      </c>
      <c r="F2671" t="s">
        <v>49</v>
      </c>
      <c r="G2671">
        <v>29</v>
      </c>
      <c r="H2671" t="s">
        <v>152</v>
      </c>
      <c r="I2671">
        <v>0</v>
      </c>
      <c r="J2671">
        <v>0</v>
      </c>
      <c r="K2671" t="s">
        <v>153</v>
      </c>
      <c r="L2671" t="s">
        <v>154</v>
      </c>
      <c r="M2671" t="s">
        <v>155</v>
      </c>
      <c r="N2671" t="s">
        <v>107</v>
      </c>
      <c r="O2671" t="s">
        <v>97</v>
      </c>
    </row>
    <row r="2672" spans="1:15" x14ac:dyDescent="0.2">
      <c r="A2672">
        <v>239</v>
      </c>
      <c r="B2672">
        <v>240</v>
      </c>
      <c r="C2672">
        <v>239</v>
      </c>
      <c r="D2672">
        <v>238</v>
      </c>
      <c r="E2672" t="s">
        <v>251</v>
      </c>
      <c r="F2672" t="s">
        <v>49</v>
      </c>
      <c r="G2672">
        <v>30</v>
      </c>
      <c r="H2672" t="s">
        <v>162</v>
      </c>
      <c r="I2672">
        <v>1</v>
      </c>
      <c r="J2672">
        <v>1</v>
      </c>
      <c r="K2672" t="s">
        <v>112</v>
      </c>
      <c r="L2672" t="s">
        <v>163</v>
      </c>
      <c r="M2672" t="s">
        <v>164</v>
      </c>
      <c r="N2672" t="s">
        <v>107</v>
      </c>
      <c r="O2672" t="s">
        <v>97</v>
      </c>
    </row>
    <row r="2673" spans="1:15" x14ac:dyDescent="0.2">
      <c r="A2673">
        <v>239</v>
      </c>
      <c r="B2673">
        <v>240</v>
      </c>
      <c r="C2673">
        <v>239</v>
      </c>
      <c r="D2673">
        <v>238</v>
      </c>
      <c r="E2673" t="s">
        <v>251</v>
      </c>
      <c r="F2673" t="s">
        <v>49</v>
      </c>
      <c r="G2673">
        <v>31</v>
      </c>
      <c r="H2673" t="s">
        <v>162</v>
      </c>
      <c r="I2673">
        <v>0</v>
      </c>
      <c r="J2673">
        <v>0</v>
      </c>
      <c r="K2673" t="s">
        <v>112</v>
      </c>
      <c r="L2673" t="s">
        <v>163</v>
      </c>
      <c r="M2673" t="s">
        <v>164</v>
      </c>
      <c r="N2673" t="s">
        <v>107</v>
      </c>
      <c r="O2673" t="s">
        <v>97</v>
      </c>
    </row>
    <row r="2674" spans="1:15" x14ac:dyDescent="0.2">
      <c r="A2674">
        <v>239</v>
      </c>
      <c r="B2674">
        <v>240</v>
      </c>
      <c r="C2674">
        <v>239</v>
      </c>
      <c r="D2674">
        <v>238</v>
      </c>
      <c r="E2674" t="s">
        <v>251</v>
      </c>
      <c r="F2674" t="s">
        <v>49</v>
      </c>
      <c r="G2674">
        <v>32</v>
      </c>
      <c r="H2674" t="s">
        <v>162</v>
      </c>
      <c r="I2674">
        <v>0</v>
      </c>
      <c r="J2674">
        <v>0</v>
      </c>
      <c r="K2674" t="s">
        <v>112</v>
      </c>
      <c r="L2674" t="s">
        <v>163</v>
      </c>
      <c r="M2674" t="s">
        <v>164</v>
      </c>
      <c r="N2674" t="s">
        <v>107</v>
      </c>
      <c r="O2674" t="s">
        <v>97</v>
      </c>
    </row>
    <row r="2675" spans="1:15" x14ac:dyDescent="0.2">
      <c r="A2675">
        <v>239</v>
      </c>
      <c r="B2675">
        <v>240</v>
      </c>
      <c r="C2675">
        <v>239</v>
      </c>
      <c r="D2675">
        <v>238</v>
      </c>
      <c r="E2675" t="s">
        <v>251</v>
      </c>
      <c r="F2675" t="s">
        <v>49</v>
      </c>
      <c r="G2675">
        <v>33</v>
      </c>
      <c r="H2675" t="s">
        <v>152</v>
      </c>
      <c r="I2675">
        <v>1</v>
      </c>
      <c r="J2675">
        <v>1</v>
      </c>
      <c r="K2675" t="s">
        <v>153</v>
      </c>
      <c r="L2675" t="s">
        <v>154</v>
      </c>
      <c r="M2675" t="s">
        <v>155</v>
      </c>
      <c r="N2675" t="s">
        <v>107</v>
      </c>
      <c r="O2675" t="s">
        <v>97</v>
      </c>
    </row>
    <row r="2676" spans="1:15" x14ac:dyDescent="0.2">
      <c r="A2676">
        <v>239</v>
      </c>
      <c r="B2676">
        <v>240</v>
      </c>
      <c r="C2676">
        <v>239</v>
      </c>
      <c r="D2676">
        <v>238</v>
      </c>
      <c r="E2676" t="s">
        <v>251</v>
      </c>
      <c r="F2676" t="s">
        <v>49</v>
      </c>
      <c r="G2676">
        <v>34</v>
      </c>
      <c r="H2676" t="s">
        <v>152</v>
      </c>
      <c r="I2676">
        <v>0</v>
      </c>
      <c r="J2676">
        <v>0</v>
      </c>
      <c r="K2676" t="s">
        <v>153</v>
      </c>
      <c r="L2676" t="s">
        <v>154</v>
      </c>
      <c r="M2676" t="s">
        <v>155</v>
      </c>
      <c r="N2676" t="s">
        <v>107</v>
      </c>
      <c r="O2676" t="s">
        <v>97</v>
      </c>
    </row>
    <row r="2677" spans="1:15" x14ac:dyDescent="0.2">
      <c r="A2677">
        <v>239</v>
      </c>
      <c r="B2677">
        <v>240</v>
      </c>
      <c r="C2677">
        <v>239</v>
      </c>
      <c r="D2677">
        <v>238</v>
      </c>
      <c r="E2677" t="s">
        <v>251</v>
      </c>
      <c r="F2677" t="s">
        <v>49</v>
      </c>
      <c r="G2677">
        <v>35</v>
      </c>
      <c r="H2677" t="s">
        <v>165</v>
      </c>
      <c r="I2677">
        <v>0.5</v>
      </c>
      <c r="J2677">
        <v>1</v>
      </c>
      <c r="K2677" t="s">
        <v>166</v>
      </c>
      <c r="L2677" t="s">
        <v>167</v>
      </c>
      <c r="M2677" t="s">
        <v>168</v>
      </c>
      <c r="N2677" t="s">
        <v>107</v>
      </c>
      <c r="O2677" t="s">
        <v>97</v>
      </c>
    </row>
    <row r="2678" spans="1:15" x14ac:dyDescent="0.2">
      <c r="A2678">
        <v>239</v>
      </c>
      <c r="B2678">
        <v>240</v>
      </c>
      <c r="C2678">
        <v>239</v>
      </c>
      <c r="D2678">
        <v>238</v>
      </c>
      <c r="E2678" t="s">
        <v>251</v>
      </c>
      <c r="F2678" t="s">
        <v>49</v>
      </c>
      <c r="G2678">
        <v>36</v>
      </c>
      <c r="H2678" t="s">
        <v>169</v>
      </c>
      <c r="I2678">
        <v>0</v>
      </c>
      <c r="J2678">
        <v>0</v>
      </c>
      <c r="K2678" t="e">
        <v>#N/A</v>
      </c>
      <c r="L2678" t="e">
        <v>#N/A</v>
      </c>
      <c r="M2678" t="e">
        <v>#N/A</v>
      </c>
      <c r="N2678" t="e">
        <v>#N/A</v>
      </c>
      <c r="O2678" t="s">
        <v>97</v>
      </c>
    </row>
    <row r="2679" spans="1:15" x14ac:dyDescent="0.2">
      <c r="A2679">
        <v>239</v>
      </c>
      <c r="B2679">
        <v>240</v>
      </c>
      <c r="C2679">
        <v>239</v>
      </c>
      <c r="D2679">
        <v>238</v>
      </c>
      <c r="E2679" t="s">
        <v>251</v>
      </c>
      <c r="F2679" t="s">
        <v>49</v>
      </c>
      <c r="G2679">
        <v>38</v>
      </c>
      <c r="H2679" t="s">
        <v>170</v>
      </c>
      <c r="I2679">
        <v>0.5</v>
      </c>
      <c r="J2679">
        <v>0.5</v>
      </c>
      <c r="K2679" t="s">
        <v>112</v>
      </c>
      <c r="L2679" t="s">
        <v>171</v>
      </c>
      <c r="M2679" t="s">
        <v>172</v>
      </c>
      <c r="N2679" t="s">
        <v>96</v>
      </c>
      <c r="O2679" t="s">
        <v>97</v>
      </c>
    </row>
    <row r="2680" spans="1:15" x14ac:dyDescent="0.2">
      <c r="A2680">
        <v>239</v>
      </c>
      <c r="B2680">
        <v>240</v>
      </c>
      <c r="C2680">
        <v>239</v>
      </c>
      <c r="D2680">
        <v>238</v>
      </c>
      <c r="E2680" t="s">
        <v>251</v>
      </c>
      <c r="F2680" t="s">
        <v>49</v>
      </c>
      <c r="G2680">
        <v>39</v>
      </c>
      <c r="H2680" t="s">
        <v>170</v>
      </c>
      <c r="I2680">
        <v>0.5</v>
      </c>
      <c r="J2680">
        <v>0.5</v>
      </c>
      <c r="K2680" t="s">
        <v>112</v>
      </c>
      <c r="L2680" t="s">
        <v>171</v>
      </c>
      <c r="M2680" t="s">
        <v>172</v>
      </c>
      <c r="N2680" t="s">
        <v>96</v>
      </c>
      <c r="O2680" t="s">
        <v>97</v>
      </c>
    </row>
    <row r="2681" spans="1:15" x14ac:dyDescent="0.2">
      <c r="A2681">
        <v>239</v>
      </c>
      <c r="B2681">
        <v>240</v>
      </c>
      <c r="C2681">
        <v>239</v>
      </c>
      <c r="D2681">
        <v>238</v>
      </c>
      <c r="E2681" t="s">
        <v>251</v>
      </c>
      <c r="F2681" t="s">
        <v>49</v>
      </c>
      <c r="G2681">
        <v>40</v>
      </c>
      <c r="H2681" t="s">
        <v>170</v>
      </c>
      <c r="I2681">
        <v>0.5</v>
      </c>
      <c r="J2681">
        <v>0.5</v>
      </c>
      <c r="K2681" t="s">
        <v>112</v>
      </c>
      <c r="L2681" t="s">
        <v>171</v>
      </c>
      <c r="M2681" t="s">
        <v>172</v>
      </c>
      <c r="N2681" t="s">
        <v>96</v>
      </c>
      <c r="O2681" t="s">
        <v>97</v>
      </c>
    </row>
    <row r="2682" spans="1:15" x14ac:dyDescent="0.2">
      <c r="A2682">
        <v>239</v>
      </c>
      <c r="B2682">
        <v>240</v>
      </c>
      <c r="C2682">
        <v>239</v>
      </c>
      <c r="D2682">
        <v>238</v>
      </c>
      <c r="E2682" t="s">
        <v>251</v>
      </c>
      <c r="F2682" t="s">
        <v>49</v>
      </c>
      <c r="G2682">
        <v>41</v>
      </c>
      <c r="H2682" t="s">
        <v>173</v>
      </c>
      <c r="I2682">
        <v>0</v>
      </c>
      <c r="J2682">
        <v>1</v>
      </c>
      <c r="K2682" t="s">
        <v>166</v>
      </c>
      <c r="L2682" t="s">
        <v>174</v>
      </c>
      <c r="M2682" t="s">
        <v>175</v>
      </c>
      <c r="N2682" t="s">
        <v>107</v>
      </c>
      <c r="O2682" t="s">
        <v>97</v>
      </c>
    </row>
    <row r="2683" spans="1:15" x14ac:dyDescent="0.2">
      <c r="A2683">
        <v>239</v>
      </c>
      <c r="B2683">
        <v>240</v>
      </c>
      <c r="C2683">
        <v>239</v>
      </c>
      <c r="D2683">
        <v>238</v>
      </c>
      <c r="E2683" t="s">
        <v>251</v>
      </c>
      <c r="F2683" t="s">
        <v>49</v>
      </c>
      <c r="G2683">
        <v>42</v>
      </c>
      <c r="H2683" t="s">
        <v>176</v>
      </c>
      <c r="I2683">
        <v>1</v>
      </c>
      <c r="J2683">
        <v>1</v>
      </c>
      <c r="K2683" t="s">
        <v>153</v>
      </c>
      <c r="L2683" t="s">
        <v>177</v>
      </c>
      <c r="M2683" t="s">
        <v>178</v>
      </c>
      <c r="N2683" t="s">
        <v>107</v>
      </c>
      <c r="O2683" t="s">
        <v>97</v>
      </c>
    </row>
    <row r="2684" spans="1:15" x14ac:dyDescent="0.2">
      <c r="A2684">
        <v>239</v>
      </c>
      <c r="B2684">
        <v>240</v>
      </c>
      <c r="C2684">
        <v>239</v>
      </c>
      <c r="D2684">
        <v>238</v>
      </c>
      <c r="E2684" t="s">
        <v>251</v>
      </c>
      <c r="F2684" t="s">
        <v>49</v>
      </c>
      <c r="G2684">
        <v>43</v>
      </c>
      <c r="H2684" t="s">
        <v>179</v>
      </c>
      <c r="I2684">
        <v>0</v>
      </c>
      <c r="J2684">
        <v>0</v>
      </c>
      <c r="K2684" t="s">
        <v>166</v>
      </c>
      <c r="L2684" t="s">
        <v>180</v>
      </c>
      <c r="M2684" t="s">
        <v>181</v>
      </c>
      <c r="N2684" t="s">
        <v>107</v>
      </c>
      <c r="O2684" t="s">
        <v>97</v>
      </c>
    </row>
    <row r="2685" spans="1:15" x14ac:dyDescent="0.2">
      <c r="A2685">
        <v>239</v>
      </c>
      <c r="B2685">
        <v>240</v>
      </c>
      <c r="C2685">
        <v>239</v>
      </c>
      <c r="D2685">
        <v>238</v>
      </c>
      <c r="E2685" t="s">
        <v>251</v>
      </c>
      <c r="F2685" t="s">
        <v>49</v>
      </c>
      <c r="G2685">
        <v>44</v>
      </c>
      <c r="H2685" t="s">
        <v>182</v>
      </c>
      <c r="I2685">
        <v>0</v>
      </c>
      <c r="J2685">
        <v>1</v>
      </c>
      <c r="K2685" t="s">
        <v>166</v>
      </c>
      <c r="L2685" t="s">
        <v>183</v>
      </c>
      <c r="M2685" t="s">
        <v>184</v>
      </c>
      <c r="N2685" t="s">
        <v>107</v>
      </c>
      <c r="O2685" t="s">
        <v>97</v>
      </c>
    </row>
    <row r="2686" spans="1:15" x14ac:dyDescent="0.2">
      <c r="A2686">
        <v>239</v>
      </c>
      <c r="B2686">
        <v>240</v>
      </c>
      <c r="C2686">
        <v>239</v>
      </c>
      <c r="D2686">
        <v>238</v>
      </c>
      <c r="E2686" t="s">
        <v>251</v>
      </c>
      <c r="F2686" t="s">
        <v>49</v>
      </c>
      <c r="G2686">
        <v>45</v>
      </c>
      <c r="H2686" t="s">
        <v>185</v>
      </c>
      <c r="I2686">
        <v>1</v>
      </c>
      <c r="J2686">
        <v>1</v>
      </c>
      <c r="K2686" t="s">
        <v>166</v>
      </c>
      <c r="L2686" t="s">
        <v>186</v>
      </c>
      <c r="M2686" t="s">
        <v>139</v>
      </c>
      <c r="N2686" t="s">
        <v>107</v>
      </c>
      <c r="O2686" t="s">
        <v>97</v>
      </c>
    </row>
    <row r="2687" spans="1:15" x14ac:dyDescent="0.2">
      <c r="A2687">
        <v>239</v>
      </c>
      <c r="B2687">
        <v>240</v>
      </c>
      <c r="C2687">
        <v>239</v>
      </c>
      <c r="D2687">
        <v>238</v>
      </c>
      <c r="E2687" t="s">
        <v>251</v>
      </c>
      <c r="F2687" t="s">
        <v>49</v>
      </c>
      <c r="G2687">
        <v>47</v>
      </c>
      <c r="H2687" t="s">
        <v>187</v>
      </c>
      <c r="I2687">
        <v>0</v>
      </c>
      <c r="J2687">
        <v>0.2</v>
      </c>
      <c r="K2687" t="s">
        <v>93</v>
      </c>
      <c r="L2687" t="s">
        <v>188</v>
      </c>
      <c r="M2687" t="s">
        <v>95</v>
      </c>
      <c r="N2687" t="s">
        <v>96</v>
      </c>
      <c r="O2687" t="s">
        <v>97</v>
      </c>
    </row>
    <row r="2688" spans="1:15" x14ac:dyDescent="0.2">
      <c r="A2688">
        <v>239</v>
      </c>
      <c r="B2688">
        <v>240</v>
      </c>
      <c r="C2688">
        <v>239</v>
      </c>
      <c r="D2688">
        <v>238</v>
      </c>
      <c r="E2688" t="s">
        <v>251</v>
      </c>
      <c r="F2688" t="s">
        <v>49</v>
      </c>
      <c r="G2688">
        <v>48</v>
      </c>
      <c r="H2688" t="s">
        <v>189</v>
      </c>
      <c r="I2688">
        <v>0.2</v>
      </c>
      <c r="J2688">
        <v>0.2</v>
      </c>
      <c r="K2688" t="s">
        <v>93</v>
      </c>
      <c r="L2688" t="s">
        <v>190</v>
      </c>
      <c r="M2688" t="s">
        <v>95</v>
      </c>
      <c r="N2688" t="s">
        <v>96</v>
      </c>
      <c r="O2688" t="s">
        <v>97</v>
      </c>
    </row>
    <row r="2689" spans="1:15" x14ac:dyDescent="0.2">
      <c r="A2689">
        <v>239</v>
      </c>
      <c r="B2689">
        <v>240</v>
      </c>
      <c r="C2689">
        <v>239</v>
      </c>
      <c r="D2689">
        <v>238</v>
      </c>
      <c r="E2689" t="s">
        <v>251</v>
      </c>
      <c r="F2689" t="s">
        <v>49</v>
      </c>
      <c r="G2689">
        <v>49</v>
      </c>
      <c r="H2689" t="s">
        <v>191</v>
      </c>
      <c r="I2689">
        <v>0.2</v>
      </c>
      <c r="J2689">
        <v>0.2</v>
      </c>
      <c r="K2689" t="s">
        <v>93</v>
      </c>
      <c r="L2689" t="s">
        <v>192</v>
      </c>
      <c r="M2689" t="s">
        <v>95</v>
      </c>
      <c r="N2689" t="s">
        <v>96</v>
      </c>
      <c r="O2689" t="s">
        <v>97</v>
      </c>
    </row>
    <row r="2690" spans="1:15" x14ac:dyDescent="0.2">
      <c r="A2690">
        <v>239</v>
      </c>
      <c r="B2690">
        <v>240</v>
      </c>
      <c r="C2690">
        <v>239</v>
      </c>
      <c r="D2690">
        <v>238</v>
      </c>
      <c r="E2690" t="s">
        <v>251</v>
      </c>
      <c r="F2690" t="s">
        <v>49</v>
      </c>
      <c r="G2690">
        <v>50</v>
      </c>
      <c r="H2690" t="s">
        <v>193</v>
      </c>
      <c r="I2690">
        <v>0.1</v>
      </c>
      <c r="J2690">
        <v>0.1</v>
      </c>
      <c r="K2690" t="s">
        <v>93</v>
      </c>
      <c r="L2690" t="s">
        <v>194</v>
      </c>
      <c r="M2690" t="s">
        <v>95</v>
      </c>
      <c r="N2690" t="s">
        <v>96</v>
      </c>
      <c r="O2690" t="s">
        <v>97</v>
      </c>
    </row>
    <row r="2691" spans="1:15" x14ac:dyDescent="0.2">
      <c r="A2691">
        <v>239</v>
      </c>
      <c r="B2691">
        <v>240</v>
      </c>
      <c r="C2691">
        <v>239</v>
      </c>
      <c r="D2691">
        <v>238</v>
      </c>
      <c r="E2691" t="s">
        <v>251</v>
      </c>
      <c r="F2691" t="s">
        <v>49</v>
      </c>
      <c r="G2691">
        <v>51</v>
      </c>
      <c r="H2691" t="s">
        <v>193</v>
      </c>
      <c r="I2691">
        <v>0.1</v>
      </c>
      <c r="J2691">
        <v>0.1</v>
      </c>
      <c r="K2691" t="s">
        <v>93</v>
      </c>
      <c r="L2691" t="s">
        <v>194</v>
      </c>
      <c r="M2691" t="s">
        <v>95</v>
      </c>
      <c r="N2691" t="s">
        <v>96</v>
      </c>
      <c r="O2691" t="s">
        <v>97</v>
      </c>
    </row>
    <row r="2692" spans="1:15" x14ac:dyDescent="0.2">
      <c r="A2692">
        <v>239</v>
      </c>
      <c r="B2692">
        <v>240</v>
      </c>
      <c r="C2692">
        <v>239</v>
      </c>
      <c r="D2692">
        <v>238</v>
      </c>
      <c r="E2692" t="s">
        <v>251</v>
      </c>
      <c r="F2692" t="s">
        <v>49</v>
      </c>
      <c r="G2692">
        <v>97</v>
      </c>
      <c r="H2692" t="s">
        <v>152</v>
      </c>
      <c r="I2692">
        <v>0.25</v>
      </c>
      <c r="J2692">
        <v>0.25</v>
      </c>
      <c r="K2692" t="s">
        <v>153</v>
      </c>
      <c r="L2692" t="s">
        <v>154</v>
      </c>
      <c r="M2692" t="s">
        <v>155</v>
      </c>
      <c r="N2692" t="s">
        <v>107</v>
      </c>
      <c r="O2692" t="s">
        <v>97</v>
      </c>
    </row>
    <row r="2693" spans="1:15" x14ac:dyDescent="0.2">
      <c r="A2693">
        <v>239</v>
      </c>
      <c r="B2693">
        <v>240</v>
      </c>
      <c r="C2693">
        <v>239</v>
      </c>
      <c r="D2693">
        <v>238</v>
      </c>
      <c r="E2693" t="s">
        <v>251</v>
      </c>
      <c r="F2693" t="s">
        <v>49</v>
      </c>
      <c r="G2693">
        <v>96</v>
      </c>
      <c r="H2693" t="s">
        <v>152</v>
      </c>
      <c r="I2693">
        <v>0</v>
      </c>
      <c r="J2693">
        <v>0</v>
      </c>
      <c r="K2693" t="s">
        <v>153</v>
      </c>
      <c r="L2693" t="s">
        <v>154</v>
      </c>
      <c r="M2693" t="s">
        <v>155</v>
      </c>
      <c r="N2693" t="s">
        <v>107</v>
      </c>
      <c r="O2693" t="s">
        <v>97</v>
      </c>
    </row>
    <row r="2694" spans="1:15" x14ac:dyDescent="0.2">
      <c r="A2694">
        <v>239</v>
      </c>
      <c r="B2694">
        <v>240</v>
      </c>
      <c r="C2694">
        <v>239</v>
      </c>
      <c r="D2694">
        <v>238</v>
      </c>
      <c r="E2694" t="s">
        <v>251</v>
      </c>
      <c r="F2694" t="s">
        <v>49</v>
      </c>
      <c r="G2694">
        <v>99</v>
      </c>
      <c r="H2694" t="s">
        <v>152</v>
      </c>
      <c r="I2694">
        <v>0</v>
      </c>
      <c r="J2694">
        <v>0</v>
      </c>
      <c r="K2694" t="s">
        <v>153</v>
      </c>
      <c r="L2694" t="s">
        <v>154</v>
      </c>
      <c r="M2694" t="s">
        <v>155</v>
      </c>
      <c r="N2694" t="s">
        <v>107</v>
      </c>
      <c r="O2694" t="s">
        <v>97</v>
      </c>
    </row>
    <row r="2695" spans="1:15" x14ac:dyDescent="0.2">
      <c r="A2695">
        <v>239</v>
      </c>
      <c r="B2695">
        <v>240</v>
      </c>
      <c r="C2695">
        <v>239</v>
      </c>
      <c r="D2695">
        <v>238</v>
      </c>
      <c r="E2695" t="s">
        <v>251</v>
      </c>
      <c r="F2695" t="s">
        <v>49</v>
      </c>
      <c r="G2695">
        <v>98</v>
      </c>
      <c r="H2695" t="s">
        <v>204</v>
      </c>
      <c r="I2695">
        <v>0</v>
      </c>
      <c r="J2695">
        <v>1</v>
      </c>
      <c r="K2695" t="s">
        <v>122</v>
      </c>
      <c r="L2695" t="s">
        <v>205</v>
      </c>
      <c r="M2695" t="s">
        <v>206</v>
      </c>
      <c r="N2695" t="s">
        <v>207</v>
      </c>
      <c r="O2695" t="s">
        <v>97</v>
      </c>
    </row>
    <row r="2696" spans="1:15" x14ac:dyDescent="0.2">
      <c r="A2696">
        <v>234</v>
      </c>
      <c r="B2696">
        <v>235</v>
      </c>
      <c r="C2696">
        <v>234</v>
      </c>
      <c r="D2696">
        <v>233</v>
      </c>
      <c r="E2696" t="s">
        <v>251</v>
      </c>
      <c r="F2696" t="s">
        <v>48</v>
      </c>
      <c r="G2696">
        <v>1</v>
      </c>
      <c r="H2696" t="s">
        <v>92</v>
      </c>
      <c r="I2696">
        <v>0</v>
      </c>
      <c r="J2696">
        <v>0.2</v>
      </c>
      <c r="K2696" t="s">
        <v>93</v>
      </c>
      <c r="L2696" t="s">
        <v>94</v>
      </c>
      <c r="M2696" t="s">
        <v>95</v>
      </c>
      <c r="N2696" t="s">
        <v>96</v>
      </c>
      <c r="O2696" t="s">
        <v>97</v>
      </c>
    </row>
    <row r="2697" spans="1:15" x14ac:dyDescent="0.2">
      <c r="A2697">
        <v>234</v>
      </c>
      <c r="B2697">
        <v>235</v>
      </c>
      <c r="C2697">
        <v>234</v>
      </c>
      <c r="D2697">
        <v>233</v>
      </c>
      <c r="E2697" t="s">
        <v>251</v>
      </c>
      <c r="F2697" t="s">
        <v>48</v>
      </c>
      <c r="G2697">
        <v>2</v>
      </c>
      <c r="H2697" t="s">
        <v>98</v>
      </c>
      <c r="I2697">
        <v>0.25</v>
      </c>
      <c r="J2697">
        <v>0.5</v>
      </c>
      <c r="K2697" t="s">
        <v>93</v>
      </c>
      <c r="L2697" t="s">
        <v>99</v>
      </c>
      <c r="M2697" t="s">
        <v>95</v>
      </c>
      <c r="N2697" t="s">
        <v>96</v>
      </c>
      <c r="O2697" t="s">
        <v>97</v>
      </c>
    </row>
    <row r="2698" spans="1:15" x14ac:dyDescent="0.2">
      <c r="A2698">
        <v>234</v>
      </c>
      <c r="B2698">
        <v>235</v>
      </c>
      <c r="C2698">
        <v>234</v>
      </c>
      <c r="D2698">
        <v>233</v>
      </c>
      <c r="E2698" t="s">
        <v>251</v>
      </c>
      <c r="F2698" t="s">
        <v>48</v>
      </c>
      <c r="G2698">
        <v>3</v>
      </c>
      <c r="H2698" t="s">
        <v>100</v>
      </c>
      <c r="I2698">
        <v>0</v>
      </c>
      <c r="J2698">
        <v>1</v>
      </c>
      <c r="K2698" t="s">
        <v>101</v>
      </c>
      <c r="L2698" t="s">
        <v>102</v>
      </c>
      <c r="M2698" t="s">
        <v>103</v>
      </c>
      <c r="N2698" t="s">
        <v>96</v>
      </c>
      <c r="O2698" t="s">
        <v>97</v>
      </c>
    </row>
    <row r="2699" spans="1:15" x14ac:dyDescent="0.2">
      <c r="A2699">
        <v>234</v>
      </c>
      <c r="B2699">
        <v>235</v>
      </c>
      <c r="C2699">
        <v>234</v>
      </c>
      <c r="D2699">
        <v>233</v>
      </c>
      <c r="E2699" t="s">
        <v>251</v>
      </c>
      <c r="F2699" t="s">
        <v>48</v>
      </c>
      <c r="G2699">
        <v>4</v>
      </c>
      <c r="H2699" t="s">
        <v>104</v>
      </c>
      <c r="I2699">
        <v>0.5</v>
      </c>
      <c r="J2699">
        <v>1</v>
      </c>
      <c r="K2699" t="s">
        <v>101</v>
      </c>
      <c r="L2699" t="s">
        <v>105</v>
      </c>
      <c r="M2699" t="s">
        <v>106</v>
      </c>
      <c r="N2699" t="s">
        <v>107</v>
      </c>
      <c r="O2699" t="s">
        <v>97</v>
      </c>
    </row>
    <row r="2700" spans="1:15" x14ac:dyDescent="0.2">
      <c r="A2700">
        <v>234</v>
      </c>
      <c r="B2700">
        <v>235</v>
      </c>
      <c r="C2700">
        <v>234</v>
      </c>
      <c r="D2700">
        <v>233</v>
      </c>
      <c r="E2700" t="s">
        <v>251</v>
      </c>
      <c r="F2700" t="s">
        <v>48</v>
      </c>
      <c r="G2700">
        <v>5</v>
      </c>
      <c r="H2700" t="s">
        <v>108</v>
      </c>
      <c r="I2700">
        <v>0</v>
      </c>
      <c r="J2700">
        <v>1</v>
      </c>
      <c r="K2700" t="s">
        <v>101</v>
      </c>
      <c r="L2700" t="s">
        <v>109</v>
      </c>
      <c r="M2700" t="s">
        <v>110</v>
      </c>
      <c r="N2700" t="s">
        <v>107</v>
      </c>
      <c r="O2700" t="s">
        <v>97</v>
      </c>
    </row>
    <row r="2701" spans="1:15" x14ac:dyDescent="0.2">
      <c r="A2701">
        <v>234</v>
      </c>
      <c r="B2701">
        <v>235</v>
      </c>
      <c r="C2701">
        <v>234</v>
      </c>
      <c r="D2701">
        <v>233</v>
      </c>
      <c r="E2701" t="s">
        <v>251</v>
      </c>
      <c r="F2701" t="s">
        <v>48</v>
      </c>
      <c r="G2701">
        <v>9</v>
      </c>
      <c r="H2701" t="s">
        <v>111</v>
      </c>
      <c r="I2701">
        <v>0.25</v>
      </c>
      <c r="J2701">
        <v>0.5</v>
      </c>
      <c r="K2701" t="s">
        <v>112</v>
      </c>
      <c r="L2701" t="s">
        <v>113</v>
      </c>
      <c r="M2701" t="s">
        <v>114</v>
      </c>
      <c r="N2701" t="s">
        <v>96</v>
      </c>
      <c r="O2701" t="s">
        <v>97</v>
      </c>
    </row>
    <row r="2702" spans="1:15" x14ac:dyDescent="0.2">
      <c r="A2702">
        <v>234</v>
      </c>
      <c r="B2702">
        <v>235</v>
      </c>
      <c r="C2702">
        <v>234</v>
      </c>
      <c r="D2702">
        <v>233</v>
      </c>
      <c r="E2702" t="s">
        <v>251</v>
      </c>
      <c r="F2702" t="s">
        <v>48</v>
      </c>
      <c r="G2702">
        <v>10</v>
      </c>
      <c r="H2702" t="s">
        <v>115</v>
      </c>
      <c r="I2702">
        <v>0.5</v>
      </c>
      <c r="J2702">
        <v>0.5</v>
      </c>
      <c r="K2702" t="s">
        <v>112</v>
      </c>
      <c r="L2702" t="s">
        <v>116</v>
      </c>
      <c r="M2702" t="s">
        <v>117</v>
      </c>
      <c r="N2702" t="s">
        <v>96</v>
      </c>
      <c r="O2702" t="s">
        <v>97</v>
      </c>
    </row>
    <row r="2703" spans="1:15" x14ac:dyDescent="0.2">
      <c r="A2703">
        <v>234</v>
      </c>
      <c r="B2703">
        <v>235</v>
      </c>
      <c r="C2703">
        <v>234</v>
      </c>
      <c r="D2703">
        <v>233</v>
      </c>
      <c r="E2703" t="s">
        <v>251</v>
      </c>
      <c r="F2703" t="s">
        <v>48</v>
      </c>
      <c r="G2703">
        <v>11</v>
      </c>
      <c r="H2703" t="s">
        <v>118</v>
      </c>
      <c r="I2703">
        <v>0.5</v>
      </c>
      <c r="J2703">
        <v>1</v>
      </c>
      <c r="K2703" t="s">
        <v>112</v>
      </c>
      <c r="L2703" t="s">
        <v>119</v>
      </c>
      <c r="M2703" t="s">
        <v>120</v>
      </c>
      <c r="N2703" t="s">
        <v>107</v>
      </c>
      <c r="O2703" t="s">
        <v>97</v>
      </c>
    </row>
    <row r="2704" spans="1:15" x14ac:dyDescent="0.2">
      <c r="A2704">
        <v>234</v>
      </c>
      <c r="B2704">
        <v>235</v>
      </c>
      <c r="C2704">
        <v>234</v>
      </c>
      <c r="D2704">
        <v>233</v>
      </c>
      <c r="E2704" t="s">
        <v>251</v>
      </c>
      <c r="F2704" t="s">
        <v>48</v>
      </c>
      <c r="G2704">
        <v>12</v>
      </c>
      <c r="H2704" t="s">
        <v>121</v>
      </c>
      <c r="I2704">
        <v>0</v>
      </c>
      <c r="J2704">
        <v>0.5</v>
      </c>
      <c r="K2704" t="s">
        <v>122</v>
      </c>
      <c r="L2704" t="s">
        <v>113</v>
      </c>
      <c r="M2704" t="s">
        <v>123</v>
      </c>
      <c r="N2704" t="s">
        <v>96</v>
      </c>
      <c r="O2704" t="s">
        <v>97</v>
      </c>
    </row>
    <row r="2705" spans="1:15" x14ac:dyDescent="0.2">
      <c r="A2705">
        <v>234</v>
      </c>
      <c r="B2705">
        <v>235</v>
      </c>
      <c r="C2705">
        <v>234</v>
      </c>
      <c r="D2705">
        <v>233</v>
      </c>
      <c r="E2705" t="s">
        <v>251</v>
      </c>
      <c r="F2705" t="s">
        <v>48</v>
      </c>
      <c r="G2705">
        <v>13</v>
      </c>
      <c r="H2705" t="s">
        <v>124</v>
      </c>
      <c r="I2705">
        <v>0</v>
      </c>
      <c r="J2705">
        <v>0.5</v>
      </c>
      <c r="K2705" t="s">
        <v>122</v>
      </c>
      <c r="L2705" t="s">
        <v>125</v>
      </c>
      <c r="M2705" t="s">
        <v>126</v>
      </c>
      <c r="N2705" t="s">
        <v>96</v>
      </c>
      <c r="O2705" t="s">
        <v>97</v>
      </c>
    </row>
    <row r="2706" spans="1:15" x14ac:dyDescent="0.2">
      <c r="A2706">
        <v>234</v>
      </c>
      <c r="B2706">
        <v>235</v>
      </c>
      <c r="C2706">
        <v>234</v>
      </c>
      <c r="D2706">
        <v>233</v>
      </c>
      <c r="E2706" t="s">
        <v>251</v>
      </c>
      <c r="F2706" t="s">
        <v>48</v>
      </c>
      <c r="G2706">
        <v>14</v>
      </c>
      <c r="H2706" t="s">
        <v>127</v>
      </c>
      <c r="I2706">
        <v>0.5</v>
      </c>
      <c r="J2706">
        <v>1</v>
      </c>
      <c r="K2706" t="s">
        <v>122</v>
      </c>
      <c r="L2706" t="s">
        <v>119</v>
      </c>
      <c r="M2706" t="s">
        <v>128</v>
      </c>
      <c r="N2706" t="s">
        <v>107</v>
      </c>
      <c r="O2706" t="s">
        <v>97</v>
      </c>
    </row>
    <row r="2707" spans="1:15" x14ac:dyDescent="0.2">
      <c r="A2707">
        <v>234</v>
      </c>
      <c r="B2707">
        <v>235</v>
      </c>
      <c r="C2707">
        <v>234</v>
      </c>
      <c r="D2707">
        <v>233</v>
      </c>
      <c r="E2707" t="s">
        <v>251</v>
      </c>
      <c r="F2707" t="s">
        <v>48</v>
      </c>
      <c r="G2707">
        <v>15</v>
      </c>
      <c r="H2707" t="s">
        <v>129</v>
      </c>
      <c r="I2707">
        <v>1</v>
      </c>
      <c r="J2707">
        <v>1</v>
      </c>
      <c r="K2707" t="s">
        <v>130</v>
      </c>
      <c r="L2707" t="s">
        <v>131</v>
      </c>
      <c r="M2707" t="s">
        <v>132</v>
      </c>
      <c r="N2707" t="s">
        <v>107</v>
      </c>
      <c r="O2707" t="s">
        <v>97</v>
      </c>
    </row>
    <row r="2708" spans="1:15" x14ac:dyDescent="0.2">
      <c r="A2708">
        <v>234</v>
      </c>
      <c r="B2708">
        <v>235</v>
      </c>
      <c r="C2708">
        <v>234</v>
      </c>
      <c r="D2708">
        <v>233</v>
      </c>
      <c r="E2708" t="s">
        <v>251</v>
      </c>
      <c r="F2708" t="s">
        <v>48</v>
      </c>
      <c r="G2708">
        <v>16</v>
      </c>
      <c r="H2708" t="s">
        <v>133</v>
      </c>
      <c r="I2708">
        <v>0</v>
      </c>
      <c r="J2708">
        <v>0</v>
      </c>
      <c r="K2708" t="e">
        <v>#N/A</v>
      </c>
      <c r="L2708" t="e">
        <v>#N/A</v>
      </c>
      <c r="M2708" t="e">
        <v>#N/A</v>
      </c>
      <c r="N2708" t="e">
        <v>#N/A</v>
      </c>
      <c r="O2708" t="s">
        <v>97</v>
      </c>
    </row>
    <row r="2709" spans="1:15" x14ac:dyDescent="0.2">
      <c r="A2709">
        <v>234</v>
      </c>
      <c r="B2709">
        <v>235</v>
      </c>
      <c r="C2709">
        <v>234</v>
      </c>
      <c r="D2709">
        <v>233</v>
      </c>
      <c r="E2709" t="s">
        <v>251</v>
      </c>
      <c r="F2709" t="s">
        <v>48</v>
      </c>
      <c r="G2709">
        <v>17</v>
      </c>
      <c r="H2709" t="s">
        <v>134</v>
      </c>
      <c r="I2709">
        <v>1</v>
      </c>
      <c r="J2709">
        <v>1</v>
      </c>
      <c r="K2709" t="s">
        <v>112</v>
      </c>
      <c r="L2709" t="s">
        <v>135</v>
      </c>
      <c r="M2709" t="s">
        <v>136</v>
      </c>
      <c r="N2709" t="s">
        <v>107</v>
      </c>
      <c r="O2709" t="s">
        <v>97</v>
      </c>
    </row>
    <row r="2710" spans="1:15" x14ac:dyDescent="0.2">
      <c r="A2710">
        <v>234</v>
      </c>
      <c r="B2710">
        <v>235</v>
      </c>
      <c r="C2710">
        <v>234</v>
      </c>
      <c r="D2710">
        <v>233</v>
      </c>
      <c r="E2710" t="s">
        <v>251</v>
      </c>
      <c r="F2710" t="s">
        <v>48</v>
      </c>
      <c r="G2710">
        <v>18</v>
      </c>
      <c r="H2710" t="s">
        <v>137</v>
      </c>
      <c r="I2710">
        <v>1</v>
      </c>
      <c r="J2710">
        <v>1</v>
      </c>
      <c r="K2710" t="s">
        <v>112</v>
      </c>
      <c r="L2710" t="s">
        <v>138</v>
      </c>
      <c r="M2710" t="s">
        <v>139</v>
      </c>
      <c r="N2710" t="s">
        <v>107</v>
      </c>
      <c r="O2710" t="s">
        <v>97</v>
      </c>
    </row>
    <row r="2711" spans="1:15" x14ac:dyDescent="0.2">
      <c r="A2711">
        <v>234</v>
      </c>
      <c r="B2711">
        <v>235</v>
      </c>
      <c r="C2711">
        <v>234</v>
      </c>
      <c r="D2711">
        <v>233</v>
      </c>
      <c r="E2711" t="s">
        <v>251</v>
      </c>
      <c r="F2711" t="s">
        <v>48</v>
      </c>
      <c r="G2711">
        <v>19</v>
      </c>
      <c r="H2711" t="s">
        <v>140</v>
      </c>
      <c r="I2711">
        <v>0.5</v>
      </c>
      <c r="J2711">
        <v>1</v>
      </c>
      <c r="K2711" t="s">
        <v>122</v>
      </c>
      <c r="L2711" t="s">
        <v>141</v>
      </c>
      <c r="M2711" t="s">
        <v>142</v>
      </c>
      <c r="N2711" t="s">
        <v>107</v>
      </c>
      <c r="O2711" t="s">
        <v>97</v>
      </c>
    </row>
    <row r="2712" spans="1:15" x14ac:dyDescent="0.2">
      <c r="A2712">
        <v>234</v>
      </c>
      <c r="B2712">
        <v>235</v>
      </c>
      <c r="C2712">
        <v>234</v>
      </c>
      <c r="D2712">
        <v>233</v>
      </c>
      <c r="E2712" t="s">
        <v>251</v>
      </c>
      <c r="F2712" t="s">
        <v>48</v>
      </c>
      <c r="G2712">
        <v>20</v>
      </c>
      <c r="H2712" t="s">
        <v>143</v>
      </c>
      <c r="I2712">
        <v>1</v>
      </c>
      <c r="J2712">
        <v>1</v>
      </c>
      <c r="K2712" t="s">
        <v>122</v>
      </c>
      <c r="L2712" t="s">
        <v>144</v>
      </c>
      <c r="M2712" t="s">
        <v>145</v>
      </c>
      <c r="N2712" t="s">
        <v>107</v>
      </c>
      <c r="O2712" t="s">
        <v>97</v>
      </c>
    </row>
    <row r="2713" spans="1:15" x14ac:dyDescent="0.2">
      <c r="A2713">
        <v>234</v>
      </c>
      <c r="B2713">
        <v>235</v>
      </c>
      <c r="C2713">
        <v>234</v>
      </c>
      <c r="D2713">
        <v>233</v>
      </c>
      <c r="E2713" t="s">
        <v>251</v>
      </c>
      <c r="F2713" t="s">
        <v>48</v>
      </c>
      <c r="G2713">
        <v>21</v>
      </c>
      <c r="H2713" t="s">
        <v>146</v>
      </c>
      <c r="I2713">
        <v>1</v>
      </c>
      <c r="J2713">
        <v>1</v>
      </c>
      <c r="K2713" t="s">
        <v>147</v>
      </c>
      <c r="L2713" t="s">
        <v>148</v>
      </c>
      <c r="M2713" t="s">
        <v>149</v>
      </c>
      <c r="N2713" t="s">
        <v>96</v>
      </c>
      <c r="O2713" t="s">
        <v>97</v>
      </c>
    </row>
    <row r="2714" spans="1:15" x14ac:dyDescent="0.2">
      <c r="A2714">
        <v>234</v>
      </c>
      <c r="B2714">
        <v>235</v>
      </c>
      <c r="C2714">
        <v>234</v>
      </c>
      <c r="D2714">
        <v>233</v>
      </c>
      <c r="E2714" t="s">
        <v>251</v>
      </c>
      <c r="F2714" t="s">
        <v>48</v>
      </c>
      <c r="G2714">
        <v>22</v>
      </c>
      <c r="H2714" t="s">
        <v>150</v>
      </c>
      <c r="I2714">
        <v>0</v>
      </c>
      <c r="J2714">
        <v>1</v>
      </c>
      <c r="K2714" t="s">
        <v>147</v>
      </c>
      <c r="L2714" t="s">
        <v>151</v>
      </c>
      <c r="M2714" t="s">
        <v>149</v>
      </c>
      <c r="N2714" t="s">
        <v>107</v>
      </c>
      <c r="O2714" t="s">
        <v>97</v>
      </c>
    </row>
    <row r="2715" spans="1:15" x14ac:dyDescent="0.2">
      <c r="A2715">
        <v>234</v>
      </c>
      <c r="B2715">
        <v>235</v>
      </c>
      <c r="C2715">
        <v>234</v>
      </c>
      <c r="D2715">
        <v>233</v>
      </c>
      <c r="E2715" t="s">
        <v>251</v>
      </c>
      <c r="F2715" t="s">
        <v>48</v>
      </c>
      <c r="G2715">
        <v>23</v>
      </c>
      <c r="H2715" t="s">
        <v>152</v>
      </c>
      <c r="I2715">
        <v>0</v>
      </c>
      <c r="J2715">
        <v>0</v>
      </c>
      <c r="K2715" t="s">
        <v>153</v>
      </c>
      <c r="L2715" t="s">
        <v>154</v>
      </c>
      <c r="M2715" t="s">
        <v>155</v>
      </c>
      <c r="N2715" t="s">
        <v>107</v>
      </c>
      <c r="O2715" t="s">
        <v>97</v>
      </c>
    </row>
    <row r="2716" spans="1:15" x14ac:dyDescent="0.2">
      <c r="A2716">
        <v>234</v>
      </c>
      <c r="B2716">
        <v>235</v>
      </c>
      <c r="C2716">
        <v>234</v>
      </c>
      <c r="D2716">
        <v>233</v>
      </c>
      <c r="E2716" t="s">
        <v>251</v>
      </c>
      <c r="F2716" t="s">
        <v>48</v>
      </c>
      <c r="G2716">
        <v>24</v>
      </c>
      <c r="H2716" t="s">
        <v>156</v>
      </c>
      <c r="I2716">
        <v>0</v>
      </c>
      <c r="J2716">
        <v>0.5</v>
      </c>
      <c r="K2716" t="s">
        <v>122</v>
      </c>
      <c r="L2716" t="s">
        <v>157</v>
      </c>
      <c r="M2716" t="s">
        <v>158</v>
      </c>
      <c r="N2716" t="s">
        <v>107</v>
      </c>
      <c r="O2716" t="s">
        <v>97</v>
      </c>
    </row>
    <row r="2717" spans="1:15" x14ac:dyDescent="0.2">
      <c r="A2717">
        <v>234</v>
      </c>
      <c r="B2717">
        <v>235</v>
      </c>
      <c r="C2717">
        <v>234</v>
      </c>
      <c r="D2717">
        <v>233</v>
      </c>
      <c r="E2717" t="s">
        <v>251</v>
      </c>
      <c r="F2717" t="s">
        <v>48</v>
      </c>
      <c r="G2717">
        <v>25</v>
      </c>
      <c r="H2717" t="s">
        <v>156</v>
      </c>
      <c r="I2717">
        <v>0</v>
      </c>
      <c r="J2717">
        <v>0.5</v>
      </c>
      <c r="K2717" t="s">
        <v>122</v>
      </c>
      <c r="L2717" t="s">
        <v>157</v>
      </c>
      <c r="M2717" t="s">
        <v>158</v>
      </c>
      <c r="N2717" t="s">
        <v>107</v>
      </c>
      <c r="O2717" t="s">
        <v>97</v>
      </c>
    </row>
    <row r="2718" spans="1:15" x14ac:dyDescent="0.2">
      <c r="A2718">
        <v>234</v>
      </c>
      <c r="B2718">
        <v>235</v>
      </c>
      <c r="C2718">
        <v>234</v>
      </c>
      <c r="D2718">
        <v>233</v>
      </c>
      <c r="E2718" t="s">
        <v>251</v>
      </c>
      <c r="F2718" t="s">
        <v>48</v>
      </c>
      <c r="G2718">
        <v>26</v>
      </c>
      <c r="H2718" t="s">
        <v>152</v>
      </c>
      <c r="I2718">
        <v>0</v>
      </c>
      <c r="J2718">
        <v>0</v>
      </c>
      <c r="K2718" t="s">
        <v>153</v>
      </c>
      <c r="L2718" t="s">
        <v>154</v>
      </c>
      <c r="M2718" t="s">
        <v>155</v>
      </c>
      <c r="N2718" t="s">
        <v>107</v>
      </c>
      <c r="O2718" t="s">
        <v>97</v>
      </c>
    </row>
    <row r="2719" spans="1:15" x14ac:dyDescent="0.2">
      <c r="A2719">
        <v>234</v>
      </c>
      <c r="B2719">
        <v>235</v>
      </c>
      <c r="C2719">
        <v>234</v>
      </c>
      <c r="D2719">
        <v>233</v>
      </c>
      <c r="E2719" t="s">
        <v>251</v>
      </c>
      <c r="F2719" t="s">
        <v>48</v>
      </c>
      <c r="G2719">
        <v>27</v>
      </c>
      <c r="H2719" t="s">
        <v>159</v>
      </c>
      <c r="I2719">
        <v>0</v>
      </c>
      <c r="J2719">
        <v>0.5</v>
      </c>
      <c r="K2719" t="s">
        <v>122</v>
      </c>
      <c r="L2719" t="s">
        <v>160</v>
      </c>
      <c r="M2719" t="s">
        <v>161</v>
      </c>
      <c r="N2719" t="s">
        <v>107</v>
      </c>
      <c r="O2719" t="s">
        <v>97</v>
      </c>
    </row>
    <row r="2720" spans="1:15" x14ac:dyDescent="0.2">
      <c r="A2720">
        <v>234</v>
      </c>
      <c r="B2720">
        <v>235</v>
      </c>
      <c r="C2720">
        <v>234</v>
      </c>
      <c r="D2720">
        <v>233</v>
      </c>
      <c r="E2720" t="s">
        <v>251</v>
      </c>
      <c r="F2720" t="s">
        <v>48</v>
      </c>
      <c r="G2720">
        <v>28</v>
      </c>
      <c r="H2720" t="s">
        <v>159</v>
      </c>
      <c r="I2720">
        <v>0</v>
      </c>
      <c r="J2720">
        <v>0.5</v>
      </c>
      <c r="K2720" t="s">
        <v>122</v>
      </c>
      <c r="L2720" t="s">
        <v>160</v>
      </c>
      <c r="M2720" t="s">
        <v>161</v>
      </c>
      <c r="N2720" t="s">
        <v>107</v>
      </c>
      <c r="O2720" t="s">
        <v>97</v>
      </c>
    </row>
    <row r="2721" spans="1:15" x14ac:dyDescent="0.2">
      <c r="A2721">
        <v>234</v>
      </c>
      <c r="B2721">
        <v>235</v>
      </c>
      <c r="C2721">
        <v>234</v>
      </c>
      <c r="D2721">
        <v>233</v>
      </c>
      <c r="E2721" t="s">
        <v>251</v>
      </c>
      <c r="F2721" t="s">
        <v>48</v>
      </c>
      <c r="G2721">
        <v>29</v>
      </c>
      <c r="H2721" t="s">
        <v>152</v>
      </c>
      <c r="I2721">
        <v>0</v>
      </c>
      <c r="J2721">
        <v>0</v>
      </c>
      <c r="K2721" t="s">
        <v>153</v>
      </c>
      <c r="L2721" t="s">
        <v>154</v>
      </c>
      <c r="M2721" t="s">
        <v>155</v>
      </c>
      <c r="N2721" t="s">
        <v>107</v>
      </c>
      <c r="O2721" t="s">
        <v>97</v>
      </c>
    </row>
    <row r="2722" spans="1:15" x14ac:dyDescent="0.2">
      <c r="A2722">
        <v>234</v>
      </c>
      <c r="B2722">
        <v>235</v>
      </c>
      <c r="C2722">
        <v>234</v>
      </c>
      <c r="D2722">
        <v>233</v>
      </c>
      <c r="E2722" t="s">
        <v>251</v>
      </c>
      <c r="F2722" t="s">
        <v>48</v>
      </c>
      <c r="G2722">
        <v>30</v>
      </c>
      <c r="H2722" t="s">
        <v>162</v>
      </c>
      <c r="I2722">
        <v>0</v>
      </c>
      <c r="J2722">
        <v>1</v>
      </c>
      <c r="K2722" t="s">
        <v>112</v>
      </c>
      <c r="L2722" t="s">
        <v>163</v>
      </c>
      <c r="M2722" t="s">
        <v>164</v>
      </c>
      <c r="N2722" t="s">
        <v>107</v>
      </c>
      <c r="O2722" t="s">
        <v>97</v>
      </c>
    </row>
    <row r="2723" spans="1:15" x14ac:dyDescent="0.2">
      <c r="A2723">
        <v>234</v>
      </c>
      <c r="B2723">
        <v>235</v>
      </c>
      <c r="C2723">
        <v>234</v>
      </c>
      <c r="D2723">
        <v>233</v>
      </c>
      <c r="E2723" t="s">
        <v>251</v>
      </c>
      <c r="F2723" t="s">
        <v>48</v>
      </c>
      <c r="G2723">
        <v>31</v>
      </c>
      <c r="H2723" t="s">
        <v>162</v>
      </c>
      <c r="I2723">
        <v>0</v>
      </c>
      <c r="J2723">
        <v>0</v>
      </c>
      <c r="K2723" t="s">
        <v>112</v>
      </c>
      <c r="L2723" t="s">
        <v>163</v>
      </c>
      <c r="M2723" t="s">
        <v>164</v>
      </c>
      <c r="N2723" t="s">
        <v>107</v>
      </c>
      <c r="O2723" t="s">
        <v>97</v>
      </c>
    </row>
    <row r="2724" spans="1:15" x14ac:dyDescent="0.2">
      <c r="A2724">
        <v>234</v>
      </c>
      <c r="B2724">
        <v>235</v>
      </c>
      <c r="C2724">
        <v>234</v>
      </c>
      <c r="D2724">
        <v>233</v>
      </c>
      <c r="E2724" t="s">
        <v>251</v>
      </c>
      <c r="F2724" t="s">
        <v>48</v>
      </c>
      <c r="G2724">
        <v>32</v>
      </c>
      <c r="H2724" t="s">
        <v>162</v>
      </c>
      <c r="I2724">
        <v>0</v>
      </c>
      <c r="J2724">
        <v>0</v>
      </c>
      <c r="K2724" t="s">
        <v>112</v>
      </c>
      <c r="L2724" t="s">
        <v>163</v>
      </c>
      <c r="M2724" t="s">
        <v>164</v>
      </c>
      <c r="N2724" t="s">
        <v>107</v>
      </c>
      <c r="O2724" t="s">
        <v>97</v>
      </c>
    </row>
    <row r="2725" spans="1:15" x14ac:dyDescent="0.2">
      <c r="A2725">
        <v>234</v>
      </c>
      <c r="B2725">
        <v>235</v>
      </c>
      <c r="C2725">
        <v>234</v>
      </c>
      <c r="D2725">
        <v>233</v>
      </c>
      <c r="E2725" t="s">
        <v>251</v>
      </c>
      <c r="F2725" t="s">
        <v>48</v>
      </c>
      <c r="G2725">
        <v>33</v>
      </c>
      <c r="H2725" t="s">
        <v>152</v>
      </c>
      <c r="I2725">
        <v>1</v>
      </c>
      <c r="J2725">
        <v>1</v>
      </c>
      <c r="K2725" t="s">
        <v>153</v>
      </c>
      <c r="L2725" t="s">
        <v>154</v>
      </c>
      <c r="M2725" t="s">
        <v>155</v>
      </c>
      <c r="N2725" t="s">
        <v>107</v>
      </c>
      <c r="O2725" t="s">
        <v>97</v>
      </c>
    </row>
    <row r="2726" spans="1:15" x14ac:dyDescent="0.2">
      <c r="A2726">
        <v>234</v>
      </c>
      <c r="B2726">
        <v>235</v>
      </c>
      <c r="C2726">
        <v>234</v>
      </c>
      <c r="D2726">
        <v>233</v>
      </c>
      <c r="E2726" t="s">
        <v>251</v>
      </c>
      <c r="F2726" t="s">
        <v>48</v>
      </c>
      <c r="G2726">
        <v>34</v>
      </c>
      <c r="H2726" t="s">
        <v>152</v>
      </c>
      <c r="I2726">
        <v>0</v>
      </c>
      <c r="J2726">
        <v>0</v>
      </c>
      <c r="K2726" t="s">
        <v>153</v>
      </c>
      <c r="L2726" t="s">
        <v>154</v>
      </c>
      <c r="M2726" t="s">
        <v>155</v>
      </c>
      <c r="N2726" t="s">
        <v>107</v>
      </c>
      <c r="O2726" t="s">
        <v>97</v>
      </c>
    </row>
    <row r="2727" spans="1:15" x14ac:dyDescent="0.2">
      <c r="A2727">
        <v>234</v>
      </c>
      <c r="B2727">
        <v>235</v>
      </c>
      <c r="C2727">
        <v>234</v>
      </c>
      <c r="D2727">
        <v>233</v>
      </c>
      <c r="E2727" t="s">
        <v>251</v>
      </c>
      <c r="F2727" t="s">
        <v>48</v>
      </c>
      <c r="G2727">
        <v>35</v>
      </c>
      <c r="H2727" t="s">
        <v>165</v>
      </c>
      <c r="I2727">
        <v>0.5</v>
      </c>
      <c r="J2727">
        <v>1</v>
      </c>
      <c r="K2727" t="s">
        <v>166</v>
      </c>
      <c r="L2727" t="s">
        <v>167</v>
      </c>
      <c r="M2727" t="s">
        <v>168</v>
      </c>
      <c r="N2727" t="s">
        <v>107</v>
      </c>
      <c r="O2727" t="s">
        <v>97</v>
      </c>
    </row>
    <row r="2728" spans="1:15" x14ac:dyDescent="0.2">
      <c r="A2728">
        <v>234</v>
      </c>
      <c r="B2728">
        <v>235</v>
      </c>
      <c r="C2728">
        <v>234</v>
      </c>
      <c r="D2728">
        <v>233</v>
      </c>
      <c r="E2728" t="s">
        <v>251</v>
      </c>
      <c r="F2728" t="s">
        <v>48</v>
      </c>
      <c r="G2728">
        <v>36</v>
      </c>
      <c r="H2728" t="s">
        <v>169</v>
      </c>
      <c r="I2728">
        <v>0</v>
      </c>
      <c r="J2728">
        <v>0</v>
      </c>
      <c r="K2728" t="e">
        <v>#N/A</v>
      </c>
      <c r="L2728" t="e">
        <v>#N/A</v>
      </c>
      <c r="M2728" t="e">
        <v>#N/A</v>
      </c>
      <c r="N2728" t="e">
        <v>#N/A</v>
      </c>
      <c r="O2728" t="s">
        <v>97</v>
      </c>
    </row>
    <row r="2729" spans="1:15" x14ac:dyDescent="0.2">
      <c r="A2729">
        <v>234</v>
      </c>
      <c r="B2729">
        <v>235</v>
      </c>
      <c r="C2729">
        <v>234</v>
      </c>
      <c r="D2729">
        <v>233</v>
      </c>
      <c r="E2729" t="s">
        <v>251</v>
      </c>
      <c r="F2729" t="s">
        <v>48</v>
      </c>
      <c r="G2729">
        <v>38</v>
      </c>
      <c r="H2729" t="s">
        <v>170</v>
      </c>
      <c r="I2729">
        <v>0.5</v>
      </c>
      <c r="J2729">
        <v>0.5</v>
      </c>
      <c r="K2729" t="s">
        <v>112</v>
      </c>
      <c r="L2729" t="s">
        <v>171</v>
      </c>
      <c r="M2729" t="s">
        <v>172</v>
      </c>
      <c r="N2729" t="s">
        <v>96</v>
      </c>
      <c r="O2729" t="s">
        <v>97</v>
      </c>
    </row>
    <row r="2730" spans="1:15" x14ac:dyDescent="0.2">
      <c r="A2730">
        <v>234</v>
      </c>
      <c r="B2730">
        <v>235</v>
      </c>
      <c r="C2730">
        <v>234</v>
      </c>
      <c r="D2730">
        <v>233</v>
      </c>
      <c r="E2730" t="s">
        <v>251</v>
      </c>
      <c r="F2730" t="s">
        <v>48</v>
      </c>
      <c r="G2730">
        <v>39</v>
      </c>
      <c r="H2730" t="s">
        <v>170</v>
      </c>
      <c r="I2730">
        <v>0.5</v>
      </c>
      <c r="J2730">
        <v>0.5</v>
      </c>
      <c r="K2730" t="s">
        <v>112</v>
      </c>
      <c r="L2730" t="s">
        <v>171</v>
      </c>
      <c r="M2730" t="s">
        <v>172</v>
      </c>
      <c r="N2730" t="s">
        <v>96</v>
      </c>
      <c r="O2730" t="s">
        <v>97</v>
      </c>
    </row>
    <row r="2731" spans="1:15" x14ac:dyDescent="0.2">
      <c r="A2731">
        <v>234</v>
      </c>
      <c r="B2731">
        <v>235</v>
      </c>
      <c r="C2731">
        <v>234</v>
      </c>
      <c r="D2731">
        <v>233</v>
      </c>
      <c r="E2731" t="s">
        <v>251</v>
      </c>
      <c r="F2731" t="s">
        <v>48</v>
      </c>
      <c r="G2731">
        <v>40</v>
      </c>
      <c r="H2731" t="s">
        <v>170</v>
      </c>
      <c r="I2731">
        <v>0.5</v>
      </c>
      <c r="J2731">
        <v>0.5</v>
      </c>
      <c r="K2731" t="s">
        <v>112</v>
      </c>
      <c r="L2731" t="s">
        <v>171</v>
      </c>
      <c r="M2731" t="s">
        <v>172</v>
      </c>
      <c r="N2731" t="s">
        <v>96</v>
      </c>
      <c r="O2731" t="s">
        <v>97</v>
      </c>
    </row>
    <row r="2732" spans="1:15" x14ac:dyDescent="0.2">
      <c r="A2732">
        <v>234</v>
      </c>
      <c r="B2732">
        <v>235</v>
      </c>
      <c r="C2732">
        <v>234</v>
      </c>
      <c r="D2732">
        <v>233</v>
      </c>
      <c r="E2732" t="s">
        <v>251</v>
      </c>
      <c r="F2732" t="s">
        <v>48</v>
      </c>
      <c r="G2732">
        <v>41</v>
      </c>
      <c r="H2732" t="s">
        <v>173</v>
      </c>
      <c r="I2732">
        <v>0</v>
      </c>
      <c r="J2732">
        <v>1</v>
      </c>
      <c r="K2732" t="s">
        <v>166</v>
      </c>
      <c r="L2732" t="s">
        <v>174</v>
      </c>
      <c r="M2732" t="s">
        <v>175</v>
      </c>
      <c r="N2732" t="s">
        <v>107</v>
      </c>
      <c r="O2732" t="s">
        <v>97</v>
      </c>
    </row>
    <row r="2733" spans="1:15" x14ac:dyDescent="0.2">
      <c r="A2733">
        <v>234</v>
      </c>
      <c r="B2733">
        <v>235</v>
      </c>
      <c r="C2733">
        <v>234</v>
      </c>
      <c r="D2733">
        <v>233</v>
      </c>
      <c r="E2733" t="s">
        <v>251</v>
      </c>
      <c r="F2733" t="s">
        <v>48</v>
      </c>
      <c r="G2733">
        <v>42</v>
      </c>
      <c r="H2733" t="s">
        <v>176</v>
      </c>
      <c r="I2733">
        <v>0.5</v>
      </c>
      <c r="J2733">
        <v>1</v>
      </c>
      <c r="K2733" t="s">
        <v>153</v>
      </c>
      <c r="L2733" t="s">
        <v>177</v>
      </c>
      <c r="M2733" t="s">
        <v>178</v>
      </c>
      <c r="N2733" t="s">
        <v>107</v>
      </c>
      <c r="O2733" t="s">
        <v>97</v>
      </c>
    </row>
    <row r="2734" spans="1:15" x14ac:dyDescent="0.2">
      <c r="A2734">
        <v>234</v>
      </c>
      <c r="B2734">
        <v>235</v>
      </c>
      <c r="C2734">
        <v>234</v>
      </c>
      <c r="D2734">
        <v>233</v>
      </c>
      <c r="E2734" t="s">
        <v>251</v>
      </c>
      <c r="F2734" t="s">
        <v>48</v>
      </c>
      <c r="G2734">
        <v>43</v>
      </c>
      <c r="H2734" t="s">
        <v>179</v>
      </c>
      <c r="I2734">
        <v>0</v>
      </c>
      <c r="J2734">
        <v>0</v>
      </c>
      <c r="K2734" t="s">
        <v>166</v>
      </c>
      <c r="L2734" t="s">
        <v>180</v>
      </c>
      <c r="M2734" t="s">
        <v>181</v>
      </c>
      <c r="N2734" t="s">
        <v>107</v>
      </c>
      <c r="O2734" t="s">
        <v>97</v>
      </c>
    </row>
    <row r="2735" spans="1:15" x14ac:dyDescent="0.2">
      <c r="A2735">
        <v>234</v>
      </c>
      <c r="B2735">
        <v>235</v>
      </c>
      <c r="C2735">
        <v>234</v>
      </c>
      <c r="D2735">
        <v>233</v>
      </c>
      <c r="E2735" t="s">
        <v>251</v>
      </c>
      <c r="F2735" t="s">
        <v>48</v>
      </c>
      <c r="G2735">
        <v>44</v>
      </c>
      <c r="H2735" t="s">
        <v>182</v>
      </c>
      <c r="I2735">
        <v>0</v>
      </c>
      <c r="J2735">
        <v>1</v>
      </c>
      <c r="K2735" t="s">
        <v>166</v>
      </c>
      <c r="L2735" t="s">
        <v>183</v>
      </c>
      <c r="M2735" t="s">
        <v>184</v>
      </c>
      <c r="N2735" t="s">
        <v>107</v>
      </c>
      <c r="O2735" t="s">
        <v>97</v>
      </c>
    </row>
    <row r="2736" spans="1:15" x14ac:dyDescent="0.2">
      <c r="A2736">
        <v>234</v>
      </c>
      <c r="B2736">
        <v>235</v>
      </c>
      <c r="C2736">
        <v>234</v>
      </c>
      <c r="D2736">
        <v>233</v>
      </c>
      <c r="E2736" t="s">
        <v>251</v>
      </c>
      <c r="F2736" t="s">
        <v>48</v>
      </c>
      <c r="G2736">
        <v>45</v>
      </c>
      <c r="H2736" t="s">
        <v>185</v>
      </c>
      <c r="I2736">
        <v>1</v>
      </c>
      <c r="J2736">
        <v>1</v>
      </c>
      <c r="K2736" t="s">
        <v>166</v>
      </c>
      <c r="L2736" t="s">
        <v>186</v>
      </c>
      <c r="M2736" t="s">
        <v>139</v>
      </c>
      <c r="N2736" t="s">
        <v>107</v>
      </c>
      <c r="O2736" t="s">
        <v>97</v>
      </c>
    </row>
    <row r="2737" spans="1:15" x14ac:dyDescent="0.2">
      <c r="A2737">
        <v>234</v>
      </c>
      <c r="B2737">
        <v>235</v>
      </c>
      <c r="C2737">
        <v>234</v>
      </c>
      <c r="D2737">
        <v>233</v>
      </c>
      <c r="E2737" t="s">
        <v>251</v>
      </c>
      <c r="F2737" t="s">
        <v>48</v>
      </c>
      <c r="G2737">
        <v>47</v>
      </c>
      <c r="H2737" t="s">
        <v>187</v>
      </c>
      <c r="I2737">
        <v>0</v>
      </c>
      <c r="J2737">
        <v>0.2</v>
      </c>
      <c r="K2737" t="s">
        <v>93</v>
      </c>
      <c r="L2737" t="s">
        <v>188</v>
      </c>
      <c r="M2737" t="s">
        <v>95</v>
      </c>
      <c r="N2737" t="s">
        <v>96</v>
      </c>
      <c r="O2737" t="s">
        <v>97</v>
      </c>
    </row>
    <row r="2738" spans="1:15" x14ac:dyDescent="0.2">
      <c r="A2738">
        <v>234</v>
      </c>
      <c r="B2738">
        <v>235</v>
      </c>
      <c r="C2738">
        <v>234</v>
      </c>
      <c r="D2738">
        <v>233</v>
      </c>
      <c r="E2738" t="s">
        <v>251</v>
      </c>
      <c r="F2738" t="s">
        <v>48</v>
      </c>
      <c r="G2738">
        <v>48</v>
      </c>
      <c r="H2738" t="s">
        <v>189</v>
      </c>
      <c r="I2738">
        <v>0.2</v>
      </c>
      <c r="J2738">
        <v>0.2</v>
      </c>
      <c r="K2738" t="s">
        <v>93</v>
      </c>
      <c r="L2738" t="s">
        <v>190</v>
      </c>
      <c r="M2738" t="s">
        <v>95</v>
      </c>
      <c r="N2738" t="s">
        <v>96</v>
      </c>
      <c r="O2738" t="s">
        <v>97</v>
      </c>
    </row>
    <row r="2739" spans="1:15" x14ac:dyDescent="0.2">
      <c r="A2739">
        <v>234</v>
      </c>
      <c r="B2739">
        <v>235</v>
      </c>
      <c r="C2739">
        <v>234</v>
      </c>
      <c r="D2739">
        <v>233</v>
      </c>
      <c r="E2739" t="s">
        <v>251</v>
      </c>
      <c r="F2739" t="s">
        <v>48</v>
      </c>
      <c r="G2739">
        <v>49</v>
      </c>
      <c r="H2739" t="s">
        <v>191</v>
      </c>
      <c r="I2739">
        <v>0.2</v>
      </c>
      <c r="J2739">
        <v>0.2</v>
      </c>
      <c r="K2739" t="s">
        <v>93</v>
      </c>
      <c r="L2739" t="s">
        <v>192</v>
      </c>
      <c r="M2739" t="s">
        <v>95</v>
      </c>
      <c r="N2739" t="s">
        <v>96</v>
      </c>
      <c r="O2739" t="s">
        <v>97</v>
      </c>
    </row>
    <row r="2740" spans="1:15" x14ac:dyDescent="0.2">
      <c r="A2740">
        <v>234</v>
      </c>
      <c r="B2740">
        <v>235</v>
      </c>
      <c r="C2740">
        <v>234</v>
      </c>
      <c r="D2740">
        <v>233</v>
      </c>
      <c r="E2740" t="s">
        <v>251</v>
      </c>
      <c r="F2740" t="s">
        <v>48</v>
      </c>
      <c r="G2740">
        <v>50</v>
      </c>
      <c r="H2740" t="s">
        <v>193</v>
      </c>
      <c r="I2740">
        <v>0.1</v>
      </c>
      <c r="J2740">
        <v>0.1</v>
      </c>
      <c r="K2740" t="s">
        <v>93</v>
      </c>
      <c r="L2740" t="s">
        <v>194</v>
      </c>
      <c r="M2740" t="s">
        <v>95</v>
      </c>
      <c r="N2740" t="s">
        <v>96</v>
      </c>
      <c r="O2740" t="s">
        <v>97</v>
      </c>
    </row>
    <row r="2741" spans="1:15" x14ac:dyDescent="0.2">
      <c r="A2741">
        <v>234</v>
      </c>
      <c r="B2741">
        <v>235</v>
      </c>
      <c r="C2741">
        <v>234</v>
      </c>
      <c r="D2741">
        <v>233</v>
      </c>
      <c r="E2741" t="s">
        <v>251</v>
      </c>
      <c r="F2741" t="s">
        <v>48</v>
      </c>
      <c r="G2741">
        <v>51</v>
      </c>
      <c r="H2741" t="s">
        <v>193</v>
      </c>
      <c r="I2741">
        <v>0.1</v>
      </c>
      <c r="J2741">
        <v>0.1</v>
      </c>
      <c r="K2741" t="s">
        <v>93</v>
      </c>
      <c r="L2741" t="s">
        <v>194</v>
      </c>
      <c r="M2741" t="s">
        <v>95</v>
      </c>
      <c r="N2741" t="s">
        <v>96</v>
      </c>
      <c r="O2741" t="s">
        <v>97</v>
      </c>
    </row>
    <row r="2742" spans="1:15" x14ac:dyDescent="0.2">
      <c r="A2742">
        <v>234</v>
      </c>
      <c r="B2742">
        <v>235</v>
      </c>
      <c r="C2742">
        <v>234</v>
      </c>
      <c r="D2742">
        <v>233</v>
      </c>
      <c r="E2742" t="s">
        <v>251</v>
      </c>
      <c r="F2742" t="s">
        <v>48</v>
      </c>
      <c r="G2742">
        <v>97</v>
      </c>
      <c r="H2742" t="s">
        <v>152</v>
      </c>
      <c r="I2742">
        <v>0.25</v>
      </c>
      <c r="J2742">
        <v>0.25</v>
      </c>
      <c r="K2742" t="s">
        <v>153</v>
      </c>
      <c r="L2742" t="s">
        <v>154</v>
      </c>
      <c r="M2742" t="s">
        <v>155</v>
      </c>
      <c r="N2742" t="s">
        <v>107</v>
      </c>
      <c r="O2742" t="s">
        <v>97</v>
      </c>
    </row>
    <row r="2743" spans="1:15" x14ac:dyDescent="0.2">
      <c r="A2743">
        <v>234</v>
      </c>
      <c r="B2743">
        <v>235</v>
      </c>
      <c r="C2743">
        <v>234</v>
      </c>
      <c r="D2743">
        <v>233</v>
      </c>
      <c r="E2743" t="s">
        <v>251</v>
      </c>
      <c r="F2743" t="s">
        <v>48</v>
      </c>
      <c r="G2743">
        <v>96</v>
      </c>
      <c r="H2743" t="s">
        <v>152</v>
      </c>
      <c r="I2743">
        <v>0</v>
      </c>
      <c r="J2743">
        <v>0</v>
      </c>
      <c r="K2743" t="s">
        <v>153</v>
      </c>
      <c r="L2743" t="s">
        <v>154</v>
      </c>
      <c r="M2743" t="s">
        <v>155</v>
      </c>
      <c r="N2743" t="s">
        <v>107</v>
      </c>
      <c r="O2743" t="s">
        <v>97</v>
      </c>
    </row>
    <row r="2744" spans="1:15" x14ac:dyDescent="0.2">
      <c r="A2744">
        <v>234</v>
      </c>
      <c r="B2744">
        <v>235</v>
      </c>
      <c r="C2744">
        <v>234</v>
      </c>
      <c r="D2744">
        <v>233</v>
      </c>
      <c r="E2744" t="s">
        <v>251</v>
      </c>
      <c r="F2744" t="s">
        <v>48</v>
      </c>
      <c r="G2744">
        <v>99</v>
      </c>
      <c r="H2744" t="s">
        <v>152</v>
      </c>
      <c r="I2744">
        <v>0</v>
      </c>
      <c r="J2744">
        <v>0</v>
      </c>
      <c r="K2744" t="s">
        <v>153</v>
      </c>
      <c r="L2744" t="s">
        <v>154</v>
      </c>
      <c r="M2744" t="s">
        <v>155</v>
      </c>
      <c r="N2744" t="s">
        <v>107</v>
      </c>
      <c r="O2744" t="s">
        <v>97</v>
      </c>
    </row>
    <row r="2745" spans="1:15" x14ac:dyDescent="0.2">
      <c r="A2745">
        <v>234</v>
      </c>
      <c r="B2745">
        <v>235</v>
      </c>
      <c r="C2745">
        <v>234</v>
      </c>
      <c r="D2745">
        <v>233</v>
      </c>
      <c r="E2745" t="s">
        <v>251</v>
      </c>
      <c r="F2745" t="s">
        <v>48</v>
      </c>
      <c r="G2745">
        <v>98</v>
      </c>
      <c r="H2745" t="s">
        <v>204</v>
      </c>
      <c r="I2745">
        <v>1</v>
      </c>
      <c r="J2745">
        <v>1</v>
      </c>
      <c r="K2745" t="s">
        <v>122</v>
      </c>
      <c r="L2745" t="s">
        <v>205</v>
      </c>
      <c r="M2745" t="s">
        <v>206</v>
      </c>
      <c r="N2745" t="s">
        <v>207</v>
      </c>
      <c r="O2745" t="s">
        <v>97</v>
      </c>
    </row>
    <row r="2746" spans="1:15" x14ac:dyDescent="0.2">
      <c r="A2746">
        <v>229</v>
      </c>
      <c r="B2746">
        <v>230</v>
      </c>
      <c r="C2746">
        <v>229</v>
      </c>
      <c r="D2746">
        <v>228</v>
      </c>
      <c r="E2746" t="s">
        <v>251</v>
      </c>
      <c r="F2746" t="s">
        <v>47</v>
      </c>
      <c r="G2746">
        <v>1</v>
      </c>
      <c r="H2746" t="s">
        <v>92</v>
      </c>
      <c r="I2746">
        <v>0</v>
      </c>
      <c r="J2746">
        <v>0.2</v>
      </c>
      <c r="K2746" t="s">
        <v>93</v>
      </c>
      <c r="L2746" t="s">
        <v>94</v>
      </c>
      <c r="M2746" t="s">
        <v>95</v>
      </c>
      <c r="N2746" t="s">
        <v>96</v>
      </c>
      <c r="O2746" t="s">
        <v>97</v>
      </c>
    </row>
    <row r="2747" spans="1:15" x14ac:dyDescent="0.2">
      <c r="A2747">
        <v>229</v>
      </c>
      <c r="B2747">
        <v>230</v>
      </c>
      <c r="C2747">
        <v>229</v>
      </c>
      <c r="D2747">
        <v>228</v>
      </c>
      <c r="E2747" t="s">
        <v>251</v>
      </c>
      <c r="F2747" t="s">
        <v>47</v>
      </c>
      <c r="G2747">
        <v>2</v>
      </c>
      <c r="H2747" t="s">
        <v>98</v>
      </c>
      <c r="I2747">
        <v>0.25</v>
      </c>
      <c r="J2747">
        <v>0.5</v>
      </c>
      <c r="K2747" t="s">
        <v>93</v>
      </c>
      <c r="L2747" t="s">
        <v>99</v>
      </c>
      <c r="M2747" t="s">
        <v>95</v>
      </c>
      <c r="N2747" t="s">
        <v>96</v>
      </c>
      <c r="O2747" t="s">
        <v>97</v>
      </c>
    </row>
    <row r="2748" spans="1:15" x14ac:dyDescent="0.2">
      <c r="A2748">
        <v>229</v>
      </c>
      <c r="B2748">
        <v>230</v>
      </c>
      <c r="C2748">
        <v>229</v>
      </c>
      <c r="D2748">
        <v>228</v>
      </c>
      <c r="E2748" t="s">
        <v>251</v>
      </c>
      <c r="F2748" t="s">
        <v>47</v>
      </c>
      <c r="G2748">
        <v>3</v>
      </c>
      <c r="H2748" t="s">
        <v>100</v>
      </c>
      <c r="I2748">
        <v>0.5</v>
      </c>
      <c r="J2748">
        <v>1</v>
      </c>
      <c r="K2748" t="s">
        <v>101</v>
      </c>
      <c r="L2748" t="s">
        <v>102</v>
      </c>
      <c r="M2748" t="s">
        <v>103</v>
      </c>
      <c r="N2748" t="s">
        <v>96</v>
      </c>
      <c r="O2748" t="s">
        <v>97</v>
      </c>
    </row>
    <row r="2749" spans="1:15" x14ac:dyDescent="0.2">
      <c r="A2749">
        <v>229</v>
      </c>
      <c r="B2749">
        <v>230</v>
      </c>
      <c r="C2749">
        <v>229</v>
      </c>
      <c r="D2749">
        <v>228</v>
      </c>
      <c r="E2749" t="s">
        <v>251</v>
      </c>
      <c r="F2749" t="s">
        <v>47</v>
      </c>
      <c r="G2749">
        <v>4</v>
      </c>
      <c r="H2749" t="s">
        <v>104</v>
      </c>
      <c r="I2749">
        <v>0</v>
      </c>
      <c r="J2749">
        <v>1</v>
      </c>
      <c r="K2749" t="s">
        <v>101</v>
      </c>
      <c r="L2749" t="s">
        <v>105</v>
      </c>
      <c r="M2749" t="s">
        <v>106</v>
      </c>
      <c r="N2749" t="s">
        <v>107</v>
      </c>
      <c r="O2749" t="s">
        <v>97</v>
      </c>
    </row>
    <row r="2750" spans="1:15" x14ac:dyDescent="0.2">
      <c r="A2750">
        <v>229</v>
      </c>
      <c r="B2750">
        <v>230</v>
      </c>
      <c r="C2750">
        <v>229</v>
      </c>
      <c r="D2750">
        <v>228</v>
      </c>
      <c r="E2750" t="s">
        <v>251</v>
      </c>
      <c r="F2750" t="s">
        <v>47</v>
      </c>
      <c r="G2750">
        <v>5</v>
      </c>
      <c r="H2750" t="s">
        <v>108</v>
      </c>
      <c r="I2750">
        <v>0.5</v>
      </c>
      <c r="J2750">
        <v>1</v>
      </c>
      <c r="K2750" t="s">
        <v>101</v>
      </c>
      <c r="L2750" t="s">
        <v>109</v>
      </c>
      <c r="M2750" t="s">
        <v>110</v>
      </c>
      <c r="N2750" t="s">
        <v>107</v>
      </c>
      <c r="O2750" t="s">
        <v>97</v>
      </c>
    </row>
    <row r="2751" spans="1:15" x14ac:dyDescent="0.2">
      <c r="A2751">
        <v>229</v>
      </c>
      <c r="B2751">
        <v>230</v>
      </c>
      <c r="C2751">
        <v>229</v>
      </c>
      <c r="D2751">
        <v>228</v>
      </c>
      <c r="E2751" t="s">
        <v>251</v>
      </c>
      <c r="F2751" t="s">
        <v>47</v>
      </c>
      <c r="G2751">
        <v>9</v>
      </c>
      <c r="H2751" t="s">
        <v>111</v>
      </c>
      <c r="I2751">
        <v>0.5</v>
      </c>
      <c r="J2751">
        <v>0.5</v>
      </c>
      <c r="K2751" t="s">
        <v>112</v>
      </c>
      <c r="L2751" t="s">
        <v>113</v>
      </c>
      <c r="M2751" t="s">
        <v>114</v>
      </c>
      <c r="N2751" t="s">
        <v>96</v>
      </c>
      <c r="O2751" t="s">
        <v>97</v>
      </c>
    </row>
    <row r="2752" spans="1:15" x14ac:dyDescent="0.2">
      <c r="A2752">
        <v>229</v>
      </c>
      <c r="B2752">
        <v>230</v>
      </c>
      <c r="C2752">
        <v>229</v>
      </c>
      <c r="D2752">
        <v>228</v>
      </c>
      <c r="E2752" t="s">
        <v>251</v>
      </c>
      <c r="F2752" t="s">
        <v>47</v>
      </c>
      <c r="G2752">
        <v>10</v>
      </c>
      <c r="H2752" t="s">
        <v>115</v>
      </c>
      <c r="I2752">
        <v>0.25</v>
      </c>
      <c r="J2752">
        <v>0.5</v>
      </c>
      <c r="K2752" t="s">
        <v>112</v>
      </c>
      <c r="L2752" t="s">
        <v>116</v>
      </c>
      <c r="M2752" t="s">
        <v>117</v>
      </c>
      <c r="N2752" t="s">
        <v>96</v>
      </c>
      <c r="O2752" t="s">
        <v>97</v>
      </c>
    </row>
    <row r="2753" spans="1:15" x14ac:dyDescent="0.2">
      <c r="A2753">
        <v>229</v>
      </c>
      <c r="B2753">
        <v>230</v>
      </c>
      <c r="C2753">
        <v>229</v>
      </c>
      <c r="D2753">
        <v>228</v>
      </c>
      <c r="E2753" t="s">
        <v>251</v>
      </c>
      <c r="F2753" t="s">
        <v>47</v>
      </c>
      <c r="G2753">
        <v>11</v>
      </c>
      <c r="H2753" t="s">
        <v>118</v>
      </c>
      <c r="I2753">
        <v>1</v>
      </c>
      <c r="J2753">
        <v>1</v>
      </c>
      <c r="K2753" t="s">
        <v>112</v>
      </c>
      <c r="L2753" t="s">
        <v>119</v>
      </c>
      <c r="M2753" t="s">
        <v>120</v>
      </c>
      <c r="N2753" t="s">
        <v>107</v>
      </c>
      <c r="O2753" t="s">
        <v>97</v>
      </c>
    </row>
    <row r="2754" spans="1:15" x14ac:dyDescent="0.2">
      <c r="A2754">
        <v>229</v>
      </c>
      <c r="B2754">
        <v>230</v>
      </c>
      <c r="C2754">
        <v>229</v>
      </c>
      <c r="D2754">
        <v>228</v>
      </c>
      <c r="E2754" t="s">
        <v>251</v>
      </c>
      <c r="F2754" t="s">
        <v>47</v>
      </c>
      <c r="G2754">
        <v>12</v>
      </c>
      <c r="H2754" t="s">
        <v>121</v>
      </c>
      <c r="I2754">
        <v>0.5</v>
      </c>
      <c r="J2754">
        <v>0.5</v>
      </c>
      <c r="K2754" t="s">
        <v>122</v>
      </c>
      <c r="L2754" t="s">
        <v>113</v>
      </c>
      <c r="M2754" t="s">
        <v>123</v>
      </c>
      <c r="N2754" t="s">
        <v>96</v>
      </c>
      <c r="O2754" t="s">
        <v>97</v>
      </c>
    </row>
    <row r="2755" spans="1:15" x14ac:dyDescent="0.2">
      <c r="A2755">
        <v>229</v>
      </c>
      <c r="B2755">
        <v>230</v>
      </c>
      <c r="C2755">
        <v>229</v>
      </c>
      <c r="D2755">
        <v>228</v>
      </c>
      <c r="E2755" t="s">
        <v>251</v>
      </c>
      <c r="F2755" t="s">
        <v>47</v>
      </c>
      <c r="G2755">
        <v>13</v>
      </c>
      <c r="H2755" t="s">
        <v>124</v>
      </c>
      <c r="I2755">
        <v>0.25</v>
      </c>
      <c r="J2755">
        <v>0.5</v>
      </c>
      <c r="K2755" t="s">
        <v>122</v>
      </c>
      <c r="L2755" t="s">
        <v>125</v>
      </c>
      <c r="M2755" t="s">
        <v>126</v>
      </c>
      <c r="N2755" t="s">
        <v>96</v>
      </c>
      <c r="O2755" t="s">
        <v>97</v>
      </c>
    </row>
    <row r="2756" spans="1:15" x14ac:dyDescent="0.2">
      <c r="A2756">
        <v>229</v>
      </c>
      <c r="B2756">
        <v>230</v>
      </c>
      <c r="C2756">
        <v>229</v>
      </c>
      <c r="D2756">
        <v>228</v>
      </c>
      <c r="E2756" t="s">
        <v>251</v>
      </c>
      <c r="F2756" t="s">
        <v>47</v>
      </c>
      <c r="G2756">
        <v>14</v>
      </c>
      <c r="H2756" t="s">
        <v>127</v>
      </c>
      <c r="I2756">
        <v>1</v>
      </c>
      <c r="J2756">
        <v>1</v>
      </c>
      <c r="K2756" t="s">
        <v>122</v>
      </c>
      <c r="L2756" t="s">
        <v>119</v>
      </c>
      <c r="M2756" t="s">
        <v>128</v>
      </c>
      <c r="N2756" t="s">
        <v>107</v>
      </c>
      <c r="O2756" t="s">
        <v>97</v>
      </c>
    </row>
    <row r="2757" spans="1:15" x14ac:dyDescent="0.2">
      <c r="A2757">
        <v>229</v>
      </c>
      <c r="B2757">
        <v>230</v>
      </c>
      <c r="C2757">
        <v>229</v>
      </c>
      <c r="D2757">
        <v>228</v>
      </c>
      <c r="E2757" t="s">
        <v>251</v>
      </c>
      <c r="F2757" t="s">
        <v>47</v>
      </c>
      <c r="G2757">
        <v>15</v>
      </c>
      <c r="H2757" t="s">
        <v>129</v>
      </c>
      <c r="I2757">
        <v>1</v>
      </c>
      <c r="J2757">
        <v>1</v>
      </c>
      <c r="K2757" t="s">
        <v>130</v>
      </c>
      <c r="L2757" t="s">
        <v>131</v>
      </c>
      <c r="M2757" t="s">
        <v>132</v>
      </c>
      <c r="N2757" t="s">
        <v>107</v>
      </c>
      <c r="O2757" t="s">
        <v>97</v>
      </c>
    </row>
    <row r="2758" spans="1:15" x14ac:dyDescent="0.2">
      <c r="A2758">
        <v>229</v>
      </c>
      <c r="B2758">
        <v>230</v>
      </c>
      <c r="C2758">
        <v>229</v>
      </c>
      <c r="D2758">
        <v>228</v>
      </c>
      <c r="E2758" t="s">
        <v>251</v>
      </c>
      <c r="F2758" t="s">
        <v>47</v>
      </c>
      <c r="G2758">
        <v>16</v>
      </c>
      <c r="H2758" t="s">
        <v>133</v>
      </c>
      <c r="I2758">
        <v>0</v>
      </c>
      <c r="J2758">
        <v>0</v>
      </c>
      <c r="K2758" t="e">
        <v>#N/A</v>
      </c>
      <c r="L2758" t="e">
        <v>#N/A</v>
      </c>
      <c r="M2758" t="e">
        <v>#N/A</v>
      </c>
      <c r="N2758" t="e">
        <v>#N/A</v>
      </c>
      <c r="O2758" t="s">
        <v>97</v>
      </c>
    </row>
    <row r="2759" spans="1:15" x14ac:dyDescent="0.2">
      <c r="A2759">
        <v>229</v>
      </c>
      <c r="B2759">
        <v>230</v>
      </c>
      <c r="C2759">
        <v>229</v>
      </c>
      <c r="D2759">
        <v>228</v>
      </c>
      <c r="E2759" t="s">
        <v>251</v>
      </c>
      <c r="F2759" t="s">
        <v>47</v>
      </c>
      <c r="G2759">
        <v>17</v>
      </c>
      <c r="H2759" t="s">
        <v>134</v>
      </c>
      <c r="I2759">
        <v>0.5</v>
      </c>
      <c r="J2759">
        <v>1</v>
      </c>
      <c r="K2759" t="s">
        <v>112</v>
      </c>
      <c r="L2759" t="s">
        <v>135</v>
      </c>
      <c r="M2759" t="s">
        <v>136</v>
      </c>
      <c r="N2759" t="s">
        <v>107</v>
      </c>
      <c r="O2759" t="s">
        <v>97</v>
      </c>
    </row>
    <row r="2760" spans="1:15" x14ac:dyDescent="0.2">
      <c r="A2760">
        <v>229</v>
      </c>
      <c r="B2760">
        <v>230</v>
      </c>
      <c r="C2760">
        <v>229</v>
      </c>
      <c r="D2760">
        <v>228</v>
      </c>
      <c r="E2760" t="s">
        <v>251</v>
      </c>
      <c r="F2760" t="s">
        <v>47</v>
      </c>
      <c r="G2760">
        <v>18</v>
      </c>
      <c r="H2760" t="s">
        <v>137</v>
      </c>
      <c r="I2760">
        <v>1</v>
      </c>
      <c r="J2760">
        <v>1</v>
      </c>
      <c r="K2760" t="s">
        <v>112</v>
      </c>
      <c r="L2760" t="s">
        <v>138</v>
      </c>
      <c r="M2760" t="s">
        <v>139</v>
      </c>
      <c r="N2760" t="s">
        <v>107</v>
      </c>
      <c r="O2760" t="s">
        <v>97</v>
      </c>
    </row>
    <row r="2761" spans="1:15" x14ac:dyDescent="0.2">
      <c r="A2761">
        <v>229</v>
      </c>
      <c r="B2761">
        <v>230</v>
      </c>
      <c r="C2761">
        <v>229</v>
      </c>
      <c r="D2761">
        <v>228</v>
      </c>
      <c r="E2761" t="s">
        <v>251</v>
      </c>
      <c r="F2761" t="s">
        <v>47</v>
      </c>
      <c r="G2761">
        <v>19</v>
      </c>
      <c r="H2761" t="s">
        <v>140</v>
      </c>
      <c r="I2761">
        <v>1</v>
      </c>
      <c r="J2761">
        <v>1</v>
      </c>
      <c r="K2761" t="s">
        <v>122</v>
      </c>
      <c r="L2761" t="s">
        <v>141</v>
      </c>
      <c r="M2761" t="s">
        <v>142</v>
      </c>
      <c r="N2761" t="s">
        <v>107</v>
      </c>
      <c r="O2761" t="s">
        <v>97</v>
      </c>
    </row>
    <row r="2762" spans="1:15" x14ac:dyDescent="0.2">
      <c r="A2762">
        <v>229</v>
      </c>
      <c r="B2762">
        <v>230</v>
      </c>
      <c r="C2762">
        <v>229</v>
      </c>
      <c r="D2762">
        <v>228</v>
      </c>
      <c r="E2762" t="s">
        <v>251</v>
      </c>
      <c r="F2762" t="s">
        <v>47</v>
      </c>
      <c r="G2762">
        <v>20</v>
      </c>
      <c r="H2762" t="s">
        <v>143</v>
      </c>
      <c r="I2762">
        <v>1</v>
      </c>
      <c r="J2762">
        <v>1</v>
      </c>
      <c r="K2762" t="s">
        <v>122</v>
      </c>
      <c r="L2762" t="s">
        <v>144</v>
      </c>
      <c r="M2762" t="s">
        <v>145</v>
      </c>
      <c r="N2762" t="s">
        <v>107</v>
      </c>
      <c r="O2762" t="s">
        <v>97</v>
      </c>
    </row>
    <row r="2763" spans="1:15" x14ac:dyDescent="0.2">
      <c r="A2763">
        <v>229</v>
      </c>
      <c r="B2763">
        <v>230</v>
      </c>
      <c r="C2763">
        <v>229</v>
      </c>
      <c r="D2763">
        <v>228</v>
      </c>
      <c r="E2763" t="s">
        <v>251</v>
      </c>
      <c r="F2763" t="s">
        <v>47</v>
      </c>
      <c r="G2763">
        <v>21</v>
      </c>
      <c r="H2763" t="s">
        <v>146</v>
      </c>
      <c r="I2763">
        <v>0</v>
      </c>
      <c r="J2763">
        <v>1</v>
      </c>
      <c r="K2763" t="s">
        <v>147</v>
      </c>
      <c r="L2763" t="s">
        <v>148</v>
      </c>
      <c r="M2763" t="s">
        <v>149</v>
      </c>
      <c r="N2763" t="s">
        <v>96</v>
      </c>
      <c r="O2763" t="s">
        <v>97</v>
      </c>
    </row>
    <row r="2764" spans="1:15" x14ac:dyDescent="0.2">
      <c r="A2764">
        <v>229</v>
      </c>
      <c r="B2764">
        <v>230</v>
      </c>
      <c r="C2764">
        <v>229</v>
      </c>
      <c r="D2764">
        <v>228</v>
      </c>
      <c r="E2764" t="s">
        <v>251</v>
      </c>
      <c r="F2764" t="s">
        <v>47</v>
      </c>
      <c r="G2764">
        <v>22</v>
      </c>
      <c r="H2764" t="s">
        <v>150</v>
      </c>
      <c r="I2764">
        <v>0.5</v>
      </c>
      <c r="J2764">
        <v>1</v>
      </c>
      <c r="K2764" t="s">
        <v>147</v>
      </c>
      <c r="L2764" t="s">
        <v>151</v>
      </c>
      <c r="M2764" t="s">
        <v>149</v>
      </c>
      <c r="N2764" t="s">
        <v>107</v>
      </c>
      <c r="O2764" t="s">
        <v>97</v>
      </c>
    </row>
    <row r="2765" spans="1:15" x14ac:dyDescent="0.2">
      <c r="A2765">
        <v>229</v>
      </c>
      <c r="B2765">
        <v>230</v>
      </c>
      <c r="C2765">
        <v>229</v>
      </c>
      <c r="D2765">
        <v>228</v>
      </c>
      <c r="E2765" t="s">
        <v>251</v>
      </c>
      <c r="F2765" t="s">
        <v>47</v>
      </c>
      <c r="G2765">
        <v>23</v>
      </c>
      <c r="H2765" t="s">
        <v>152</v>
      </c>
      <c r="I2765">
        <v>0</v>
      </c>
      <c r="J2765">
        <v>0</v>
      </c>
      <c r="K2765" t="s">
        <v>153</v>
      </c>
      <c r="L2765" t="s">
        <v>154</v>
      </c>
      <c r="M2765" t="s">
        <v>155</v>
      </c>
      <c r="N2765" t="s">
        <v>107</v>
      </c>
      <c r="O2765" t="s">
        <v>97</v>
      </c>
    </row>
    <row r="2766" spans="1:15" x14ac:dyDescent="0.2">
      <c r="A2766">
        <v>229</v>
      </c>
      <c r="B2766">
        <v>230</v>
      </c>
      <c r="C2766">
        <v>229</v>
      </c>
      <c r="D2766">
        <v>228</v>
      </c>
      <c r="E2766" t="s">
        <v>251</v>
      </c>
      <c r="F2766" t="s">
        <v>47</v>
      </c>
      <c r="G2766">
        <v>24</v>
      </c>
      <c r="H2766" t="s">
        <v>156</v>
      </c>
      <c r="I2766">
        <v>0.5</v>
      </c>
      <c r="J2766">
        <v>0.5</v>
      </c>
      <c r="K2766" t="s">
        <v>122</v>
      </c>
      <c r="L2766" t="s">
        <v>157</v>
      </c>
      <c r="M2766" t="s">
        <v>158</v>
      </c>
      <c r="N2766" t="s">
        <v>107</v>
      </c>
      <c r="O2766" t="s">
        <v>97</v>
      </c>
    </row>
    <row r="2767" spans="1:15" x14ac:dyDescent="0.2">
      <c r="A2767">
        <v>229</v>
      </c>
      <c r="B2767">
        <v>230</v>
      </c>
      <c r="C2767">
        <v>229</v>
      </c>
      <c r="D2767">
        <v>228</v>
      </c>
      <c r="E2767" t="s">
        <v>251</v>
      </c>
      <c r="F2767" t="s">
        <v>47</v>
      </c>
      <c r="G2767">
        <v>25</v>
      </c>
      <c r="H2767" t="s">
        <v>156</v>
      </c>
      <c r="I2767">
        <v>0.5</v>
      </c>
      <c r="J2767">
        <v>0.5</v>
      </c>
      <c r="K2767" t="s">
        <v>122</v>
      </c>
      <c r="L2767" t="s">
        <v>157</v>
      </c>
      <c r="M2767" t="s">
        <v>158</v>
      </c>
      <c r="N2767" t="s">
        <v>107</v>
      </c>
      <c r="O2767" t="s">
        <v>97</v>
      </c>
    </row>
    <row r="2768" spans="1:15" x14ac:dyDescent="0.2">
      <c r="A2768">
        <v>229</v>
      </c>
      <c r="B2768">
        <v>230</v>
      </c>
      <c r="C2768">
        <v>229</v>
      </c>
      <c r="D2768">
        <v>228</v>
      </c>
      <c r="E2768" t="s">
        <v>251</v>
      </c>
      <c r="F2768" t="s">
        <v>47</v>
      </c>
      <c r="G2768">
        <v>26</v>
      </c>
      <c r="H2768" t="s">
        <v>152</v>
      </c>
      <c r="I2768">
        <v>0</v>
      </c>
      <c r="J2768">
        <v>0</v>
      </c>
      <c r="K2768" t="s">
        <v>153</v>
      </c>
      <c r="L2768" t="s">
        <v>154</v>
      </c>
      <c r="M2768" t="s">
        <v>155</v>
      </c>
      <c r="N2768" t="s">
        <v>107</v>
      </c>
      <c r="O2768" t="s">
        <v>97</v>
      </c>
    </row>
    <row r="2769" spans="1:15" x14ac:dyDescent="0.2">
      <c r="A2769">
        <v>229</v>
      </c>
      <c r="B2769">
        <v>230</v>
      </c>
      <c r="C2769">
        <v>229</v>
      </c>
      <c r="D2769">
        <v>228</v>
      </c>
      <c r="E2769" t="s">
        <v>251</v>
      </c>
      <c r="F2769" t="s">
        <v>47</v>
      </c>
      <c r="G2769">
        <v>27</v>
      </c>
      <c r="H2769" t="s">
        <v>159</v>
      </c>
      <c r="I2769">
        <v>0.5</v>
      </c>
      <c r="J2769">
        <v>0.5</v>
      </c>
      <c r="K2769" t="s">
        <v>122</v>
      </c>
      <c r="L2769" t="s">
        <v>160</v>
      </c>
      <c r="M2769" t="s">
        <v>161</v>
      </c>
      <c r="N2769" t="s">
        <v>107</v>
      </c>
      <c r="O2769" t="s">
        <v>97</v>
      </c>
    </row>
    <row r="2770" spans="1:15" x14ac:dyDescent="0.2">
      <c r="A2770">
        <v>229</v>
      </c>
      <c r="B2770">
        <v>230</v>
      </c>
      <c r="C2770">
        <v>229</v>
      </c>
      <c r="D2770">
        <v>228</v>
      </c>
      <c r="E2770" t="s">
        <v>251</v>
      </c>
      <c r="F2770" t="s">
        <v>47</v>
      </c>
      <c r="G2770">
        <v>28</v>
      </c>
      <c r="H2770" t="s">
        <v>159</v>
      </c>
      <c r="I2770">
        <v>0</v>
      </c>
      <c r="J2770">
        <v>0.5</v>
      </c>
      <c r="K2770" t="s">
        <v>122</v>
      </c>
      <c r="L2770" t="s">
        <v>160</v>
      </c>
      <c r="M2770" t="s">
        <v>161</v>
      </c>
      <c r="N2770" t="s">
        <v>107</v>
      </c>
      <c r="O2770" t="s">
        <v>97</v>
      </c>
    </row>
    <row r="2771" spans="1:15" x14ac:dyDescent="0.2">
      <c r="A2771">
        <v>229</v>
      </c>
      <c r="B2771">
        <v>230</v>
      </c>
      <c r="C2771">
        <v>229</v>
      </c>
      <c r="D2771">
        <v>228</v>
      </c>
      <c r="E2771" t="s">
        <v>251</v>
      </c>
      <c r="F2771" t="s">
        <v>47</v>
      </c>
      <c r="G2771">
        <v>29</v>
      </c>
      <c r="H2771" t="s">
        <v>152</v>
      </c>
      <c r="I2771">
        <v>0</v>
      </c>
      <c r="J2771">
        <v>0</v>
      </c>
      <c r="K2771" t="s">
        <v>153</v>
      </c>
      <c r="L2771" t="s">
        <v>154</v>
      </c>
      <c r="M2771" t="s">
        <v>155</v>
      </c>
      <c r="N2771" t="s">
        <v>107</v>
      </c>
      <c r="O2771" t="s">
        <v>97</v>
      </c>
    </row>
    <row r="2772" spans="1:15" x14ac:dyDescent="0.2">
      <c r="A2772">
        <v>229</v>
      </c>
      <c r="B2772">
        <v>230</v>
      </c>
      <c r="C2772">
        <v>229</v>
      </c>
      <c r="D2772">
        <v>228</v>
      </c>
      <c r="E2772" t="s">
        <v>251</v>
      </c>
      <c r="F2772" t="s">
        <v>47</v>
      </c>
      <c r="G2772">
        <v>30</v>
      </c>
      <c r="H2772" t="s">
        <v>162</v>
      </c>
      <c r="I2772">
        <v>0</v>
      </c>
      <c r="J2772" t="s">
        <v>196</v>
      </c>
      <c r="K2772" t="s">
        <v>112</v>
      </c>
      <c r="L2772" t="s">
        <v>163</v>
      </c>
      <c r="M2772" t="s">
        <v>164</v>
      </c>
      <c r="N2772" t="s">
        <v>107</v>
      </c>
      <c r="O2772" t="s">
        <v>97</v>
      </c>
    </row>
    <row r="2773" spans="1:15" x14ac:dyDescent="0.2">
      <c r="A2773">
        <v>229</v>
      </c>
      <c r="B2773">
        <v>230</v>
      </c>
      <c r="C2773">
        <v>229</v>
      </c>
      <c r="D2773">
        <v>228</v>
      </c>
      <c r="E2773" t="s">
        <v>251</v>
      </c>
      <c r="F2773" t="s">
        <v>47</v>
      </c>
      <c r="G2773">
        <v>31</v>
      </c>
      <c r="H2773" t="s">
        <v>162</v>
      </c>
      <c r="I2773">
        <v>0</v>
      </c>
      <c r="J2773">
        <v>0</v>
      </c>
      <c r="K2773" t="s">
        <v>112</v>
      </c>
      <c r="L2773" t="s">
        <v>163</v>
      </c>
      <c r="M2773" t="s">
        <v>164</v>
      </c>
      <c r="N2773" t="s">
        <v>107</v>
      </c>
      <c r="O2773" t="s">
        <v>97</v>
      </c>
    </row>
    <row r="2774" spans="1:15" x14ac:dyDescent="0.2">
      <c r="A2774">
        <v>229</v>
      </c>
      <c r="B2774">
        <v>230</v>
      </c>
      <c r="C2774">
        <v>229</v>
      </c>
      <c r="D2774">
        <v>228</v>
      </c>
      <c r="E2774" t="s">
        <v>251</v>
      </c>
      <c r="F2774" t="s">
        <v>47</v>
      </c>
      <c r="G2774">
        <v>32</v>
      </c>
      <c r="H2774" t="s">
        <v>162</v>
      </c>
      <c r="I2774">
        <v>0</v>
      </c>
      <c r="J2774">
        <v>0</v>
      </c>
      <c r="K2774" t="s">
        <v>112</v>
      </c>
      <c r="L2774" t="s">
        <v>163</v>
      </c>
      <c r="M2774" t="s">
        <v>164</v>
      </c>
      <c r="N2774" t="s">
        <v>107</v>
      </c>
      <c r="O2774" t="s">
        <v>97</v>
      </c>
    </row>
    <row r="2775" spans="1:15" x14ac:dyDescent="0.2">
      <c r="A2775">
        <v>229</v>
      </c>
      <c r="B2775">
        <v>230</v>
      </c>
      <c r="C2775">
        <v>229</v>
      </c>
      <c r="D2775">
        <v>228</v>
      </c>
      <c r="E2775" t="s">
        <v>251</v>
      </c>
      <c r="F2775" t="s">
        <v>47</v>
      </c>
      <c r="G2775">
        <v>33</v>
      </c>
      <c r="H2775" t="s">
        <v>152</v>
      </c>
      <c r="I2775">
        <v>1</v>
      </c>
      <c r="J2775">
        <v>1</v>
      </c>
      <c r="K2775" t="s">
        <v>153</v>
      </c>
      <c r="L2775" t="s">
        <v>154</v>
      </c>
      <c r="M2775" t="s">
        <v>155</v>
      </c>
      <c r="N2775" t="s">
        <v>107</v>
      </c>
      <c r="O2775" t="s">
        <v>97</v>
      </c>
    </row>
    <row r="2776" spans="1:15" x14ac:dyDescent="0.2">
      <c r="A2776">
        <v>229</v>
      </c>
      <c r="B2776">
        <v>230</v>
      </c>
      <c r="C2776">
        <v>229</v>
      </c>
      <c r="D2776">
        <v>228</v>
      </c>
      <c r="E2776" t="s">
        <v>251</v>
      </c>
      <c r="F2776" t="s">
        <v>47</v>
      </c>
      <c r="G2776">
        <v>34</v>
      </c>
      <c r="H2776" t="s">
        <v>152</v>
      </c>
      <c r="I2776">
        <v>0</v>
      </c>
      <c r="J2776">
        <v>0</v>
      </c>
      <c r="K2776" t="s">
        <v>153</v>
      </c>
      <c r="L2776" t="s">
        <v>154</v>
      </c>
      <c r="M2776" t="s">
        <v>155</v>
      </c>
      <c r="N2776" t="s">
        <v>107</v>
      </c>
      <c r="O2776" t="s">
        <v>97</v>
      </c>
    </row>
    <row r="2777" spans="1:15" x14ac:dyDescent="0.2">
      <c r="A2777">
        <v>229</v>
      </c>
      <c r="B2777">
        <v>230</v>
      </c>
      <c r="C2777">
        <v>229</v>
      </c>
      <c r="D2777">
        <v>228</v>
      </c>
      <c r="E2777" t="s">
        <v>251</v>
      </c>
      <c r="F2777" t="s">
        <v>47</v>
      </c>
      <c r="G2777">
        <v>35</v>
      </c>
      <c r="H2777" t="s">
        <v>165</v>
      </c>
      <c r="I2777">
        <v>0.5</v>
      </c>
      <c r="J2777">
        <v>1</v>
      </c>
      <c r="K2777" t="s">
        <v>166</v>
      </c>
      <c r="L2777" t="s">
        <v>167</v>
      </c>
      <c r="M2777" t="s">
        <v>168</v>
      </c>
      <c r="N2777" t="s">
        <v>107</v>
      </c>
      <c r="O2777" t="s">
        <v>97</v>
      </c>
    </row>
    <row r="2778" spans="1:15" x14ac:dyDescent="0.2">
      <c r="A2778">
        <v>229</v>
      </c>
      <c r="B2778">
        <v>230</v>
      </c>
      <c r="C2778">
        <v>229</v>
      </c>
      <c r="D2778">
        <v>228</v>
      </c>
      <c r="E2778" t="s">
        <v>251</v>
      </c>
      <c r="F2778" t="s">
        <v>47</v>
      </c>
      <c r="G2778">
        <v>36</v>
      </c>
      <c r="H2778" t="s">
        <v>169</v>
      </c>
      <c r="I2778">
        <v>0</v>
      </c>
      <c r="J2778">
        <v>0</v>
      </c>
      <c r="K2778" t="e">
        <v>#N/A</v>
      </c>
      <c r="L2778" t="e">
        <v>#N/A</v>
      </c>
      <c r="M2778" t="e">
        <v>#N/A</v>
      </c>
      <c r="N2778" t="e">
        <v>#N/A</v>
      </c>
      <c r="O2778" t="s">
        <v>97</v>
      </c>
    </row>
    <row r="2779" spans="1:15" x14ac:dyDescent="0.2">
      <c r="A2779">
        <v>229</v>
      </c>
      <c r="B2779">
        <v>230</v>
      </c>
      <c r="C2779">
        <v>229</v>
      </c>
      <c r="D2779">
        <v>228</v>
      </c>
      <c r="E2779" t="s">
        <v>251</v>
      </c>
      <c r="F2779" t="s">
        <v>47</v>
      </c>
      <c r="G2779">
        <v>38</v>
      </c>
      <c r="H2779" t="s">
        <v>170</v>
      </c>
      <c r="I2779">
        <v>0</v>
      </c>
      <c r="J2779">
        <v>0.5</v>
      </c>
      <c r="K2779" t="s">
        <v>112</v>
      </c>
      <c r="L2779" t="s">
        <v>171</v>
      </c>
      <c r="M2779" t="s">
        <v>172</v>
      </c>
      <c r="N2779" t="s">
        <v>96</v>
      </c>
      <c r="O2779" t="s">
        <v>97</v>
      </c>
    </row>
    <row r="2780" spans="1:15" x14ac:dyDescent="0.2">
      <c r="A2780">
        <v>229</v>
      </c>
      <c r="B2780">
        <v>230</v>
      </c>
      <c r="C2780">
        <v>229</v>
      </c>
      <c r="D2780">
        <v>228</v>
      </c>
      <c r="E2780" t="s">
        <v>251</v>
      </c>
      <c r="F2780" t="s">
        <v>47</v>
      </c>
      <c r="G2780">
        <v>39</v>
      </c>
      <c r="H2780" t="s">
        <v>170</v>
      </c>
      <c r="I2780">
        <v>0</v>
      </c>
      <c r="J2780">
        <v>0.5</v>
      </c>
      <c r="K2780" t="s">
        <v>112</v>
      </c>
      <c r="L2780" t="s">
        <v>171</v>
      </c>
      <c r="M2780" t="s">
        <v>172</v>
      </c>
      <c r="N2780" t="s">
        <v>96</v>
      </c>
      <c r="O2780" t="s">
        <v>97</v>
      </c>
    </row>
    <row r="2781" spans="1:15" x14ac:dyDescent="0.2">
      <c r="A2781">
        <v>229</v>
      </c>
      <c r="B2781">
        <v>230</v>
      </c>
      <c r="C2781">
        <v>229</v>
      </c>
      <c r="D2781">
        <v>228</v>
      </c>
      <c r="E2781" t="s">
        <v>251</v>
      </c>
      <c r="F2781" t="s">
        <v>47</v>
      </c>
      <c r="G2781">
        <v>40</v>
      </c>
      <c r="H2781" t="s">
        <v>170</v>
      </c>
      <c r="I2781">
        <v>0.5</v>
      </c>
      <c r="J2781">
        <v>0.5</v>
      </c>
      <c r="K2781" t="s">
        <v>112</v>
      </c>
      <c r="L2781" t="s">
        <v>171</v>
      </c>
      <c r="M2781" t="s">
        <v>172</v>
      </c>
      <c r="N2781" t="s">
        <v>96</v>
      </c>
      <c r="O2781" t="s">
        <v>97</v>
      </c>
    </row>
    <row r="2782" spans="1:15" x14ac:dyDescent="0.2">
      <c r="A2782">
        <v>229</v>
      </c>
      <c r="B2782">
        <v>230</v>
      </c>
      <c r="C2782">
        <v>229</v>
      </c>
      <c r="D2782">
        <v>228</v>
      </c>
      <c r="E2782" t="s">
        <v>251</v>
      </c>
      <c r="F2782" t="s">
        <v>47</v>
      </c>
      <c r="G2782">
        <v>41</v>
      </c>
      <c r="H2782" t="s">
        <v>173</v>
      </c>
      <c r="I2782">
        <v>0.5</v>
      </c>
      <c r="J2782">
        <v>1</v>
      </c>
      <c r="K2782" t="s">
        <v>166</v>
      </c>
      <c r="L2782" t="s">
        <v>174</v>
      </c>
      <c r="M2782" t="s">
        <v>175</v>
      </c>
      <c r="N2782" t="s">
        <v>107</v>
      </c>
      <c r="O2782" t="s">
        <v>97</v>
      </c>
    </row>
    <row r="2783" spans="1:15" x14ac:dyDescent="0.2">
      <c r="A2783">
        <v>229</v>
      </c>
      <c r="B2783">
        <v>230</v>
      </c>
      <c r="C2783">
        <v>229</v>
      </c>
      <c r="D2783">
        <v>228</v>
      </c>
      <c r="E2783" t="s">
        <v>251</v>
      </c>
      <c r="F2783" t="s">
        <v>47</v>
      </c>
      <c r="G2783">
        <v>42</v>
      </c>
      <c r="H2783" t="s">
        <v>176</v>
      </c>
      <c r="I2783">
        <v>0.5</v>
      </c>
      <c r="J2783">
        <v>1</v>
      </c>
      <c r="K2783" t="s">
        <v>153</v>
      </c>
      <c r="L2783" t="s">
        <v>177</v>
      </c>
      <c r="M2783" t="s">
        <v>178</v>
      </c>
      <c r="N2783" t="s">
        <v>107</v>
      </c>
      <c r="O2783" t="s">
        <v>97</v>
      </c>
    </row>
    <row r="2784" spans="1:15" x14ac:dyDescent="0.2">
      <c r="A2784">
        <v>229</v>
      </c>
      <c r="B2784">
        <v>230</v>
      </c>
      <c r="C2784">
        <v>229</v>
      </c>
      <c r="D2784">
        <v>228</v>
      </c>
      <c r="E2784" t="s">
        <v>251</v>
      </c>
      <c r="F2784" t="s">
        <v>47</v>
      </c>
      <c r="G2784">
        <v>43</v>
      </c>
      <c r="H2784" t="s">
        <v>179</v>
      </c>
      <c r="I2784">
        <v>0</v>
      </c>
      <c r="J2784">
        <v>0</v>
      </c>
      <c r="K2784" t="s">
        <v>166</v>
      </c>
      <c r="L2784" t="s">
        <v>180</v>
      </c>
      <c r="M2784" t="s">
        <v>181</v>
      </c>
      <c r="N2784" t="s">
        <v>107</v>
      </c>
      <c r="O2784" t="s">
        <v>97</v>
      </c>
    </row>
    <row r="2785" spans="1:15" x14ac:dyDescent="0.2">
      <c r="A2785">
        <v>229</v>
      </c>
      <c r="B2785">
        <v>230</v>
      </c>
      <c r="C2785">
        <v>229</v>
      </c>
      <c r="D2785">
        <v>228</v>
      </c>
      <c r="E2785" t="s">
        <v>251</v>
      </c>
      <c r="F2785" t="s">
        <v>47</v>
      </c>
      <c r="G2785">
        <v>44</v>
      </c>
      <c r="H2785" t="s">
        <v>182</v>
      </c>
      <c r="I2785">
        <v>0</v>
      </c>
      <c r="J2785">
        <v>1</v>
      </c>
      <c r="K2785" t="s">
        <v>166</v>
      </c>
      <c r="L2785" t="s">
        <v>183</v>
      </c>
      <c r="M2785" t="s">
        <v>184</v>
      </c>
      <c r="N2785" t="s">
        <v>107</v>
      </c>
      <c r="O2785" t="s">
        <v>97</v>
      </c>
    </row>
    <row r="2786" spans="1:15" x14ac:dyDescent="0.2">
      <c r="A2786">
        <v>229</v>
      </c>
      <c r="B2786">
        <v>230</v>
      </c>
      <c r="C2786">
        <v>229</v>
      </c>
      <c r="D2786">
        <v>228</v>
      </c>
      <c r="E2786" t="s">
        <v>251</v>
      </c>
      <c r="F2786" t="s">
        <v>47</v>
      </c>
      <c r="G2786">
        <v>45</v>
      </c>
      <c r="H2786" t="s">
        <v>185</v>
      </c>
      <c r="I2786">
        <v>0</v>
      </c>
      <c r="J2786">
        <v>1</v>
      </c>
      <c r="K2786" t="s">
        <v>166</v>
      </c>
      <c r="L2786" t="s">
        <v>186</v>
      </c>
      <c r="M2786" t="s">
        <v>139</v>
      </c>
      <c r="N2786" t="s">
        <v>107</v>
      </c>
      <c r="O2786" t="s">
        <v>97</v>
      </c>
    </row>
    <row r="2787" spans="1:15" x14ac:dyDescent="0.2">
      <c r="A2787">
        <v>229</v>
      </c>
      <c r="B2787">
        <v>230</v>
      </c>
      <c r="C2787">
        <v>229</v>
      </c>
      <c r="D2787">
        <v>228</v>
      </c>
      <c r="E2787" t="s">
        <v>251</v>
      </c>
      <c r="F2787" t="s">
        <v>47</v>
      </c>
      <c r="G2787">
        <v>47</v>
      </c>
      <c r="H2787" t="s">
        <v>187</v>
      </c>
      <c r="I2787">
        <v>0</v>
      </c>
      <c r="J2787">
        <v>0.2</v>
      </c>
      <c r="K2787" t="s">
        <v>93</v>
      </c>
      <c r="L2787" t="s">
        <v>188</v>
      </c>
      <c r="M2787" t="s">
        <v>95</v>
      </c>
      <c r="N2787" t="s">
        <v>96</v>
      </c>
      <c r="O2787" t="s">
        <v>97</v>
      </c>
    </row>
    <row r="2788" spans="1:15" x14ac:dyDescent="0.2">
      <c r="A2788">
        <v>229</v>
      </c>
      <c r="B2788">
        <v>230</v>
      </c>
      <c r="C2788">
        <v>229</v>
      </c>
      <c r="D2788">
        <v>228</v>
      </c>
      <c r="E2788" t="s">
        <v>251</v>
      </c>
      <c r="F2788" t="s">
        <v>47</v>
      </c>
      <c r="G2788">
        <v>48</v>
      </c>
      <c r="H2788" t="s">
        <v>189</v>
      </c>
      <c r="I2788">
        <v>0.2</v>
      </c>
      <c r="J2788">
        <v>0.2</v>
      </c>
      <c r="K2788" t="s">
        <v>93</v>
      </c>
      <c r="L2788" t="s">
        <v>190</v>
      </c>
      <c r="M2788" t="s">
        <v>95</v>
      </c>
      <c r="N2788" t="s">
        <v>96</v>
      </c>
      <c r="O2788" t="s">
        <v>97</v>
      </c>
    </row>
    <row r="2789" spans="1:15" x14ac:dyDescent="0.2">
      <c r="A2789">
        <v>229</v>
      </c>
      <c r="B2789">
        <v>230</v>
      </c>
      <c r="C2789">
        <v>229</v>
      </c>
      <c r="D2789">
        <v>228</v>
      </c>
      <c r="E2789" t="s">
        <v>251</v>
      </c>
      <c r="F2789" t="s">
        <v>47</v>
      </c>
      <c r="G2789">
        <v>49</v>
      </c>
      <c r="H2789" t="s">
        <v>191</v>
      </c>
      <c r="I2789">
        <v>0.2</v>
      </c>
      <c r="J2789">
        <v>0.2</v>
      </c>
      <c r="K2789" t="s">
        <v>93</v>
      </c>
      <c r="L2789" t="s">
        <v>192</v>
      </c>
      <c r="M2789" t="s">
        <v>95</v>
      </c>
      <c r="N2789" t="s">
        <v>96</v>
      </c>
      <c r="O2789" t="s">
        <v>97</v>
      </c>
    </row>
    <row r="2790" spans="1:15" x14ac:dyDescent="0.2">
      <c r="A2790">
        <v>229</v>
      </c>
      <c r="B2790">
        <v>230</v>
      </c>
      <c r="C2790">
        <v>229</v>
      </c>
      <c r="D2790">
        <v>228</v>
      </c>
      <c r="E2790" t="s">
        <v>251</v>
      </c>
      <c r="F2790" t="s">
        <v>47</v>
      </c>
      <c r="G2790">
        <v>50</v>
      </c>
      <c r="H2790" t="s">
        <v>193</v>
      </c>
      <c r="I2790">
        <v>0.1</v>
      </c>
      <c r="J2790">
        <v>0.1</v>
      </c>
      <c r="K2790" t="s">
        <v>93</v>
      </c>
      <c r="L2790" t="s">
        <v>194</v>
      </c>
      <c r="M2790" t="s">
        <v>95</v>
      </c>
      <c r="N2790" t="s">
        <v>96</v>
      </c>
      <c r="O2790" t="s">
        <v>97</v>
      </c>
    </row>
    <row r="2791" spans="1:15" x14ac:dyDescent="0.2">
      <c r="A2791">
        <v>229</v>
      </c>
      <c r="B2791">
        <v>230</v>
      </c>
      <c r="C2791">
        <v>229</v>
      </c>
      <c r="D2791">
        <v>228</v>
      </c>
      <c r="E2791" t="s">
        <v>251</v>
      </c>
      <c r="F2791" t="s">
        <v>47</v>
      </c>
      <c r="G2791">
        <v>51</v>
      </c>
      <c r="H2791" t="s">
        <v>193</v>
      </c>
      <c r="I2791">
        <v>0</v>
      </c>
      <c r="J2791">
        <v>0.1</v>
      </c>
      <c r="K2791" t="s">
        <v>93</v>
      </c>
      <c r="L2791" t="s">
        <v>194</v>
      </c>
      <c r="M2791" t="s">
        <v>95</v>
      </c>
      <c r="N2791" t="s">
        <v>96</v>
      </c>
      <c r="O2791" t="s">
        <v>97</v>
      </c>
    </row>
    <row r="2792" spans="1:15" x14ac:dyDescent="0.2">
      <c r="A2792">
        <v>229</v>
      </c>
      <c r="B2792">
        <v>230</v>
      </c>
      <c r="C2792">
        <v>229</v>
      </c>
      <c r="D2792">
        <v>228</v>
      </c>
      <c r="E2792" t="s">
        <v>251</v>
      </c>
      <c r="F2792" t="s">
        <v>47</v>
      </c>
      <c r="G2792">
        <v>97</v>
      </c>
      <c r="H2792" t="s">
        <v>152</v>
      </c>
      <c r="I2792">
        <v>0.25</v>
      </c>
      <c r="J2792">
        <v>0.25</v>
      </c>
      <c r="K2792" t="s">
        <v>153</v>
      </c>
      <c r="L2792" t="s">
        <v>154</v>
      </c>
      <c r="M2792" t="s">
        <v>155</v>
      </c>
      <c r="N2792" t="s">
        <v>107</v>
      </c>
      <c r="O2792" t="s">
        <v>97</v>
      </c>
    </row>
    <row r="2793" spans="1:15" x14ac:dyDescent="0.2">
      <c r="A2793">
        <v>229</v>
      </c>
      <c r="B2793">
        <v>230</v>
      </c>
      <c r="C2793">
        <v>229</v>
      </c>
      <c r="D2793">
        <v>228</v>
      </c>
      <c r="E2793" t="s">
        <v>251</v>
      </c>
      <c r="F2793" t="s">
        <v>47</v>
      </c>
      <c r="G2793">
        <v>96</v>
      </c>
      <c r="H2793" t="s">
        <v>152</v>
      </c>
      <c r="I2793">
        <v>0</v>
      </c>
      <c r="J2793">
        <v>0</v>
      </c>
      <c r="K2793" t="s">
        <v>153</v>
      </c>
      <c r="L2793" t="s">
        <v>154</v>
      </c>
      <c r="M2793" t="s">
        <v>155</v>
      </c>
      <c r="N2793" t="s">
        <v>107</v>
      </c>
      <c r="O2793" t="s">
        <v>97</v>
      </c>
    </row>
    <row r="2794" spans="1:15" x14ac:dyDescent="0.2">
      <c r="A2794">
        <v>229</v>
      </c>
      <c r="B2794">
        <v>230</v>
      </c>
      <c r="C2794">
        <v>229</v>
      </c>
      <c r="D2794">
        <v>228</v>
      </c>
      <c r="E2794" t="s">
        <v>251</v>
      </c>
      <c r="F2794" t="s">
        <v>47</v>
      </c>
      <c r="G2794">
        <v>99</v>
      </c>
      <c r="H2794" t="s">
        <v>152</v>
      </c>
      <c r="I2794">
        <v>0</v>
      </c>
      <c r="J2794">
        <v>0</v>
      </c>
      <c r="K2794" t="s">
        <v>153</v>
      </c>
      <c r="L2794" t="s">
        <v>154</v>
      </c>
      <c r="M2794" t="s">
        <v>155</v>
      </c>
      <c r="N2794" t="s">
        <v>107</v>
      </c>
      <c r="O2794" t="s">
        <v>97</v>
      </c>
    </row>
    <row r="2795" spans="1:15" x14ac:dyDescent="0.2">
      <c r="A2795">
        <v>229</v>
      </c>
      <c r="B2795">
        <v>230</v>
      </c>
      <c r="C2795">
        <v>229</v>
      </c>
      <c r="D2795">
        <v>228</v>
      </c>
      <c r="E2795" t="s">
        <v>251</v>
      </c>
      <c r="F2795" t="s">
        <v>47</v>
      </c>
      <c r="G2795">
        <v>98</v>
      </c>
      <c r="H2795" t="s">
        <v>204</v>
      </c>
      <c r="I2795">
        <v>0</v>
      </c>
      <c r="J2795">
        <v>1</v>
      </c>
      <c r="K2795" t="s">
        <v>122</v>
      </c>
      <c r="L2795" t="s">
        <v>205</v>
      </c>
      <c r="M2795" t="s">
        <v>206</v>
      </c>
      <c r="N2795" t="s">
        <v>207</v>
      </c>
      <c r="O2795" t="s">
        <v>97</v>
      </c>
    </row>
    <row r="2796" spans="1:15" x14ac:dyDescent="0.2">
      <c r="A2796">
        <v>234</v>
      </c>
      <c r="B2796">
        <v>235</v>
      </c>
      <c r="C2796">
        <v>234</v>
      </c>
      <c r="D2796">
        <v>233</v>
      </c>
      <c r="E2796" t="s">
        <v>251</v>
      </c>
      <c r="F2796" t="s">
        <v>48</v>
      </c>
      <c r="G2796">
        <v>1</v>
      </c>
      <c r="H2796" t="s">
        <v>92</v>
      </c>
      <c r="I2796">
        <v>0</v>
      </c>
      <c r="J2796">
        <v>0.2</v>
      </c>
      <c r="K2796" t="s">
        <v>93</v>
      </c>
      <c r="L2796" t="s">
        <v>94</v>
      </c>
      <c r="M2796" t="s">
        <v>95</v>
      </c>
      <c r="N2796" t="s">
        <v>96</v>
      </c>
      <c r="O2796" t="s">
        <v>97</v>
      </c>
    </row>
    <row r="2797" spans="1:15" x14ac:dyDescent="0.2">
      <c r="A2797">
        <v>234</v>
      </c>
      <c r="B2797">
        <v>235</v>
      </c>
      <c r="C2797">
        <v>234</v>
      </c>
      <c r="D2797">
        <v>233</v>
      </c>
      <c r="E2797" t="s">
        <v>251</v>
      </c>
      <c r="F2797" t="s">
        <v>48</v>
      </c>
      <c r="G2797">
        <v>2</v>
      </c>
      <c r="H2797" t="s">
        <v>98</v>
      </c>
      <c r="I2797">
        <v>0.25</v>
      </c>
      <c r="J2797">
        <v>0.5</v>
      </c>
      <c r="K2797" t="s">
        <v>93</v>
      </c>
      <c r="L2797" t="s">
        <v>99</v>
      </c>
      <c r="M2797" t="s">
        <v>95</v>
      </c>
      <c r="N2797" t="s">
        <v>96</v>
      </c>
      <c r="O2797" t="s">
        <v>97</v>
      </c>
    </row>
    <row r="2798" spans="1:15" x14ac:dyDescent="0.2">
      <c r="A2798">
        <v>234</v>
      </c>
      <c r="B2798">
        <v>235</v>
      </c>
      <c r="C2798">
        <v>234</v>
      </c>
      <c r="D2798">
        <v>233</v>
      </c>
      <c r="E2798" t="s">
        <v>251</v>
      </c>
      <c r="F2798" t="s">
        <v>48</v>
      </c>
      <c r="G2798">
        <v>3</v>
      </c>
      <c r="H2798" t="s">
        <v>100</v>
      </c>
      <c r="I2798">
        <v>0</v>
      </c>
      <c r="J2798">
        <v>1</v>
      </c>
      <c r="K2798" t="s">
        <v>101</v>
      </c>
      <c r="L2798" t="s">
        <v>102</v>
      </c>
      <c r="M2798" t="s">
        <v>103</v>
      </c>
      <c r="N2798" t="s">
        <v>96</v>
      </c>
      <c r="O2798" t="s">
        <v>97</v>
      </c>
    </row>
    <row r="2799" spans="1:15" x14ac:dyDescent="0.2">
      <c r="A2799">
        <v>234</v>
      </c>
      <c r="B2799">
        <v>235</v>
      </c>
      <c r="C2799">
        <v>234</v>
      </c>
      <c r="D2799">
        <v>233</v>
      </c>
      <c r="E2799" t="s">
        <v>251</v>
      </c>
      <c r="F2799" t="s">
        <v>48</v>
      </c>
      <c r="G2799">
        <v>4</v>
      </c>
      <c r="H2799" t="s">
        <v>104</v>
      </c>
      <c r="I2799">
        <v>0.5</v>
      </c>
      <c r="J2799">
        <v>1</v>
      </c>
      <c r="K2799" t="s">
        <v>101</v>
      </c>
      <c r="L2799" t="s">
        <v>105</v>
      </c>
      <c r="M2799" t="s">
        <v>106</v>
      </c>
      <c r="N2799" t="s">
        <v>107</v>
      </c>
      <c r="O2799" t="s">
        <v>97</v>
      </c>
    </row>
    <row r="2800" spans="1:15" x14ac:dyDescent="0.2">
      <c r="A2800">
        <v>234</v>
      </c>
      <c r="B2800">
        <v>235</v>
      </c>
      <c r="C2800">
        <v>234</v>
      </c>
      <c r="D2800">
        <v>233</v>
      </c>
      <c r="E2800" t="s">
        <v>251</v>
      </c>
      <c r="F2800" t="s">
        <v>48</v>
      </c>
      <c r="G2800">
        <v>5</v>
      </c>
      <c r="H2800" t="s">
        <v>108</v>
      </c>
      <c r="I2800">
        <v>0</v>
      </c>
      <c r="J2800">
        <v>1</v>
      </c>
      <c r="K2800" t="s">
        <v>101</v>
      </c>
      <c r="L2800" t="s">
        <v>109</v>
      </c>
      <c r="M2800" t="s">
        <v>110</v>
      </c>
      <c r="N2800" t="s">
        <v>107</v>
      </c>
      <c r="O2800" t="s">
        <v>97</v>
      </c>
    </row>
    <row r="2801" spans="1:15" x14ac:dyDescent="0.2">
      <c r="A2801">
        <v>234</v>
      </c>
      <c r="B2801">
        <v>235</v>
      </c>
      <c r="C2801">
        <v>234</v>
      </c>
      <c r="D2801">
        <v>233</v>
      </c>
      <c r="E2801" t="s">
        <v>251</v>
      </c>
      <c r="F2801" t="s">
        <v>48</v>
      </c>
      <c r="G2801">
        <v>9</v>
      </c>
      <c r="H2801" t="s">
        <v>111</v>
      </c>
      <c r="I2801">
        <v>0.25</v>
      </c>
      <c r="J2801">
        <v>0.5</v>
      </c>
      <c r="K2801" t="s">
        <v>112</v>
      </c>
      <c r="L2801" t="s">
        <v>113</v>
      </c>
      <c r="M2801" t="s">
        <v>114</v>
      </c>
      <c r="N2801" t="s">
        <v>96</v>
      </c>
      <c r="O2801" t="s">
        <v>97</v>
      </c>
    </row>
    <row r="2802" spans="1:15" x14ac:dyDescent="0.2">
      <c r="A2802">
        <v>234</v>
      </c>
      <c r="B2802">
        <v>235</v>
      </c>
      <c r="C2802">
        <v>234</v>
      </c>
      <c r="D2802">
        <v>233</v>
      </c>
      <c r="E2802" t="s">
        <v>251</v>
      </c>
      <c r="F2802" t="s">
        <v>48</v>
      </c>
      <c r="G2802">
        <v>10</v>
      </c>
      <c r="H2802" t="s">
        <v>115</v>
      </c>
      <c r="I2802">
        <v>0.5</v>
      </c>
      <c r="J2802">
        <v>0.5</v>
      </c>
      <c r="K2802" t="s">
        <v>112</v>
      </c>
      <c r="L2802" t="s">
        <v>116</v>
      </c>
      <c r="M2802" t="s">
        <v>117</v>
      </c>
      <c r="N2802" t="s">
        <v>96</v>
      </c>
      <c r="O2802" t="s">
        <v>97</v>
      </c>
    </row>
    <row r="2803" spans="1:15" x14ac:dyDescent="0.2">
      <c r="A2803">
        <v>234</v>
      </c>
      <c r="B2803">
        <v>235</v>
      </c>
      <c r="C2803">
        <v>234</v>
      </c>
      <c r="D2803">
        <v>233</v>
      </c>
      <c r="E2803" t="s">
        <v>251</v>
      </c>
      <c r="F2803" t="s">
        <v>48</v>
      </c>
      <c r="G2803">
        <v>11</v>
      </c>
      <c r="H2803" t="s">
        <v>118</v>
      </c>
      <c r="I2803">
        <v>0.5</v>
      </c>
      <c r="J2803">
        <v>1</v>
      </c>
      <c r="K2803" t="s">
        <v>112</v>
      </c>
      <c r="L2803" t="s">
        <v>119</v>
      </c>
      <c r="M2803" t="s">
        <v>120</v>
      </c>
      <c r="N2803" t="s">
        <v>107</v>
      </c>
      <c r="O2803" t="s">
        <v>97</v>
      </c>
    </row>
    <row r="2804" spans="1:15" x14ac:dyDescent="0.2">
      <c r="A2804">
        <v>234</v>
      </c>
      <c r="B2804">
        <v>235</v>
      </c>
      <c r="C2804">
        <v>234</v>
      </c>
      <c r="D2804">
        <v>233</v>
      </c>
      <c r="E2804" t="s">
        <v>251</v>
      </c>
      <c r="F2804" t="s">
        <v>48</v>
      </c>
      <c r="G2804">
        <v>12</v>
      </c>
      <c r="H2804" t="s">
        <v>121</v>
      </c>
      <c r="I2804">
        <v>0</v>
      </c>
      <c r="J2804">
        <v>0.5</v>
      </c>
      <c r="K2804" t="s">
        <v>122</v>
      </c>
      <c r="L2804" t="s">
        <v>113</v>
      </c>
      <c r="M2804" t="s">
        <v>123</v>
      </c>
      <c r="N2804" t="s">
        <v>96</v>
      </c>
      <c r="O2804" t="s">
        <v>97</v>
      </c>
    </row>
    <row r="2805" spans="1:15" x14ac:dyDescent="0.2">
      <c r="A2805">
        <v>234</v>
      </c>
      <c r="B2805">
        <v>235</v>
      </c>
      <c r="C2805">
        <v>234</v>
      </c>
      <c r="D2805">
        <v>233</v>
      </c>
      <c r="E2805" t="s">
        <v>251</v>
      </c>
      <c r="F2805" t="s">
        <v>48</v>
      </c>
      <c r="G2805">
        <v>13</v>
      </c>
      <c r="H2805" t="s">
        <v>124</v>
      </c>
      <c r="I2805">
        <v>0</v>
      </c>
      <c r="J2805">
        <v>0.5</v>
      </c>
      <c r="K2805" t="s">
        <v>122</v>
      </c>
      <c r="L2805" t="s">
        <v>125</v>
      </c>
      <c r="M2805" t="s">
        <v>126</v>
      </c>
      <c r="N2805" t="s">
        <v>96</v>
      </c>
      <c r="O2805" t="s">
        <v>97</v>
      </c>
    </row>
    <row r="2806" spans="1:15" x14ac:dyDescent="0.2">
      <c r="A2806">
        <v>234</v>
      </c>
      <c r="B2806">
        <v>235</v>
      </c>
      <c r="C2806">
        <v>234</v>
      </c>
      <c r="D2806">
        <v>233</v>
      </c>
      <c r="E2806" t="s">
        <v>251</v>
      </c>
      <c r="F2806" t="s">
        <v>48</v>
      </c>
      <c r="G2806">
        <v>14</v>
      </c>
      <c r="H2806" t="s">
        <v>127</v>
      </c>
      <c r="I2806">
        <v>0.5</v>
      </c>
      <c r="J2806">
        <v>1</v>
      </c>
      <c r="K2806" t="s">
        <v>122</v>
      </c>
      <c r="L2806" t="s">
        <v>119</v>
      </c>
      <c r="M2806" t="s">
        <v>128</v>
      </c>
      <c r="N2806" t="s">
        <v>107</v>
      </c>
      <c r="O2806" t="s">
        <v>97</v>
      </c>
    </row>
    <row r="2807" spans="1:15" x14ac:dyDescent="0.2">
      <c r="A2807">
        <v>234</v>
      </c>
      <c r="B2807">
        <v>235</v>
      </c>
      <c r="C2807">
        <v>234</v>
      </c>
      <c r="D2807">
        <v>233</v>
      </c>
      <c r="E2807" t="s">
        <v>251</v>
      </c>
      <c r="F2807" t="s">
        <v>48</v>
      </c>
      <c r="G2807">
        <v>15</v>
      </c>
      <c r="H2807" t="s">
        <v>129</v>
      </c>
      <c r="I2807">
        <v>1</v>
      </c>
      <c r="J2807">
        <v>1</v>
      </c>
      <c r="K2807" t="s">
        <v>130</v>
      </c>
      <c r="L2807" t="s">
        <v>131</v>
      </c>
      <c r="M2807" t="s">
        <v>132</v>
      </c>
      <c r="N2807" t="s">
        <v>107</v>
      </c>
      <c r="O2807" t="s">
        <v>97</v>
      </c>
    </row>
    <row r="2808" spans="1:15" x14ac:dyDescent="0.2">
      <c r="A2808">
        <v>234</v>
      </c>
      <c r="B2808">
        <v>235</v>
      </c>
      <c r="C2808">
        <v>234</v>
      </c>
      <c r="D2808">
        <v>233</v>
      </c>
      <c r="E2808" t="s">
        <v>251</v>
      </c>
      <c r="F2808" t="s">
        <v>48</v>
      </c>
      <c r="G2808">
        <v>16</v>
      </c>
      <c r="H2808" t="s">
        <v>133</v>
      </c>
      <c r="I2808">
        <v>0</v>
      </c>
      <c r="J2808">
        <v>0</v>
      </c>
      <c r="K2808" t="e">
        <v>#N/A</v>
      </c>
      <c r="L2808" t="e">
        <v>#N/A</v>
      </c>
      <c r="M2808" t="e">
        <v>#N/A</v>
      </c>
      <c r="N2808" t="e">
        <v>#N/A</v>
      </c>
      <c r="O2808" t="s">
        <v>97</v>
      </c>
    </row>
    <row r="2809" spans="1:15" x14ac:dyDescent="0.2">
      <c r="A2809">
        <v>234</v>
      </c>
      <c r="B2809">
        <v>235</v>
      </c>
      <c r="C2809">
        <v>234</v>
      </c>
      <c r="D2809">
        <v>233</v>
      </c>
      <c r="E2809" t="s">
        <v>251</v>
      </c>
      <c r="F2809" t="s">
        <v>48</v>
      </c>
      <c r="G2809">
        <v>17</v>
      </c>
      <c r="H2809" t="s">
        <v>134</v>
      </c>
      <c r="I2809">
        <v>1</v>
      </c>
      <c r="J2809">
        <v>1</v>
      </c>
      <c r="K2809" t="s">
        <v>112</v>
      </c>
      <c r="L2809" t="s">
        <v>135</v>
      </c>
      <c r="M2809" t="s">
        <v>136</v>
      </c>
      <c r="N2809" t="s">
        <v>107</v>
      </c>
      <c r="O2809" t="s">
        <v>97</v>
      </c>
    </row>
    <row r="2810" spans="1:15" x14ac:dyDescent="0.2">
      <c r="A2810">
        <v>234</v>
      </c>
      <c r="B2810">
        <v>235</v>
      </c>
      <c r="C2810">
        <v>234</v>
      </c>
      <c r="D2810">
        <v>233</v>
      </c>
      <c r="E2810" t="s">
        <v>251</v>
      </c>
      <c r="F2810" t="s">
        <v>48</v>
      </c>
      <c r="G2810">
        <v>18</v>
      </c>
      <c r="H2810" t="s">
        <v>137</v>
      </c>
      <c r="I2810">
        <v>1</v>
      </c>
      <c r="J2810">
        <v>1</v>
      </c>
      <c r="K2810" t="s">
        <v>112</v>
      </c>
      <c r="L2810" t="s">
        <v>138</v>
      </c>
      <c r="M2810" t="s">
        <v>139</v>
      </c>
      <c r="N2810" t="s">
        <v>107</v>
      </c>
      <c r="O2810" t="s">
        <v>97</v>
      </c>
    </row>
    <row r="2811" spans="1:15" x14ac:dyDescent="0.2">
      <c r="A2811">
        <v>234</v>
      </c>
      <c r="B2811">
        <v>235</v>
      </c>
      <c r="C2811">
        <v>234</v>
      </c>
      <c r="D2811">
        <v>233</v>
      </c>
      <c r="E2811" t="s">
        <v>251</v>
      </c>
      <c r="F2811" t="s">
        <v>48</v>
      </c>
      <c r="G2811">
        <v>19</v>
      </c>
      <c r="H2811" t="s">
        <v>140</v>
      </c>
      <c r="I2811">
        <v>0.5</v>
      </c>
      <c r="J2811">
        <v>1</v>
      </c>
      <c r="K2811" t="s">
        <v>122</v>
      </c>
      <c r="L2811" t="s">
        <v>141</v>
      </c>
      <c r="M2811" t="s">
        <v>142</v>
      </c>
      <c r="N2811" t="s">
        <v>107</v>
      </c>
      <c r="O2811" t="s">
        <v>97</v>
      </c>
    </row>
    <row r="2812" spans="1:15" x14ac:dyDescent="0.2">
      <c r="A2812">
        <v>234</v>
      </c>
      <c r="B2812">
        <v>235</v>
      </c>
      <c r="C2812">
        <v>234</v>
      </c>
      <c r="D2812">
        <v>233</v>
      </c>
      <c r="E2812" t="s">
        <v>251</v>
      </c>
      <c r="F2812" t="s">
        <v>48</v>
      </c>
      <c r="G2812">
        <v>20</v>
      </c>
      <c r="H2812" t="s">
        <v>143</v>
      </c>
      <c r="I2812">
        <v>1</v>
      </c>
      <c r="J2812">
        <v>1</v>
      </c>
      <c r="K2812" t="s">
        <v>122</v>
      </c>
      <c r="L2812" t="s">
        <v>144</v>
      </c>
      <c r="M2812" t="s">
        <v>145</v>
      </c>
      <c r="N2812" t="s">
        <v>107</v>
      </c>
      <c r="O2812" t="s">
        <v>97</v>
      </c>
    </row>
    <row r="2813" spans="1:15" x14ac:dyDescent="0.2">
      <c r="A2813">
        <v>234</v>
      </c>
      <c r="B2813">
        <v>235</v>
      </c>
      <c r="C2813">
        <v>234</v>
      </c>
      <c r="D2813">
        <v>233</v>
      </c>
      <c r="E2813" t="s">
        <v>251</v>
      </c>
      <c r="F2813" t="s">
        <v>48</v>
      </c>
      <c r="G2813">
        <v>21</v>
      </c>
      <c r="H2813" t="s">
        <v>146</v>
      </c>
      <c r="I2813">
        <v>1</v>
      </c>
      <c r="J2813">
        <v>1</v>
      </c>
      <c r="K2813" t="s">
        <v>147</v>
      </c>
      <c r="L2813" t="s">
        <v>148</v>
      </c>
      <c r="M2813" t="s">
        <v>149</v>
      </c>
      <c r="N2813" t="s">
        <v>96</v>
      </c>
      <c r="O2813" t="s">
        <v>97</v>
      </c>
    </row>
    <row r="2814" spans="1:15" x14ac:dyDescent="0.2">
      <c r="A2814">
        <v>234</v>
      </c>
      <c r="B2814">
        <v>235</v>
      </c>
      <c r="C2814">
        <v>234</v>
      </c>
      <c r="D2814">
        <v>233</v>
      </c>
      <c r="E2814" t="s">
        <v>251</v>
      </c>
      <c r="F2814" t="s">
        <v>48</v>
      </c>
      <c r="G2814">
        <v>22</v>
      </c>
      <c r="H2814" t="s">
        <v>150</v>
      </c>
      <c r="I2814">
        <v>0</v>
      </c>
      <c r="J2814">
        <v>1</v>
      </c>
      <c r="K2814" t="s">
        <v>147</v>
      </c>
      <c r="L2814" t="s">
        <v>151</v>
      </c>
      <c r="M2814" t="s">
        <v>149</v>
      </c>
      <c r="N2814" t="s">
        <v>107</v>
      </c>
      <c r="O2814" t="s">
        <v>97</v>
      </c>
    </row>
    <row r="2815" spans="1:15" x14ac:dyDescent="0.2">
      <c r="A2815">
        <v>234</v>
      </c>
      <c r="B2815">
        <v>235</v>
      </c>
      <c r="C2815">
        <v>234</v>
      </c>
      <c r="D2815">
        <v>233</v>
      </c>
      <c r="E2815" t="s">
        <v>251</v>
      </c>
      <c r="F2815" t="s">
        <v>48</v>
      </c>
      <c r="G2815">
        <v>23</v>
      </c>
      <c r="H2815" t="s">
        <v>152</v>
      </c>
      <c r="I2815">
        <v>0</v>
      </c>
      <c r="J2815">
        <v>0</v>
      </c>
      <c r="K2815" t="s">
        <v>153</v>
      </c>
      <c r="L2815" t="s">
        <v>154</v>
      </c>
      <c r="M2815" t="s">
        <v>155</v>
      </c>
      <c r="N2815" t="s">
        <v>107</v>
      </c>
      <c r="O2815" t="s">
        <v>97</v>
      </c>
    </row>
    <row r="2816" spans="1:15" x14ac:dyDescent="0.2">
      <c r="A2816">
        <v>234</v>
      </c>
      <c r="B2816">
        <v>235</v>
      </c>
      <c r="C2816">
        <v>234</v>
      </c>
      <c r="D2816">
        <v>233</v>
      </c>
      <c r="E2816" t="s">
        <v>251</v>
      </c>
      <c r="F2816" t="s">
        <v>48</v>
      </c>
      <c r="G2816">
        <v>24</v>
      </c>
      <c r="H2816" t="s">
        <v>156</v>
      </c>
      <c r="I2816">
        <v>0</v>
      </c>
      <c r="J2816">
        <v>0.5</v>
      </c>
      <c r="K2816" t="s">
        <v>122</v>
      </c>
      <c r="L2816" t="s">
        <v>157</v>
      </c>
      <c r="M2816" t="s">
        <v>158</v>
      </c>
      <c r="N2816" t="s">
        <v>107</v>
      </c>
      <c r="O2816" t="s">
        <v>97</v>
      </c>
    </row>
    <row r="2817" spans="1:15" x14ac:dyDescent="0.2">
      <c r="A2817">
        <v>234</v>
      </c>
      <c r="B2817">
        <v>235</v>
      </c>
      <c r="C2817">
        <v>234</v>
      </c>
      <c r="D2817">
        <v>233</v>
      </c>
      <c r="E2817" t="s">
        <v>251</v>
      </c>
      <c r="F2817" t="s">
        <v>48</v>
      </c>
      <c r="G2817">
        <v>25</v>
      </c>
      <c r="H2817" t="s">
        <v>156</v>
      </c>
      <c r="I2817">
        <v>0</v>
      </c>
      <c r="J2817">
        <v>0.5</v>
      </c>
      <c r="K2817" t="s">
        <v>122</v>
      </c>
      <c r="L2817" t="s">
        <v>157</v>
      </c>
      <c r="M2817" t="s">
        <v>158</v>
      </c>
      <c r="N2817" t="s">
        <v>107</v>
      </c>
      <c r="O2817" t="s">
        <v>97</v>
      </c>
    </row>
    <row r="2818" spans="1:15" x14ac:dyDescent="0.2">
      <c r="A2818">
        <v>234</v>
      </c>
      <c r="B2818">
        <v>235</v>
      </c>
      <c r="C2818">
        <v>234</v>
      </c>
      <c r="D2818">
        <v>233</v>
      </c>
      <c r="E2818" t="s">
        <v>251</v>
      </c>
      <c r="F2818" t="s">
        <v>48</v>
      </c>
      <c r="G2818">
        <v>26</v>
      </c>
      <c r="H2818" t="s">
        <v>152</v>
      </c>
      <c r="I2818">
        <v>0</v>
      </c>
      <c r="J2818">
        <v>0</v>
      </c>
      <c r="K2818" t="s">
        <v>153</v>
      </c>
      <c r="L2818" t="s">
        <v>154</v>
      </c>
      <c r="M2818" t="s">
        <v>155</v>
      </c>
      <c r="N2818" t="s">
        <v>107</v>
      </c>
      <c r="O2818" t="s">
        <v>97</v>
      </c>
    </row>
    <row r="2819" spans="1:15" x14ac:dyDescent="0.2">
      <c r="A2819">
        <v>234</v>
      </c>
      <c r="B2819">
        <v>235</v>
      </c>
      <c r="C2819">
        <v>234</v>
      </c>
      <c r="D2819">
        <v>233</v>
      </c>
      <c r="E2819" t="s">
        <v>251</v>
      </c>
      <c r="F2819" t="s">
        <v>48</v>
      </c>
      <c r="G2819">
        <v>27</v>
      </c>
      <c r="H2819" t="s">
        <v>159</v>
      </c>
      <c r="I2819">
        <v>0</v>
      </c>
      <c r="J2819">
        <v>0.5</v>
      </c>
      <c r="K2819" t="s">
        <v>122</v>
      </c>
      <c r="L2819" t="s">
        <v>160</v>
      </c>
      <c r="M2819" t="s">
        <v>161</v>
      </c>
      <c r="N2819" t="s">
        <v>107</v>
      </c>
      <c r="O2819" t="s">
        <v>97</v>
      </c>
    </row>
    <row r="2820" spans="1:15" x14ac:dyDescent="0.2">
      <c r="A2820">
        <v>234</v>
      </c>
      <c r="B2820">
        <v>235</v>
      </c>
      <c r="C2820">
        <v>234</v>
      </c>
      <c r="D2820">
        <v>233</v>
      </c>
      <c r="E2820" t="s">
        <v>251</v>
      </c>
      <c r="F2820" t="s">
        <v>48</v>
      </c>
      <c r="G2820">
        <v>28</v>
      </c>
      <c r="H2820" t="s">
        <v>159</v>
      </c>
      <c r="I2820">
        <v>0</v>
      </c>
      <c r="J2820">
        <v>0.5</v>
      </c>
      <c r="K2820" t="s">
        <v>122</v>
      </c>
      <c r="L2820" t="s">
        <v>160</v>
      </c>
      <c r="M2820" t="s">
        <v>161</v>
      </c>
      <c r="N2820" t="s">
        <v>107</v>
      </c>
      <c r="O2820" t="s">
        <v>97</v>
      </c>
    </row>
    <row r="2821" spans="1:15" x14ac:dyDescent="0.2">
      <c r="A2821">
        <v>234</v>
      </c>
      <c r="B2821">
        <v>235</v>
      </c>
      <c r="C2821">
        <v>234</v>
      </c>
      <c r="D2821">
        <v>233</v>
      </c>
      <c r="E2821" t="s">
        <v>251</v>
      </c>
      <c r="F2821" t="s">
        <v>48</v>
      </c>
      <c r="G2821">
        <v>29</v>
      </c>
      <c r="H2821" t="s">
        <v>152</v>
      </c>
      <c r="I2821">
        <v>0</v>
      </c>
      <c r="J2821">
        <v>0</v>
      </c>
      <c r="K2821" t="s">
        <v>153</v>
      </c>
      <c r="L2821" t="s">
        <v>154</v>
      </c>
      <c r="M2821" t="s">
        <v>155</v>
      </c>
      <c r="N2821" t="s">
        <v>107</v>
      </c>
      <c r="O2821" t="s">
        <v>97</v>
      </c>
    </row>
    <row r="2822" spans="1:15" x14ac:dyDescent="0.2">
      <c r="A2822">
        <v>234</v>
      </c>
      <c r="B2822">
        <v>235</v>
      </c>
      <c r="C2822">
        <v>234</v>
      </c>
      <c r="D2822">
        <v>233</v>
      </c>
      <c r="E2822" t="s">
        <v>251</v>
      </c>
      <c r="F2822" t="s">
        <v>48</v>
      </c>
      <c r="G2822">
        <v>30</v>
      </c>
      <c r="H2822" t="s">
        <v>162</v>
      </c>
      <c r="I2822">
        <v>0</v>
      </c>
      <c r="J2822">
        <v>1</v>
      </c>
      <c r="K2822" t="s">
        <v>112</v>
      </c>
      <c r="L2822" t="s">
        <v>163</v>
      </c>
      <c r="M2822" t="s">
        <v>164</v>
      </c>
      <c r="N2822" t="s">
        <v>107</v>
      </c>
      <c r="O2822" t="s">
        <v>97</v>
      </c>
    </row>
    <row r="2823" spans="1:15" x14ac:dyDescent="0.2">
      <c r="A2823">
        <v>234</v>
      </c>
      <c r="B2823">
        <v>235</v>
      </c>
      <c r="C2823">
        <v>234</v>
      </c>
      <c r="D2823">
        <v>233</v>
      </c>
      <c r="E2823" t="s">
        <v>251</v>
      </c>
      <c r="F2823" t="s">
        <v>48</v>
      </c>
      <c r="G2823">
        <v>31</v>
      </c>
      <c r="H2823" t="s">
        <v>162</v>
      </c>
      <c r="I2823">
        <v>0</v>
      </c>
      <c r="J2823">
        <v>0</v>
      </c>
      <c r="K2823" t="s">
        <v>112</v>
      </c>
      <c r="L2823" t="s">
        <v>163</v>
      </c>
      <c r="M2823" t="s">
        <v>164</v>
      </c>
      <c r="N2823" t="s">
        <v>107</v>
      </c>
      <c r="O2823" t="s">
        <v>97</v>
      </c>
    </row>
    <row r="2824" spans="1:15" x14ac:dyDescent="0.2">
      <c r="A2824">
        <v>234</v>
      </c>
      <c r="B2824">
        <v>235</v>
      </c>
      <c r="C2824">
        <v>234</v>
      </c>
      <c r="D2824">
        <v>233</v>
      </c>
      <c r="E2824" t="s">
        <v>251</v>
      </c>
      <c r="F2824" t="s">
        <v>48</v>
      </c>
      <c r="G2824">
        <v>32</v>
      </c>
      <c r="H2824" t="s">
        <v>162</v>
      </c>
      <c r="I2824">
        <v>0</v>
      </c>
      <c r="J2824">
        <v>0</v>
      </c>
      <c r="K2824" t="s">
        <v>112</v>
      </c>
      <c r="L2824" t="s">
        <v>163</v>
      </c>
      <c r="M2824" t="s">
        <v>164</v>
      </c>
      <c r="N2824" t="s">
        <v>107</v>
      </c>
      <c r="O2824" t="s">
        <v>97</v>
      </c>
    </row>
    <row r="2825" spans="1:15" x14ac:dyDescent="0.2">
      <c r="A2825">
        <v>234</v>
      </c>
      <c r="B2825">
        <v>235</v>
      </c>
      <c r="C2825">
        <v>234</v>
      </c>
      <c r="D2825">
        <v>233</v>
      </c>
      <c r="E2825" t="s">
        <v>251</v>
      </c>
      <c r="F2825" t="s">
        <v>48</v>
      </c>
      <c r="G2825">
        <v>33</v>
      </c>
      <c r="H2825" t="s">
        <v>152</v>
      </c>
      <c r="I2825">
        <v>1</v>
      </c>
      <c r="J2825">
        <v>1</v>
      </c>
      <c r="K2825" t="s">
        <v>153</v>
      </c>
      <c r="L2825" t="s">
        <v>154</v>
      </c>
      <c r="M2825" t="s">
        <v>155</v>
      </c>
      <c r="N2825" t="s">
        <v>107</v>
      </c>
      <c r="O2825" t="s">
        <v>97</v>
      </c>
    </row>
    <row r="2826" spans="1:15" x14ac:dyDescent="0.2">
      <c r="A2826">
        <v>234</v>
      </c>
      <c r="B2826">
        <v>235</v>
      </c>
      <c r="C2826">
        <v>234</v>
      </c>
      <c r="D2826">
        <v>233</v>
      </c>
      <c r="E2826" t="s">
        <v>251</v>
      </c>
      <c r="F2826" t="s">
        <v>48</v>
      </c>
      <c r="G2826">
        <v>34</v>
      </c>
      <c r="H2826" t="s">
        <v>152</v>
      </c>
      <c r="I2826">
        <v>0</v>
      </c>
      <c r="J2826">
        <v>0</v>
      </c>
      <c r="K2826" t="s">
        <v>153</v>
      </c>
      <c r="L2826" t="s">
        <v>154</v>
      </c>
      <c r="M2826" t="s">
        <v>155</v>
      </c>
      <c r="N2826" t="s">
        <v>107</v>
      </c>
      <c r="O2826" t="s">
        <v>97</v>
      </c>
    </row>
    <row r="2827" spans="1:15" x14ac:dyDescent="0.2">
      <c r="A2827">
        <v>234</v>
      </c>
      <c r="B2827">
        <v>235</v>
      </c>
      <c r="C2827">
        <v>234</v>
      </c>
      <c r="D2827">
        <v>233</v>
      </c>
      <c r="E2827" t="s">
        <v>251</v>
      </c>
      <c r="F2827" t="s">
        <v>48</v>
      </c>
      <c r="G2827">
        <v>35</v>
      </c>
      <c r="H2827" t="s">
        <v>165</v>
      </c>
      <c r="I2827">
        <v>0.5</v>
      </c>
      <c r="J2827">
        <v>1</v>
      </c>
      <c r="K2827" t="s">
        <v>166</v>
      </c>
      <c r="L2827" t="s">
        <v>167</v>
      </c>
      <c r="M2827" t="s">
        <v>168</v>
      </c>
      <c r="N2827" t="s">
        <v>107</v>
      </c>
      <c r="O2827" t="s">
        <v>97</v>
      </c>
    </row>
    <row r="2828" spans="1:15" x14ac:dyDescent="0.2">
      <c r="A2828">
        <v>234</v>
      </c>
      <c r="B2828">
        <v>235</v>
      </c>
      <c r="C2828">
        <v>234</v>
      </c>
      <c r="D2828">
        <v>233</v>
      </c>
      <c r="E2828" t="s">
        <v>251</v>
      </c>
      <c r="F2828" t="s">
        <v>48</v>
      </c>
      <c r="G2828">
        <v>36</v>
      </c>
      <c r="H2828" t="s">
        <v>169</v>
      </c>
      <c r="I2828">
        <v>0</v>
      </c>
      <c r="J2828">
        <v>0</v>
      </c>
      <c r="K2828" t="e">
        <v>#N/A</v>
      </c>
      <c r="L2828" t="e">
        <v>#N/A</v>
      </c>
      <c r="M2828" t="e">
        <v>#N/A</v>
      </c>
      <c r="N2828" t="e">
        <v>#N/A</v>
      </c>
      <c r="O2828" t="s">
        <v>97</v>
      </c>
    </row>
    <row r="2829" spans="1:15" x14ac:dyDescent="0.2">
      <c r="A2829">
        <v>234</v>
      </c>
      <c r="B2829">
        <v>235</v>
      </c>
      <c r="C2829">
        <v>234</v>
      </c>
      <c r="D2829">
        <v>233</v>
      </c>
      <c r="E2829" t="s">
        <v>251</v>
      </c>
      <c r="F2829" t="s">
        <v>48</v>
      </c>
      <c r="G2829">
        <v>38</v>
      </c>
      <c r="H2829" t="s">
        <v>170</v>
      </c>
      <c r="I2829">
        <v>0.5</v>
      </c>
      <c r="J2829">
        <v>0.5</v>
      </c>
      <c r="K2829" t="s">
        <v>112</v>
      </c>
      <c r="L2829" t="s">
        <v>171</v>
      </c>
      <c r="M2829" t="s">
        <v>172</v>
      </c>
      <c r="N2829" t="s">
        <v>96</v>
      </c>
      <c r="O2829" t="s">
        <v>97</v>
      </c>
    </row>
    <row r="2830" spans="1:15" x14ac:dyDescent="0.2">
      <c r="A2830">
        <v>234</v>
      </c>
      <c r="B2830">
        <v>235</v>
      </c>
      <c r="C2830">
        <v>234</v>
      </c>
      <c r="D2830">
        <v>233</v>
      </c>
      <c r="E2830" t="s">
        <v>251</v>
      </c>
      <c r="F2830" t="s">
        <v>48</v>
      </c>
      <c r="G2830">
        <v>39</v>
      </c>
      <c r="H2830" t="s">
        <v>170</v>
      </c>
      <c r="I2830">
        <v>0.5</v>
      </c>
      <c r="J2830">
        <v>0.5</v>
      </c>
      <c r="K2830" t="s">
        <v>112</v>
      </c>
      <c r="L2830" t="s">
        <v>171</v>
      </c>
      <c r="M2830" t="s">
        <v>172</v>
      </c>
      <c r="N2830" t="s">
        <v>96</v>
      </c>
      <c r="O2830" t="s">
        <v>97</v>
      </c>
    </row>
    <row r="2831" spans="1:15" x14ac:dyDescent="0.2">
      <c r="A2831">
        <v>234</v>
      </c>
      <c r="B2831">
        <v>235</v>
      </c>
      <c r="C2831">
        <v>234</v>
      </c>
      <c r="D2831">
        <v>233</v>
      </c>
      <c r="E2831" t="s">
        <v>251</v>
      </c>
      <c r="F2831" t="s">
        <v>48</v>
      </c>
      <c r="G2831">
        <v>40</v>
      </c>
      <c r="H2831" t="s">
        <v>170</v>
      </c>
      <c r="I2831">
        <v>0.5</v>
      </c>
      <c r="J2831">
        <v>0.5</v>
      </c>
      <c r="K2831" t="s">
        <v>112</v>
      </c>
      <c r="L2831" t="s">
        <v>171</v>
      </c>
      <c r="M2831" t="s">
        <v>172</v>
      </c>
      <c r="N2831" t="s">
        <v>96</v>
      </c>
      <c r="O2831" t="s">
        <v>97</v>
      </c>
    </row>
    <row r="2832" spans="1:15" x14ac:dyDescent="0.2">
      <c r="A2832">
        <v>234</v>
      </c>
      <c r="B2832">
        <v>235</v>
      </c>
      <c r="C2832">
        <v>234</v>
      </c>
      <c r="D2832">
        <v>233</v>
      </c>
      <c r="E2832" t="s">
        <v>251</v>
      </c>
      <c r="F2832" t="s">
        <v>48</v>
      </c>
      <c r="G2832">
        <v>41</v>
      </c>
      <c r="H2832" t="s">
        <v>173</v>
      </c>
      <c r="I2832">
        <v>0</v>
      </c>
      <c r="J2832">
        <v>1</v>
      </c>
      <c r="K2832" t="s">
        <v>166</v>
      </c>
      <c r="L2832" t="s">
        <v>174</v>
      </c>
      <c r="M2832" t="s">
        <v>175</v>
      </c>
      <c r="N2832" t="s">
        <v>107</v>
      </c>
      <c r="O2832" t="s">
        <v>97</v>
      </c>
    </row>
    <row r="2833" spans="1:15" x14ac:dyDescent="0.2">
      <c r="A2833">
        <v>234</v>
      </c>
      <c r="B2833">
        <v>235</v>
      </c>
      <c r="C2833">
        <v>234</v>
      </c>
      <c r="D2833">
        <v>233</v>
      </c>
      <c r="E2833" t="s">
        <v>251</v>
      </c>
      <c r="F2833" t="s">
        <v>48</v>
      </c>
      <c r="G2833">
        <v>42</v>
      </c>
      <c r="H2833" t="s">
        <v>176</v>
      </c>
      <c r="I2833">
        <v>0.5</v>
      </c>
      <c r="J2833">
        <v>1</v>
      </c>
      <c r="K2833" t="s">
        <v>153</v>
      </c>
      <c r="L2833" t="s">
        <v>177</v>
      </c>
      <c r="M2833" t="s">
        <v>178</v>
      </c>
      <c r="N2833" t="s">
        <v>107</v>
      </c>
      <c r="O2833" t="s">
        <v>97</v>
      </c>
    </row>
    <row r="2834" spans="1:15" x14ac:dyDescent="0.2">
      <c r="A2834">
        <v>234</v>
      </c>
      <c r="B2834">
        <v>235</v>
      </c>
      <c r="C2834">
        <v>234</v>
      </c>
      <c r="D2834">
        <v>233</v>
      </c>
      <c r="E2834" t="s">
        <v>251</v>
      </c>
      <c r="F2834" t="s">
        <v>48</v>
      </c>
      <c r="G2834">
        <v>43</v>
      </c>
      <c r="H2834" t="s">
        <v>179</v>
      </c>
      <c r="I2834">
        <v>0</v>
      </c>
      <c r="J2834">
        <v>0</v>
      </c>
      <c r="K2834" t="s">
        <v>166</v>
      </c>
      <c r="L2834" t="s">
        <v>180</v>
      </c>
      <c r="M2834" t="s">
        <v>181</v>
      </c>
      <c r="N2834" t="s">
        <v>107</v>
      </c>
      <c r="O2834" t="s">
        <v>97</v>
      </c>
    </row>
    <row r="2835" spans="1:15" x14ac:dyDescent="0.2">
      <c r="A2835">
        <v>234</v>
      </c>
      <c r="B2835">
        <v>235</v>
      </c>
      <c r="C2835">
        <v>234</v>
      </c>
      <c r="D2835">
        <v>233</v>
      </c>
      <c r="E2835" t="s">
        <v>251</v>
      </c>
      <c r="F2835" t="s">
        <v>48</v>
      </c>
      <c r="G2835">
        <v>44</v>
      </c>
      <c r="H2835" t="s">
        <v>182</v>
      </c>
      <c r="I2835">
        <v>0</v>
      </c>
      <c r="J2835">
        <v>1</v>
      </c>
      <c r="K2835" t="s">
        <v>166</v>
      </c>
      <c r="L2835" t="s">
        <v>183</v>
      </c>
      <c r="M2835" t="s">
        <v>184</v>
      </c>
      <c r="N2835" t="s">
        <v>107</v>
      </c>
      <c r="O2835" t="s">
        <v>97</v>
      </c>
    </row>
    <row r="2836" spans="1:15" x14ac:dyDescent="0.2">
      <c r="A2836">
        <v>234</v>
      </c>
      <c r="B2836">
        <v>235</v>
      </c>
      <c r="C2836">
        <v>234</v>
      </c>
      <c r="D2836">
        <v>233</v>
      </c>
      <c r="E2836" t="s">
        <v>251</v>
      </c>
      <c r="F2836" t="s">
        <v>48</v>
      </c>
      <c r="G2836">
        <v>45</v>
      </c>
      <c r="H2836" t="s">
        <v>185</v>
      </c>
      <c r="I2836">
        <v>1</v>
      </c>
      <c r="J2836">
        <v>1</v>
      </c>
      <c r="K2836" t="s">
        <v>166</v>
      </c>
      <c r="L2836" t="s">
        <v>186</v>
      </c>
      <c r="M2836" t="s">
        <v>139</v>
      </c>
      <c r="N2836" t="s">
        <v>107</v>
      </c>
      <c r="O2836" t="s">
        <v>97</v>
      </c>
    </row>
    <row r="2837" spans="1:15" x14ac:dyDescent="0.2">
      <c r="A2837">
        <v>234</v>
      </c>
      <c r="B2837">
        <v>235</v>
      </c>
      <c r="C2837">
        <v>234</v>
      </c>
      <c r="D2837">
        <v>233</v>
      </c>
      <c r="E2837" t="s">
        <v>251</v>
      </c>
      <c r="F2837" t="s">
        <v>48</v>
      </c>
      <c r="G2837">
        <v>47</v>
      </c>
      <c r="H2837" t="s">
        <v>187</v>
      </c>
      <c r="I2837">
        <v>0</v>
      </c>
      <c r="J2837">
        <v>0.2</v>
      </c>
      <c r="K2837" t="s">
        <v>93</v>
      </c>
      <c r="L2837" t="s">
        <v>188</v>
      </c>
      <c r="M2837" t="s">
        <v>95</v>
      </c>
      <c r="N2837" t="s">
        <v>96</v>
      </c>
      <c r="O2837" t="s">
        <v>97</v>
      </c>
    </row>
    <row r="2838" spans="1:15" x14ac:dyDescent="0.2">
      <c r="A2838">
        <v>234</v>
      </c>
      <c r="B2838">
        <v>235</v>
      </c>
      <c r="C2838">
        <v>234</v>
      </c>
      <c r="D2838">
        <v>233</v>
      </c>
      <c r="E2838" t="s">
        <v>251</v>
      </c>
      <c r="F2838" t="s">
        <v>48</v>
      </c>
      <c r="G2838">
        <v>48</v>
      </c>
      <c r="H2838" t="s">
        <v>189</v>
      </c>
      <c r="I2838">
        <v>0.2</v>
      </c>
      <c r="J2838">
        <v>0.2</v>
      </c>
      <c r="K2838" t="s">
        <v>93</v>
      </c>
      <c r="L2838" t="s">
        <v>190</v>
      </c>
      <c r="M2838" t="s">
        <v>95</v>
      </c>
      <c r="N2838" t="s">
        <v>96</v>
      </c>
      <c r="O2838" t="s">
        <v>97</v>
      </c>
    </row>
    <row r="2839" spans="1:15" x14ac:dyDescent="0.2">
      <c r="A2839">
        <v>234</v>
      </c>
      <c r="B2839">
        <v>235</v>
      </c>
      <c r="C2839">
        <v>234</v>
      </c>
      <c r="D2839">
        <v>233</v>
      </c>
      <c r="E2839" t="s">
        <v>251</v>
      </c>
      <c r="F2839" t="s">
        <v>48</v>
      </c>
      <c r="G2839">
        <v>49</v>
      </c>
      <c r="H2839" t="s">
        <v>191</v>
      </c>
      <c r="I2839">
        <v>0.2</v>
      </c>
      <c r="J2839">
        <v>0.2</v>
      </c>
      <c r="K2839" t="s">
        <v>93</v>
      </c>
      <c r="L2839" t="s">
        <v>192</v>
      </c>
      <c r="M2839" t="s">
        <v>95</v>
      </c>
      <c r="N2839" t="s">
        <v>96</v>
      </c>
      <c r="O2839" t="s">
        <v>97</v>
      </c>
    </row>
    <row r="2840" spans="1:15" x14ac:dyDescent="0.2">
      <c r="A2840">
        <v>234</v>
      </c>
      <c r="B2840">
        <v>235</v>
      </c>
      <c r="C2840">
        <v>234</v>
      </c>
      <c r="D2840">
        <v>233</v>
      </c>
      <c r="E2840" t="s">
        <v>251</v>
      </c>
      <c r="F2840" t="s">
        <v>48</v>
      </c>
      <c r="G2840">
        <v>50</v>
      </c>
      <c r="H2840" t="s">
        <v>193</v>
      </c>
      <c r="I2840">
        <v>0.1</v>
      </c>
      <c r="J2840">
        <v>0.1</v>
      </c>
      <c r="K2840" t="s">
        <v>93</v>
      </c>
      <c r="L2840" t="s">
        <v>194</v>
      </c>
      <c r="M2840" t="s">
        <v>95</v>
      </c>
      <c r="N2840" t="s">
        <v>96</v>
      </c>
      <c r="O2840" t="s">
        <v>97</v>
      </c>
    </row>
    <row r="2841" spans="1:15" x14ac:dyDescent="0.2">
      <c r="A2841">
        <v>234</v>
      </c>
      <c r="B2841">
        <v>235</v>
      </c>
      <c r="C2841">
        <v>234</v>
      </c>
      <c r="D2841">
        <v>233</v>
      </c>
      <c r="E2841" t="s">
        <v>251</v>
      </c>
      <c r="F2841" t="s">
        <v>48</v>
      </c>
      <c r="G2841">
        <v>51</v>
      </c>
      <c r="H2841" t="s">
        <v>193</v>
      </c>
      <c r="I2841">
        <v>0.1</v>
      </c>
      <c r="J2841">
        <v>0.1</v>
      </c>
      <c r="K2841" t="s">
        <v>93</v>
      </c>
      <c r="L2841" t="s">
        <v>194</v>
      </c>
      <c r="M2841" t="s">
        <v>95</v>
      </c>
      <c r="N2841" t="s">
        <v>96</v>
      </c>
      <c r="O2841" t="s">
        <v>97</v>
      </c>
    </row>
    <row r="2842" spans="1:15" x14ac:dyDescent="0.2">
      <c r="A2842">
        <v>234</v>
      </c>
      <c r="B2842">
        <v>235</v>
      </c>
      <c r="C2842">
        <v>234</v>
      </c>
      <c r="D2842">
        <v>233</v>
      </c>
      <c r="E2842" t="s">
        <v>251</v>
      </c>
      <c r="F2842" t="s">
        <v>48</v>
      </c>
      <c r="G2842">
        <v>97</v>
      </c>
      <c r="H2842" t="s">
        <v>152</v>
      </c>
      <c r="I2842">
        <v>0.25</v>
      </c>
      <c r="J2842">
        <v>0.25</v>
      </c>
      <c r="K2842" t="s">
        <v>153</v>
      </c>
      <c r="L2842" t="s">
        <v>154</v>
      </c>
      <c r="M2842" t="s">
        <v>155</v>
      </c>
      <c r="N2842" t="s">
        <v>107</v>
      </c>
      <c r="O2842" t="s">
        <v>97</v>
      </c>
    </row>
    <row r="2843" spans="1:15" x14ac:dyDescent="0.2">
      <c r="A2843">
        <v>234</v>
      </c>
      <c r="B2843">
        <v>235</v>
      </c>
      <c r="C2843">
        <v>234</v>
      </c>
      <c r="D2843">
        <v>233</v>
      </c>
      <c r="E2843" t="s">
        <v>251</v>
      </c>
      <c r="F2843" t="s">
        <v>48</v>
      </c>
      <c r="G2843">
        <v>96</v>
      </c>
      <c r="H2843" t="s">
        <v>152</v>
      </c>
      <c r="I2843">
        <v>0</v>
      </c>
      <c r="J2843">
        <v>0</v>
      </c>
      <c r="K2843" t="s">
        <v>153</v>
      </c>
      <c r="L2843" t="s">
        <v>154</v>
      </c>
      <c r="M2843" t="s">
        <v>155</v>
      </c>
      <c r="N2843" t="s">
        <v>107</v>
      </c>
      <c r="O2843" t="s">
        <v>97</v>
      </c>
    </row>
    <row r="2844" spans="1:15" x14ac:dyDescent="0.2">
      <c r="A2844">
        <v>234</v>
      </c>
      <c r="B2844">
        <v>235</v>
      </c>
      <c r="C2844">
        <v>234</v>
      </c>
      <c r="D2844">
        <v>233</v>
      </c>
      <c r="E2844" t="s">
        <v>251</v>
      </c>
      <c r="F2844" t="s">
        <v>48</v>
      </c>
      <c r="G2844">
        <v>99</v>
      </c>
      <c r="H2844" t="s">
        <v>152</v>
      </c>
      <c r="I2844">
        <v>0</v>
      </c>
      <c r="J2844">
        <v>0</v>
      </c>
      <c r="K2844" t="s">
        <v>153</v>
      </c>
      <c r="L2844" t="s">
        <v>154</v>
      </c>
      <c r="M2844" t="s">
        <v>155</v>
      </c>
      <c r="N2844" t="s">
        <v>107</v>
      </c>
      <c r="O2844" t="s">
        <v>97</v>
      </c>
    </row>
    <row r="2845" spans="1:15" x14ac:dyDescent="0.2">
      <c r="A2845">
        <v>234</v>
      </c>
      <c r="B2845">
        <v>235</v>
      </c>
      <c r="C2845">
        <v>234</v>
      </c>
      <c r="D2845">
        <v>233</v>
      </c>
      <c r="E2845" t="s">
        <v>251</v>
      </c>
      <c r="F2845" t="s">
        <v>48</v>
      </c>
      <c r="G2845">
        <v>98</v>
      </c>
      <c r="H2845" t="s">
        <v>204</v>
      </c>
      <c r="I2845">
        <v>1</v>
      </c>
      <c r="J2845">
        <v>1</v>
      </c>
      <c r="K2845" t="s">
        <v>122</v>
      </c>
      <c r="L2845" t="s">
        <v>205</v>
      </c>
      <c r="M2845" t="s">
        <v>206</v>
      </c>
      <c r="N2845" t="s">
        <v>207</v>
      </c>
      <c r="O2845" t="s">
        <v>97</v>
      </c>
    </row>
    <row r="2846" spans="1:15" x14ac:dyDescent="0.2">
      <c r="A2846">
        <v>229</v>
      </c>
      <c r="B2846">
        <v>230</v>
      </c>
      <c r="C2846">
        <v>229</v>
      </c>
      <c r="D2846">
        <v>228</v>
      </c>
      <c r="E2846" t="s">
        <v>251</v>
      </c>
      <c r="F2846" t="s">
        <v>47</v>
      </c>
      <c r="G2846">
        <v>1</v>
      </c>
      <c r="H2846" t="s">
        <v>92</v>
      </c>
      <c r="I2846">
        <v>0</v>
      </c>
      <c r="J2846">
        <v>0.2</v>
      </c>
      <c r="K2846" t="s">
        <v>93</v>
      </c>
      <c r="L2846" t="s">
        <v>94</v>
      </c>
      <c r="M2846" t="s">
        <v>95</v>
      </c>
      <c r="N2846" t="s">
        <v>96</v>
      </c>
      <c r="O2846" t="s">
        <v>97</v>
      </c>
    </row>
    <row r="2847" spans="1:15" x14ac:dyDescent="0.2">
      <c r="A2847">
        <v>229</v>
      </c>
      <c r="B2847">
        <v>230</v>
      </c>
      <c r="C2847">
        <v>229</v>
      </c>
      <c r="D2847">
        <v>228</v>
      </c>
      <c r="E2847" t="s">
        <v>251</v>
      </c>
      <c r="F2847" t="s">
        <v>47</v>
      </c>
      <c r="G2847">
        <v>2</v>
      </c>
      <c r="H2847" t="s">
        <v>98</v>
      </c>
      <c r="I2847">
        <v>0.25</v>
      </c>
      <c r="J2847">
        <v>0.5</v>
      </c>
      <c r="K2847" t="s">
        <v>93</v>
      </c>
      <c r="L2847" t="s">
        <v>99</v>
      </c>
      <c r="M2847" t="s">
        <v>95</v>
      </c>
      <c r="N2847" t="s">
        <v>96</v>
      </c>
      <c r="O2847" t="s">
        <v>97</v>
      </c>
    </row>
    <row r="2848" spans="1:15" x14ac:dyDescent="0.2">
      <c r="A2848">
        <v>229</v>
      </c>
      <c r="B2848">
        <v>230</v>
      </c>
      <c r="C2848">
        <v>229</v>
      </c>
      <c r="D2848">
        <v>228</v>
      </c>
      <c r="E2848" t="s">
        <v>251</v>
      </c>
      <c r="F2848" t="s">
        <v>47</v>
      </c>
      <c r="G2848">
        <v>3</v>
      </c>
      <c r="H2848" t="s">
        <v>100</v>
      </c>
      <c r="I2848">
        <v>0.5</v>
      </c>
      <c r="J2848">
        <v>1</v>
      </c>
      <c r="K2848" t="s">
        <v>101</v>
      </c>
      <c r="L2848" t="s">
        <v>102</v>
      </c>
      <c r="M2848" t="s">
        <v>103</v>
      </c>
      <c r="N2848" t="s">
        <v>96</v>
      </c>
      <c r="O2848" t="s">
        <v>97</v>
      </c>
    </row>
    <row r="2849" spans="1:15" x14ac:dyDescent="0.2">
      <c r="A2849">
        <v>229</v>
      </c>
      <c r="B2849">
        <v>230</v>
      </c>
      <c r="C2849">
        <v>229</v>
      </c>
      <c r="D2849">
        <v>228</v>
      </c>
      <c r="E2849" t="s">
        <v>251</v>
      </c>
      <c r="F2849" t="s">
        <v>47</v>
      </c>
      <c r="G2849">
        <v>4</v>
      </c>
      <c r="H2849" t="s">
        <v>104</v>
      </c>
      <c r="I2849">
        <v>0</v>
      </c>
      <c r="J2849">
        <v>1</v>
      </c>
      <c r="K2849" t="s">
        <v>101</v>
      </c>
      <c r="L2849" t="s">
        <v>105</v>
      </c>
      <c r="M2849" t="s">
        <v>106</v>
      </c>
      <c r="N2849" t="s">
        <v>107</v>
      </c>
      <c r="O2849" t="s">
        <v>97</v>
      </c>
    </row>
    <row r="2850" spans="1:15" x14ac:dyDescent="0.2">
      <c r="A2850">
        <v>229</v>
      </c>
      <c r="B2850">
        <v>230</v>
      </c>
      <c r="C2850">
        <v>229</v>
      </c>
      <c r="D2850">
        <v>228</v>
      </c>
      <c r="E2850" t="s">
        <v>251</v>
      </c>
      <c r="F2850" t="s">
        <v>47</v>
      </c>
      <c r="G2850">
        <v>5</v>
      </c>
      <c r="H2850" t="s">
        <v>108</v>
      </c>
      <c r="I2850">
        <v>0.5</v>
      </c>
      <c r="J2850">
        <v>1</v>
      </c>
      <c r="K2850" t="s">
        <v>101</v>
      </c>
      <c r="L2850" t="s">
        <v>109</v>
      </c>
      <c r="M2850" t="s">
        <v>110</v>
      </c>
      <c r="N2850" t="s">
        <v>107</v>
      </c>
      <c r="O2850" t="s">
        <v>97</v>
      </c>
    </row>
    <row r="2851" spans="1:15" x14ac:dyDescent="0.2">
      <c r="A2851">
        <v>229</v>
      </c>
      <c r="B2851">
        <v>230</v>
      </c>
      <c r="C2851">
        <v>229</v>
      </c>
      <c r="D2851">
        <v>228</v>
      </c>
      <c r="E2851" t="s">
        <v>251</v>
      </c>
      <c r="F2851" t="s">
        <v>47</v>
      </c>
      <c r="G2851">
        <v>9</v>
      </c>
      <c r="H2851" t="s">
        <v>111</v>
      </c>
      <c r="I2851">
        <v>0.5</v>
      </c>
      <c r="J2851">
        <v>0.5</v>
      </c>
      <c r="K2851" t="s">
        <v>112</v>
      </c>
      <c r="L2851" t="s">
        <v>113</v>
      </c>
      <c r="M2851" t="s">
        <v>114</v>
      </c>
      <c r="N2851" t="s">
        <v>96</v>
      </c>
      <c r="O2851" t="s">
        <v>97</v>
      </c>
    </row>
    <row r="2852" spans="1:15" x14ac:dyDescent="0.2">
      <c r="A2852">
        <v>229</v>
      </c>
      <c r="B2852">
        <v>230</v>
      </c>
      <c r="C2852">
        <v>229</v>
      </c>
      <c r="D2852">
        <v>228</v>
      </c>
      <c r="E2852" t="s">
        <v>251</v>
      </c>
      <c r="F2852" t="s">
        <v>47</v>
      </c>
      <c r="G2852">
        <v>10</v>
      </c>
      <c r="H2852" t="s">
        <v>115</v>
      </c>
      <c r="I2852">
        <v>0.25</v>
      </c>
      <c r="J2852">
        <v>0.5</v>
      </c>
      <c r="K2852" t="s">
        <v>112</v>
      </c>
      <c r="L2852" t="s">
        <v>116</v>
      </c>
      <c r="M2852" t="s">
        <v>117</v>
      </c>
      <c r="N2852" t="s">
        <v>96</v>
      </c>
      <c r="O2852" t="s">
        <v>97</v>
      </c>
    </row>
    <row r="2853" spans="1:15" x14ac:dyDescent="0.2">
      <c r="A2853">
        <v>229</v>
      </c>
      <c r="B2853">
        <v>230</v>
      </c>
      <c r="C2853">
        <v>229</v>
      </c>
      <c r="D2853">
        <v>228</v>
      </c>
      <c r="E2853" t="s">
        <v>251</v>
      </c>
      <c r="F2853" t="s">
        <v>47</v>
      </c>
      <c r="G2853">
        <v>11</v>
      </c>
      <c r="H2853" t="s">
        <v>118</v>
      </c>
      <c r="I2853">
        <v>1</v>
      </c>
      <c r="J2853">
        <v>1</v>
      </c>
      <c r="K2853" t="s">
        <v>112</v>
      </c>
      <c r="L2853" t="s">
        <v>119</v>
      </c>
      <c r="M2853" t="s">
        <v>120</v>
      </c>
      <c r="N2853" t="s">
        <v>107</v>
      </c>
      <c r="O2853" t="s">
        <v>97</v>
      </c>
    </row>
    <row r="2854" spans="1:15" x14ac:dyDescent="0.2">
      <c r="A2854">
        <v>229</v>
      </c>
      <c r="B2854">
        <v>230</v>
      </c>
      <c r="C2854">
        <v>229</v>
      </c>
      <c r="D2854">
        <v>228</v>
      </c>
      <c r="E2854" t="s">
        <v>251</v>
      </c>
      <c r="F2854" t="s">
        <v>47</v>
      </c>
      <c r="G2854">
        <v>12</v>
      </c>
      <c r="H2854" t="s">
        <v>121</v>
      </c>
      <c r="I2854">
        <v>0.5</v>
      </c>
      <c r="J2854">
        <v>0.5</v>
      </c>
      <c r="K2854" t="s">
        <v>122</v>
      </c>
      <c r="L2854" t="s">
        <v>113</v>
      </c>
      <c r="M2854" t="s">
        <v>123</v>
      </c>
      <c r="N2854" t="s">
        <v>96</v>
      </c>
      <c r="O2854" t="s">
        <v>97</v>
      </c>
    </row>
    <row r="2855" spans="1:15" x14ac:dyDescent="0.2">
      <c r="A2855">
        <v>229</v>
      </c>
      <c r="B2855">
        <v>230</v>
      </c>
      <c r="C2855">
        <v>229</v>
      </c>
      <c r="D2855">
        <v>228</v>
      </c>
      <c r="E2855" t="s">
        <v>251</v>
      </c>
      <c r="F2855" t="s">
        <v>47</v>
      </c>
      <c r="G2855">
        <v>13</v>
      </c>
      <c r="H2855" t="s">
        <v>124</v>
      </c>
      <c r="I2855">
        <v>0.25</v>
      </c>
      <c r="J2855">
        <v>0.5</v>
      </c>
      <c r="K2855" t="s">
        <v>122</v>
      </c>
      <c r="L2855" t="s">
        <v>125</v>
      </c>
      <c r="M2855" t="s">
        <v>126</v>
      </c>
      <c r="N2855" t="s">
        <v>96</v>
      </c>
      <c r="O2855" t="s">
        <v>97</v>
      </c>
    </row>
    <row r="2856" spans="1:15" x14ac:dyDescent="0.2">
      <c r="A2856">
        <v>229</v>
      </c>
      <c r="B2856">
        <v>230</v>
      </c>
      <c r="C2856">
        <v>229</v>
      </c>
      <c r="D2856">
        <v>228</v>
      </c>
      <c r="E2856" t="s">
        <v>251</v>
      </c>
      <c r="F2856" t="s">
        <v>47</v>
      </c>
      <c r="G2856">
        <v>14</v>
      </c>
      <c r="H2856" t="s">
        <v>127</v>
      </c>
      <c r="I2856">
        <v>1</v>
      </c>
      <c r="J2856">
        <v>1</v>
      </c>
      <c r="K2856" t="s">
        <v>122</v>
      </c>
      <c r="L2856" t="s">
        <v>119</v>
      </c>
      <c r="M2856" t="s">
        <v>128</v>
      </c>
      <c r="N2856" t="s">
        <v>107</v>
      </c>
      <c r="O2856" t="s">
        <v>97</v>
      </c>
    </row>
    <row r="2857" spans="1:15" x14ac:dyDescent="0.2">
      <c r="A2857">
        <v>229</v>
      </c>
      <c r="B2857">
        <v>230</v>
      </c>
      <c r="C2857">
        <v>229</v>
      </c>
      <c r="D2857">
        <v>228</v>
      </c>
      <c r="E2857" t="s">
        <v>251</v>
      </c>
      <c r="F2857" t="s">
        <v>47</v>
      </c>
      <c r="G2857">
        <v>15</v>
      </c>
      <c r="H2857" t="s">
        <v>129</v>
      </c>
      <c r="I2857">
        <v>1</v>
      </c>
      <c r="J2857">
        <v>1</v>
      </c>
      <c r="K2857" t="s">
        <v>130</v>
      </c>
      <c r="L2857" t="s">
        <v>131</v>
      </c>
      <c r="M2857" t="s">
        <v>132</v>
      </c>
      <c r="N2857" t="s">
        <v>107</v>
      </c>
      <c r="O2857" t="s">
        <v>97</v>
      </c>
    </row>
    <row r="2858" spans="1:15" x14ac:dyDescent="0.2">
      <c r="A2858">
        <v>229</v>
      </c>
      <c r="B2858">
        <v>230</v>
      </c>
      <c r="C2858">
        <v>229</v>
      </c>
      <c r="D2858">
        <v>228</v>
      </c>
      <c r="E2858" t="s">
        <v>251</v>
      </c>
      <c r="F2858" t="s">
        <v>47</v>
      </c>
      <c r="G2858">
        <v>16</v>
      </c>
      <c r="H2858" t="s">
        <v>133</v>
      </c>
      <c r="I2858">
        <v>0</v>
      </c>
      <c r="J2858">
        <v>0</v>
      </c>
      <c r="K2858" t="e">
        <v>#N/A</v>
      </c>
      <c r="L2858" t="e">
        <v>#N/A</v>
      </c>
      <c r="M2858" t="e">
        <v>#N/A</v>
      </c>
      <c r="N2858" t="e">
        <v>#N/A</v>
      </c>
      <c r="O2858" t="s">
        <v>97</v>
      </c>
    </row>
    <row r="2859" spans="1:15" x14ac:dyDescent="0.2">
      <c r="A2859">
        <v>229</v>
      </c>
      <c r="B2859">
        <v>230</v>
      </c>
      <c r="C2859">
        <v>229</v>
      </c>
      <c r="D2859">
        <v>228</v>
      </c>
      <c r="E2859" t="s">
        <v>251</v>
      </c>
      <c r="F2859" t="s">
        <v>47</v>
      </c>
      <c r="G2859">
        <v>17</v>
      </c>
      <c r="H2859" t="s">
        <v>134</v>
      </c>
      <c r="I2859">
        <v>0.5</v>
      </c>
      <c r="J2859">
        <v>1</v>
      </c>
      <c r="K2859" t="s">
        <v>112</v>
      </c>
      <c r="L2859" t="s">
        <v>135</v>
      </c>
      <c r="M2859" t="s">
        <v>136</v>
      </c>
      <c r="N2859" t="s">
        <v>107</v>
      </c>
      <c r="O2859" t="s">
        <v>97</v>
      </c>
    </row>
    <row r="2860" spans="1:15" x14ac:dyDescent="0.2">
      <c r="A2860">
        <v>229</v>
      </c>
      <c r="B2860">
        <v>230</v>
      </c>
      <c r="C2860">
        <v>229</v>
      </c>
      <c r="D2860">
        <v>228</v>
      </c>
      <c r="E2860" t="s">
        <v>251</v>
      </c>
      <c r="F2860" t="s">
        <v>47</v>
      </c>
      <c r="G2860">
        <v>18</v>
      </c>
      <c r="H2860" t="s">
        <v>137</v>
      </c>
      <c r="I2860">
        <v>1</v>
      </c>
      <c r="J2860">
        <v>1</v>
      </c>
      <c r="K2860" t="s">
        <v>112</v>
      </c>
      <c r="L2860" t="s">
        <v>138</v>
      </c>
      <c r="M2860" t="s">
        <v>139</v>
      </c>
      <c r="N2860" t="s">
        <v>107</v>
      </c>
      <c r="O2860" t="s">
        <v>97</v>
      </c>
    </row>
    <row r="2861" spans="1:15" x14ac:dyDescent="0.2">
      <c r="A2861">
        <v>229</v>
      </c>
      <c r="B2861">
        <v>230</v>
      </c>
      <c r="C2861">
        <v>229</v>
      </c>
      <c r="D2861">
        <v>228</v>
      </c>
      <c r="E2861" t="s">
        <v>251</v>
      </c>
      <c r="F2861" t="s">
        <v>47</v>
      </c>
      <c r="G2861">
        <v>19</v>
      </c>
      <c r="H2861" t="s">
        <v>140</v>
      </c>
      <c r="I2861">
        <v>1</v>
      </c>
      <c r="J2861">
        <v>1</v>
      </c>
      <c r="K2861" t="s">
        <v>122</v>
      </c>
      <c r="L2861" t="s">
        <v>141</v>
      </c>
      <c r="M2861" t="s">
        <v>142</v>
      </c>
      <c r="N2861" t="s">
        <v>107</v>
      </c>
      <c r="O2861" t="s">
        <v>97</v>
      </c>
    </row>
    <row r="2862" spans="1:15" x14ac:dyDescent="0.2">
      <c r="A2862">
        <v>229</v>
      </c>
      <c r="B2862">
        <v>230</v>
      </c>
      <c r="C2862">
        <v>229</v>
      </c>
      <c r="D2862">
        <v>228</v>
      </c>
      <c r="E2862" t="s">
        <v>251</v>
      </c>
      <c r="F2862" t="s">
        <v>47</v>
      </c>
      <c r="G2862">
        <v>20</v>
      </c>
      <c r="H2862" t="s">
        <v>143</v>
      </c>
      <c r="I2862">
        <v>1</v>
      </c>
      <c r="J2862">
        <v>1</v>
      </c>
      <c r="K2862" t="s">
        <v>122</v>
      </c>
      <c r="L2862" t="s">
        <v>144</v>
      </c>
      <c r="M2862" t="s">
        <v>145</v>
      </c>
      <c r="N2862" t="s">
        <v>107</v>
      </c>
      <c r="O2862" t="s">
        <v>97</v>
      </c>
    </row>
    <row r="2863" spans="1:15" x14ac:dyDescent="0.2">
      <c r="A2863">
        <v>229</v>
      </c>
      <c r="B2863">
        <v>230</v>
      </c>
      <c r="C2863">
        <v>229</v>
      </c>
      <c r="D2863">
        <v>228</v>
      </c>
      <c r="E2863" t="s">
        <v>251</v>
      </c>
      <c r="F2863" t="s">
        <v>47</v>
      </c>
      <c r="G2863">
        <v>21</v>
      </c>
      <c r="H2863" t="s">
        <v>146</v>
      </c>
      <c r="I2863">
        <v>0</v>
      </c>
      <c r="J2863">
        <v>1</v>
      </c>
      <c r="K2863" t="s">
        <v>147</v>
      </c>
      <c r="L2863" t="s">
        <v>148</v>
      </c>
      <c r="M2863" t="s">
        <v>149</v>
      </c>
      <c r="N2863" t="s">
        <v>96</v>
      </c>
      <c r="O2863" t="s">
        <v>97</v>
      </c>
    </row>
    <row r="2864" spans="1:15" x14ac:dyDescent="0.2">
      <c r="A2864">
        <v>229</v>
      </c>
      <c r="B2864">
        <v>230</v>
      </c>
      <c r="C2864">
        <v>229</v>
      </c>
      <c r="D2864">
        <v>228</v>
      </c>
      <c r="E2864" t="s">
        <v>251</v>
      </c>
      <c r="F2864" t="s">
        <v>47</v>
      </c>
      <c r="G2864">
        <v>22</v>
      </c>
      <c r="H2864" t="s">
        <v>150</v>
      </c>
      <c r="I2864">
        <v>0.5</v>
      </c>
      <c r="J2864">
        <v>1</v>
      </c>
      <c r="K2864" t="s">
        <v>147</v>
      </c>
      <c r="L2864" t="s">
        <v>151</v>
      </c>
      <c r="M2864" t="s">
        <v>149</v>
      </c>
      <c r="N2864" t="s">
        <v>107</v>
      </c>
      <c r="O2864" t="s">
        <v>97</v>
      </c>
    </row>
    <row r="2865" spans="1:15" x14ac:dyDescent="0.2">
      <c r="A2865">
        <v>229</v>
      </c>
      <c r="B2865">
        <v>230</v>
      </c>
      <c r="C2865">
        <v>229</v>
      </c>
      <c r="D2865">
        <v>228</v>
      </c>
      <c r="E2865" t="s">
        <v>251</v>
      </c>
      <c r="F2865" t="s">
        <v>47</v>
      </c>
      <c r="G2865">
        <v>23</v>
      </c>
      <c r="H2865" t="s">
        <v>152</v>
      </c>
      <c r="I2865">
        <v>0</v>
      </c>
      <c r="J2865">
        <v>0</v>
      </c>
      <c r="K2865" t="s">
        <v>153</v>
      </c>
      <c r="L2865" t="s">
        <v>154</v>
      </c>
      <c r="M2865" t="s">
        <v>155</v>
      </c>
      <c r="N2865" t="s">
        <v>107</v>
      </c>
      <c r="O2865" t="s">
        <v>97</v>
      </c>
    </row>
    <row r="2866" spans="1:15" x14ac:dyDescent="0.2">
      <c r="A2866">
        <v>229</v>
      </c>
      <c r="B2866">
        <v>230</v>
      </c>
      <c r="C2866">
        <v>229</v>
      </c>
      <c r="D2866">
        <v>228</v>
      </c>
      <c r="E2866" t="s">
        <v>251</v>
      </c>
      <c r="F2866" t="s">
        <v>47</v>
      </c>
      <c r="G2866">
        <v>24</v>
      </c>
      <c r="H2866" t="s">
        <v>156</v>
      </c>
      <c r="I2866">
        <v>0.5</v>
      </c>
      <c r="J2866">
        <v>0.5</v>
      </c>
      <c r="K2866" t="s">
        <v>122</v>
      </c>
      <c r="L2866" t="s">
        <v>157</v>
      </c>
      <c r="M2866" t="s">
        <v>158</v>
      </c>
      <c r="N2866" t="s">
        <v>107</v>
      </c>
      <c r="O2866" t="s">
        <v>97</v>
      </c>
    </row>
    <row r="2867" spans="1:15" x14ac:dyDescent="0.2">
      <c r="A2867">
        <v>229</v>
      </c>
      <c r="B2867">
        <v>230</v>
      </c>
      <c r="C2867">
        <v>229</v>
      </c>
      <c r="D2867">
        <v>228</v>
      </c>
      <c r="E2867" t="s">
        <v>251</v>
      </c>
      <c r="F2867" t="s">
        <v>47</v>
      </c>
      <c r="G2867">
        <v>25</v>
      </c>
      <c r="H2867" t="s">
        <v>156</v>
      </c>
      <c r="I2867">
        <v>0.5</v>
      </c>
      <c r="J2867">
        <v>0.5</v>
      </c>
      <c r="K2867" t="s">
        <v>122</v>
      </c>
      <c r="L2867" t="s">
        <v>157</v>
      </c>
      <c r="M2867" t="s">
        <v>158</v>
      </c>
      <c r="N2867" t="s">
        <v>107</v>
      </c>
      <c r="O2867" t="s">
        <v>97</v>
      </c>
    </row>
    <row r="2868" spans="1:15" x14ac:dyDescent="0.2">
      <c r="A2868">
        <v>229</v>
      </c>
      <c r="B2868">
        <v>230</v>
      </c>
      <c r="C2868">
        <v>229</v>
      </c>
      <c r="D2868">
        <v>228</v>
      </c>
      <c r="E2868" t="s">
        <v>251</v>
      </c>
      <c r="F2868" t="s">
        <v>47</v>
      </c>
      <c r="G2868">
        <v>26</v>
      </c>
      <c r="H2868" t="s">
        <v>152</v>
      </c>
      <c r="I2868">
        <v>0</v>
      </c>
      <c r="J2868">
        <v>0</v>
      </c>
      <c r="K2868" t="s">
        <v>153</v>
      </c>
      <c r="L2868" t="s">
        <v>154</v>
      </c>
      <c r="M2868" t="s">
        <v>155</v>
      </c>
      <c r="N2868" t="s">
        <v>107</v>
      </c>
      <c r="O2868" t="s">
        <v>97</v>
      </c>
    </row>
    <row r="2869" spans="1:15" x14ac:dyDescent="0.2">
      <c r="A2869">
        <v>229</v>
      </c>
      <c r="B2869">
        <v>230</v>
      </c>
      <c r="C2869">
        <v>229</v>
      </c>
      <c r="D2869">
        <v>228</v>
      </c>
      <c r="E2869" t="s">
        <v>251</v>
      </c>
      <c r="F2869" t="s">
        <v>47</v>
      </c>
      <c r="G2869">
        <v>27</v>
      </c>
      <c r="H2869" t="s">
        <v>159</v>
      </c>
      <c r="I2869">
        <v>0.5</v>
      </c>
      <c r="J2869">
        <v>0.5</v>
      </c>
      <c r="K2869" t="s">
        <v>122</v>
      </c>
      <c r="L2869" t="s">
        <v>160</v>
      </c>
      <c r="M2869" t="s">
        <v>161</v>
      </c>
      <c r="N2869" t="s">
        <v>107</v>
      </c>
      <c r="O2869" t="s">
        <v>97</v>
      </c>
    </row>
    <row r="2870" spans="1:15" x14ac:dyDescent="0.2">
      <c r="A2870">
        <v>229</v>
      </c>
      <c r="B2870">
        <v>230</v>
      </c>
      <c r="C2870">
        <v>229</v>
      </c>
      <c r="D2870">
        <v>228</v>
      </c>
      <c r="E2870" t="s">
        <v>251</v>
      </c>
      <c r="F2870" t="s">
        <v>47</v>
      </c>
      <c r="G2870">
        <v>28</v>
      </c>
      <c r="H2870" t="s">
        <v>159</v>
      </c>
      <c r="I2870">
        <v>0</v>
      </c>
      <c r="J2870">
        <v>0.5</v>
      </c>
      <c r="K2870" t="s">
        <v>122</v>
      </c>
      <c r="L2870" t="s">
        <v>160</v>
      </c>
      <c r="M2870" t="s">
        <v>161</v>
      </c>
      <c r="N2870" t="s">
        <v>107</v>
      </c>
      <c r="O2870" t="s">
        <v>97</v>
      </c>
    </row>
    <row r="2871" spans="1:15" x14ac:dyDescent="0.2">
      <c r="A2871">
        <v>229</v>
      </c>
      <c r="B2871">
        <v>230</v>
      </c>
      <c r="C2871">
        <v>229</v>
      </c>
      <c r="D2871">
        <v>228</v>
      </c>
      <c r="E2871" t="s">
        <v>251</v>
      </c>
      <c r="F2871" t="s">
        <v>47</v>
      </c>
      <c r="G2871">
        <v>29</v>
      </c>
      <c r="H2871" t="s">
        <v>152</v>
      </c>
      <c r="I2871">
        <v>0</v>
      </c>
      <c r="J2871">
        <v>0</v>
      </c>
      <c r="K2871" t="s">
        <v>153</v>
      </c>
      <c r="L2871" t="s">
        <v>154</v>
      </c>
      <c r="M2871" t="s">
        <v>155</v>
      </c>
      <c r="N2871" t="s">
        <v>107</v>
      </c>
      <c r="O2871" t="s">
        <v>97</v>
      </c>
    </row>
    <row r="2872" spans="1:15" x14ac:dyDescent="0.2">
      <c r="A2872">
        <v>229</v>
      </c>
      <c r="B2872">
        <v>230</v>
      </c>
      <c r="C2872">
        <v>229</v>
      </c>
      <c r="D2872">
        <v>228</v>
      </c>
      <c r="E2872" t="s">
        <v>251</v>
      </c>
      <c r="F2872" t="s">
        <v>47</v>
      </c>
      <c r="G2872">
        <v>30</v>
      </c>
      <c r="H2872" t="s">
        <v>162</v>
      </c>
      <c r="I2872">
        <v>0</v>
      </c>
      <c r="J2872" t="s">
        <v>196</v>
      </c>
      <c r="K2872" t="s">
        <v>112</v>
      </c>
      <c r="L2872" t="s">
        <v>163</v>
      </c>
      <c r="M2872" t="s">
        <v>164</v>
      </c>
      <c r="N2872" t="s">
        <v>107</v>
      </c>
      <c r="O2872" t="s">
        <v>97</v>
      </c>
    </row>
    <row r="2873" spans="1:15" x14ac:dyDescent="0.2">
      <c r="A2873">
        <v>229</v>
      </c>
      <c r="B2873">
        <v>230</v>
      </c>
      <c r="C2873">
        <v>229</v>
      </c>
      <c r="D2873">
        <v>228</v>
      </c>
      <c r="E2873" t="s">
        <v>251</v>
      </c>
      <c r="F2873" t="s">
        <v>47</v>
      </c>
      <c r="G2873">
        <v>31</v>
      </c>
      <c r="H2873" t="s">
        <v>162</v>
      </c>
      <c r="I2873">
        <v>0</v>
      </c>
      <c r="J2873">
        <v>0</v>
      </c>
      <c r="K2873" t="s">
        <v>112</v>
      </c>
      <c r="L2873" t="s">
        <v>163</v>
      </c>
      <c r="M2873" t="s">
        <v>164</v>
      </c>
      <c r="N2873" t="s">
        <v>107</v>
      </c>
      <c r="O2873" t="s">
        <v>97</v>
      </c>
    </row>
    <row r="2874" spans="1:15" x14ac:dyDescent="0.2">
      <c r="A2874">
        <v>229</v>
      </c>
      <c r="B2874">
        <v>230</v>
      </c>
      <c r="C2874">
        <v>229</v>
      </c>
      <c r="D2874">
        <v>228</v>
      </c>
      <c r="E2874" t="s">
        <v>251</v>
      </c>
      <c r="F2874" t="s">
        <v>47</v>
      </c>
      <c r="G2874">
        <v>32</v>
      </c>
      <c r="H2874" t="s">
        <v>162</v>
      </c>
      <c r="I2874">
        <v>0</v>
      </c>
      <c r="J2874">
        <v>0</v>
      </c>
      <c r="K2874" t="s">
        <v>112</v>
      </c>
      <c r="L2874" t="s">
        <v>163</v>
      </c>
      <c r="M2874" t="s">
        <v>164</v>
      </c>
      <c r="N2874" t="s">
        <v>107</v>
      </c>
      <c r="O2874" t="s">
        <v>97</v>
      </c>
    </row>
    <row r="2875" spans="1:15" x14ac:dyDescent="0.2">
      <c r="A2875">
        <v>229</v>
      </c>
      <c r="B2875">
        <v>230</v>
      </c>
      <c r="C2875">
        <v>229</v>
      </c>
      <c r="D2875">
        <v>228</v>
      </c>
      <c r="E2875" t="s">
        <v>251</v>
      </c>
      <c r="F2875" t="s">
        <v>47</v>
      </c>
      <c r="G2875">
        <v>33</v>
      </c>
      <c r="H2875" t="s">
        <v>152</v>
      </c>
      <c r="I2875">
        <v>1</v>
      </c>
      <c r="J2875">
        <v>1</v>
      </c>
      <c r="K2875" t="s">
        <v>153</v>
      </c>
      <c r="L2875" t="s">
        <v>154</v>
      </c>
      <c r="M2875" t="s">
        <v>155</v>
      </c>
      <c r="N2875" t="s">
        <v>107</v>
      </c>
      <c r="O2875" t="s">
        <v>97</v>
      </c>
    </row>
    <row r="2876" spans="1:15" x14ac:dyDescent="0.2">
      <c r="A2876">
        <v>229</v>
      </c>
      <c r="B2876">
        <v>230</v>
      </c>
      <c r="C2876">
        <v>229</v>
      </c>
      <c r="D2876">
        <v>228</v>
      </c>
      <c r="E2876" t="s">
        <v>251</v>
      </c>
      <c r="F2876" t="s">
        <v>47</v>
      </c>
      <c r="G2876">
        <v>34</v>
      </c>
      <c r="H2876" t="s">
        <v>152</v>
      </c>
      <c r="I2876">
        <v>0</v>
      </c>
      <c r="J2876">
        <v>0</v>
      </c>
      <c r="K2876" t="s">
        <v>153</v>
      </c>
      <c r="L2876" t="s">
        <v>154</v>
      </c>
      <c r="M2876" t="s">
        <v>155</v>
      </c>
      <c r="N2876" t="s">
        <v>107</v>
      </c>
      <c r="O2876" t="s">
        <v>97</v>
      </c>
    </row>
    <row r="2877" spans="1:15" x14ac:dyDescent="0.2">
      <c r="A2877">
        <v>229</v>
      </c>
      <c r="B2877">
        <v>230</v>
      </c>
      <c r="C2877">
        <v>229</v>
      </c>
      <c r="D2877">
        <v>228</v>
      </c>
      <c r="E2877" t="s">
        <v>251</v>
      </c>
      <c r="F2877" t="s">
        <v>47</v>
      </c>
      <c r="G2877">
        <v>35</v>
      </c>
      <c r="H2877" t="s">
        <v>165</v>
      </c>
      <c r="I2877">
        <v>0.5</v>
      </c>
      <c r="J2877">
        <v>1</v>
      </c>
      <c r="K2877" t="s">
        <v>166</v>
      </c>
      <c r="L2877" t="s">
        <v>167</v>
      </c>
      <c r="M2877" t="s">
        <v>168</v>
      </c>
      <c r="N2877" t="s">
        <v>107</v>
      </c>
      <c r="O2877" t="s">
        <v>97</v>
      </c>
    </row>
    <row r="2878" spans="1:15" x14ac:dyDescent="0.2">
      <c r="A2878">
        <v>229</v>
      </c>
      <c r="B2878">
        <v>230</v>
      </c>
      <c r="C2878">
        <v>229</v>
      </c>
      <c r="D2878">
        <v>228</v>
      </c>
      <c r="E2878" t="s">
        <v>251</v>
      </c>
      <c r="F2878" t="s">
        <v>47</v>
      </c>
      <c r="G2878">
        <v>36</v>
      </c>
      <c r="H2878" t="s">
        <v>169</v>
      </c>
      <c r="I2878">
        <v>0</v>
      </c>
      <c r="J2878">
        <v>0</v>
      </c>
      <c r="K2878" t="e">
        <v>#N/A</v>
      </c>
      <c r="L2878" t="e">
        <v>#N/A</v>
      </c>
      <c r="M2878" t="e">
        <v>#N/A</v>
      </c>
      <c r="N2878" t="e">
        <v>#N/A</v>
      </c>
      <c r="O2878" t="s">
        <v>97</v>
      </c>
    </row>
    <row r="2879" spans="1:15" x14ac:dyDescent="0.2">
      <c r="A2879">
        <v>229</v>
      </c>
      <c r="B2879">
        <v>230</v>
      </c>
      <c r="C2879">
        <v>229</v>
      </c>
      <c r="D2879">
        <v>228</v>
      </c>
      <c r="E2879" t="s">
        <v>251</v>
      </c>
      <c r="F2879" t="s">
        <v>47</v>
      </c>
      <c r="G2879">
        <v>38</v>
      </c>
      <c r="H2879" t="s">
        <v>170</v>
      </c>
      <c r="I2879">
        <v>0</v>
      </c>
      <c r="J2879">
        <v>0.5</v>
      </c>
      <c r="K2879" t="s">
        <v>112</v>
      </c>
      <c r="L2879" t="s">
        <v>171</v>
      </c>
      <c r="M2879" t="s">
        <v>172</v>
      </c>
      <c r="N2879" t="s">
        <v>96</v>
      </c>
      <c r="O2879" t="s">
        <v>97</v>
      </c>
    </row>
    <row r="2880" spans="1:15" x14ac:dyDescent="0.2">
      <c r="A2880">
        <v>229</v>
      </c>
      <c r="B2880">
        <v>230</v>
      </c>
      <c r="C2880">
        <v>229</v>
      </c>
      <c r="D2880">
        <v>228</v>
      </c>
      <c r="E2880" t="s">
        <v>251</v>
      </c>
      <c r="F2880" t="s">
        <v>47</v>
      </c>
      <c r="G2880">
        <v>39</v>
      </c>
      <c r="H2880" t="s">
        <v>170</v>
      </c>
      <c r="I2880">
        <v>0</v>
      </c>
      <c r="J2880">
        <v>0.5</v>
      </c>
      <c r="K2880" t="s">
        <v>112</v>
      </c>
      <c r="L2880" t="s">
        <v>171</v>
      </c>
      <c r="M2880" t="s">
        <v>172</v>
      </c>
      <c r="N2880" t="s">
        <v>96</v>
      </c>
      <c r="O2880" t="s">
        <v>97</v>
      </c>
    </row>
    <row r="2881" spans="1:15" x14ac:dyDescent="0.2">
      <c r="A2881">
        <v>229</v>
      </c>
      <c r="B2881">
        <v>230</v>
      </c>
      <c r="C2881">
        <v>229</v>
      </c>
      <c r="D2881">
        <v>228</v>
      </c>
      <c r="E2881" t="s">
        <v>251</v>
      </c>
      <c r="F2881" t="s">
        <v>47</v>
      </c>
      <c r="G2881">
        <v>40</v>
      </c>
      <c r="H2881" t="s">
        <v>170</v>
      </c>
      <c r="I2881">
        <v>0.5</v>
      </c>
      <c r="J2881">
        <v>0.5</v>
      </c>
      <c r="K2881" t="s">
        <v>112</v>
      </c>
      <c r="L2881" t="s">
        <v>171</v>
      </c>
      <c r="M2881" t="s">
        <v>172</v>
      </c>
      <c r="N2881" t="s">
        <v>96</v>
      </c>
      <c r="O2881" t="s">
        <v>97</v>
      </c>
    </row>
    <row r="2882" spans="1:15" x14ac:dyDescent="0.2">
      <c r="A2882">
        <v>229</v>
      </c>
      <c r="B2882">
        <v>230</v>
      </c>
      <c r="C2882">
        <v>229</v>
      </c>
      <c r="D2882">
        <v>228</v>
      </c>
      <c r="E2882" t="s">
        <v>251</v>
      </c>
      <c r="F2882" t="s">
        <v>47</v>
      </c>
      <c r="G2882">
        <v>41</v>
      </c>
      <c r="H2882" t="s">
        <v>173</v>
      </c>
      <c r="I2882">
        <v>0.5</v>
      </c>
      <c r="J2882">
        <v>1</v>
      </c>
      <c r="K2882" t="s">
        <v>166</v>
      </c>
      <c r="L2882" t="s">
        <v>174</v>
      </c>
      <c r="M2882" t="s">
        <v>175</v>
      </c>
      <c r="N2882" t="s">
        <v>107</v>
      </c>
      <c r="O2882" t="s">
        <v>97</v>
      </c>
    </row>
    <row r="2883" spans="1:15" x14ac:dyDescent="0.2">
      <c r="A2883">
        <v>229</v>
      </c>
      <c r="B2883">
        <v>230</v>
      </c>
      <c r="C2883">
        <v>229</v>
      </c>
      <c r="D2883">
        <v>228</v>
      </c>
      <c r="E2883" t="s">
        <v>251</v>
      </c>
      <c r="F2883" t="s">
        <v>47</v>
      </c>
      <c r="G2883">
        <v>42</v>
      </c>
      <c r="H2883" t="s">
        <v>176</v>
      </c>
      <c r="I2883">
        <v>0.5</v>
      </c>
      <c r="J2883">
        <v>1</v>
      </c>
      <c r="K2883" t="s">
        <v>153</v>
      </c>
      <c r="L2883" t="s">
        <v>177</v>
      </c>
      <c r="M2883" t="s">
        <v>178</v>
      </c>
      <c r="N2883" t="s">
        <v>107</v>
      </c>
      <c r="O2883" t="s">
        <v>97</v>
      </c>
    </row>
    <row r="2884" spans="1:15" x14ac:dyDescent="0.2">
      <c r="A2884">
        <v>229</v>
      </c>
      <c r="B2884">
        <v>230</v>
      </c>
      <c r="C2884">
        <v>229</v>
      </c>
      <c r="D2884">
        <v>228</v>
      </c>
      <c r="E2884" t="s">
        <v>251</v>
      </c>
      <c r="F2884" t="s">
        <v>47</v>
      </c>
      <c r="G2884">
        <v>43</v>
      </c>
      <c r="H2884" t="s">
        <v>179</v>
      </c>
      <c r="I2884">
        <v>0</v>
      </c>
      <c r="J2884">
        <v>0</v>
      </c>
      <c r="K2884" t="s">
        <v>166</v>
      </c>
      <c r="L2884" t="s">
        <v>180</v>
      </c>
      <c r="M2884" t="s">
        <v>181</v>
      </c>
      <c r="N2884" t="s">
        <v>107</v>
      </c>
      <c r="O2884" t="s">
        <v>97</v>
      </c>
    </row>
    <row r="2885" spans="1:15" x14ac:dyDescent="0.2">
      <c r="A2885">
        <v>229</v>
      </c>
      <c r="B2885">
        <v>230</v>
      </c>
      <c r="C2885">
        <v>229</v>
      </c>
      <c r="D2885">
        <v>228</v>
      </c>
      <c r="E2885" t="s">
        <v>251</v>
      </c>
      <c r="F2885" t="s">
        <v>47</v>
      </c>
      <c r="G2885">
        <v>44</v>
      </c>
      <c r="H2885" t="s">
        <v>182</v>
      </c>
      <c r="I2885">
        <v>0</v>
      </c>
      <c r="J2885">
        <v>1</v>
      </c>
      <c r="K2885" t="s">
        <v>166</v>
      </c>
      <c r="L2885" t="s">
        <v>183</v>
      </c>
      <c r="M2885" t="s">
        <v>184</v>
      </c>
      <c r="N2885" t="s">
        <v>107</v>
      </c>
      <c r="O2885" t="s">
        <v>97</v>
      </c>
    </row>
    <row r="2886" spans="1:15" x14ac:dyDescent="0.2">
      <c r="A2886">
        <v>229</v>
      </c>
      <c r="B2886">
        <v>230</v>
      </c>
      <c r="C2886">
        <v>229</v>
      </c>
      <c r="D2886">
        <v>228</v>
      </c>
      <c r="E2886" t="s">
        <v>251</v>
      </c>
      <c r="F2886" t="s">
        <v>47</v>
      </c>
      <c r="G2886">
        <v>45</v>
      </c>
      <c r="H2886" t="s">
        <v>185</v>
      </c>
      <c r="I2886">
        <v>0</v>
      </c>
      <c r="J2886">
        <v>1</v>
      </c>
      <c r="K2886" t="s">
        <v>166</v>
      </c>
      <c r="L2886" t="s">
        <v>186</v>
      </c>
      <c r="M2886" t="s">
        <v>139</v>
      </c>
      <c r="N2886" t="s">
        <v>107</v>
      </c>
      <c r="O2886" t="s">
        <v>97</v>
      </c>
    </row>
    <row r="2887" spans="1:15" x14ac:dyDescent="0.2">
      <c r="A2887">
        <v>229</v>
      </c>
      <c r="B2887">
        <v>230</v>
      </c>
      <c r="C2887">
        <v>229</v>
      </c>
      <c r="D2887">
        <v>228</v>
      </c>
      <c r="E2887" t="s">
        <v>251</v>
      </c>
      <c r="F2887" t="s">
        <v>47</v>
      </c>
      <c r="G2887">
        <v>47</v>
      </c>
      <c r="H2887" t="s">
        <v>187</v>
      </c>
      <c r="I2887">
        <v>0</v>
      </c>
      <c r="J2887">
        <v>0.2</v>
      </c>
      <c r="K2887" t="s">
        <v>93</v>
      </c>
      <c r="L2887" t="s">
        <v>188</v>
      </c>
      <c r="M2887" t="s">
        <v>95</v>
      </c>
      <c r="N2887" t="s">
        <v>96</v>
      </c>
      <c r="O2887" t="s">
        <v>97</v>
      </c>
    </row>
    <row r="2888" spans="1:15" x14ac:dyDescent="0.2">
      <c r="A2888">
        <v>229</v>
      </c>
      <c r="B2888">
        <v>230</v>
      </c>
      <c r="C2888">
        <v>229</v>
      </c>
      <c r="D2888">
        <v>228</v>
      </c>
      <c r="E2888" t="s">
        <v>251</v>
      </c>
      <c r="F2888" t="s">
        <v>47</v>
      </c>
      <c r="G2888">
        <v>48</v>
      </c>
      <c r="H2888" t="s">
        <v>189</v>
      </c>
      <c r="I2888">
        <v>0.2</v>
      </c>
      <c r="J2888">
        <v>0.2</v>
      </c>
      <c r="K2888" t="s">
        <v>93</v>
      </c>
      <c r="L2888" t="s">
        <v>190</v>
      </c>
      <c r="M2888" t="s">
        <v>95</v>
      </c>
      <c r="N2888" t="s">
        <v>96</v>
      </c>
      <c r="O2888" t="s">
        <v>97</v>
      </c>
    </row>
    <row r="2889" spans="1:15" x14ac:dyDescent="0.2">
      <c r="A2889">
        <v>229</v>
      </c>
      <c r="B2889">
        <v>230</v>
      </c>
      <c r="C2889">
        <v>229</v>
      </c>
      <c r="D2889">
        <v>228</v>
      </c>
      <c r="E2889" t="s">
        <v>251</v>
      </c>
      <c r="F2889" t="s">
        <v>47</v>
      </c>
      <c r="G2889">
        <v>49</v>
      </c>
      <c r="H2889" t="s">
        <v>191</v>
      </c>
      <c r="I2889">
        <v>0.2</v>
      </c>
      <c r="J2889">
        <v>0.2</v>
      </c>
      <c r="K2889" t="s">
        <v>93</v>
      </c>
      <c r="L2889" t="s">
        <v>192</v>
      </c>
      <c r="M2889" t="s">
        <v>95</v>
      </c>
      <c r="N2889" t="s">
        <v>96</v>
      </c>
      <c r="O2889" t="s">
        <v>97</v>
      </c>
    </row>
    <row r="2890" spans="1:15" x14ac:dyDescent="0.2">
      <c r="A2890">
        <v>229</v>
      </c>
      <c r="B2890">
        <v>230</v>
      </c>
      <c r="C2890">
        <v>229</v>
      </c>
      <c r="D2890">
        <v>228</v>
      </c>
      <c r="E2890" t="s">
        <v>251</v>
      </c>
      <c r="F2890" t="s">
        <v>47</v>
      </c>
      <c r="G2890">
        <v>50</v>
      </c>
      <c r="H2890" t="s">
        <v>193</v>
      </c>
      <c r="I2890">
        <v>0.1</v>
      </c>
      <c r="J2890">
        <v>0.1</v>
      </c>
      <c r="K2890" t="s">
        <v>93</v>
      </c>
      <c r="L2890" t="s">
        <v>194</v>
      </c>
      <c r="M2890" t="s">
        <v>95</v>
      </c>
      <c r="N2890" t="s">
        <v>96</v>
      </c>
      <c r="O2890" t="s">
        <v>97</v>
      </c>
    </row>
    <row r="2891" spans="1:15" x14ac:dyDescent="0.2">
      <c r="A2891">
        <v>229</v>
      </c>
      <c r="B2891">
        <v>230</v>
      </c>
      <c r="C2891">
        <v>229</v>
      </c>
      <c r="D2891">
        <v>228</v>
      </c>
      <c r="E2891" t="s">
        <v>251</v>
      </c>
      <c r="F2891" t="s">
        <v>47</v>
      </c>
      <c r="G2891">
        <v>51</v>
      </c>
      <c r="H2891" t="s">
        <v>193</v>
      </c>
      <c r="I2891">
        <v>0</v>
      </c>
      <c r="J2891">
        <v>0.1</v>
      </c>
      <c r="K2891" t="s">
        <v>93</v>
      </c>
      <c r="L2891" t="s">
        <v>194</v>
      </c>
      <c r="M2891" t="s">
        <v>95</v>
      </c>
      <c r="N2891" t="s">
        <v>96</v>
      </c>
      <c r="O2891" t="s">
        <v>97</v>
      </c>
    </row>
    <row r="2892" spans="1:15" x14ac:dyDescent="0.2">
      <c r="A2892">
        <v>229</v>
      </c>
      <c r="B2892">
        <v>230</v>
      </c>
      <c r="C2892">
        <v>229</v>
      </c>
      <c r="D2892">
        <v>228</v>
      </c>
      <c r="E2892" t="s">
        <v>251</v>
      </c>
      <c r="F2892" t="s">
        <v>47</v>
      </c>
      <c r="G2892">
        <v>97</v>
      </c>
      <c r="H2892" t="s">
        <v>152</v>
      </c>
      <c r="I2892">
        <v>0.25</v>
      </c>
      <c r="J2892">
        <v>0.25</v>
      </c>
      <c r="K2892" t="s">
        <v>153</v>
      </c>
      <c r="L2892" t="s">
        <v>154</v>
      </c>
      <c r="M2892" t="s">
        <v>155</v>
      </c>
      <c r="N2892" t="s">
        <v>107</v>
      </c>
      <c r="O2892" t="s">
        <v>97</v>
      </c>
    </row>
    <row r="2893" spans="1:15" x14ac:dyDescent="0.2">
      <c r="A2893">
        <v>229</v>
      </c>
      <c r="B2893">
        <v>230</v>
      </c>
      <c r="C2893">
        <v>229</v>
      </c>
      <c r="D2893">
        <v>228</v>
      </c>
      <c r="E2893" t="s">
        <v>251</v>
      </c>
      <c r="F2893" t="s">
        <v>47</v>
      </c>
      <c r="G2893">
        <v>96</v>
      </c>
      <c r="H2893" t="s">
        <v>152</v>
      </c>
      <c r="I2893">
        <v>0</v>
      </c>
      <c r="J2893">
        <v>0</v>
      </c>
      <c r="K2893" t="s">
        <v>153</v>
      </c>
      <c r="L2893" t="s">
        <v>154</v>
      </c>
      <c r="M2893" t="s">
        <v>155</v>
      </c>
      <c r="N2893" t="s">
        <v>107</v>
      </c>
      <c r="O2893" t="s">
        <v>97</v>
      </c>
    </row>
    <row r="2894" spans="1:15" x14ac:dyDescent="0.2">
      <c r="A2894">
        <v>229</v>
      </c>
      <c r="B2894">
        <v>230</v>
      </c>
      <c r="C2894">
        <v>229</v>
      </c>
      <c r="D2894">
        <v>228</v>
      </c>
      <c r="E2894" t="s">
        <v>251</v>
      </c>
      <c r="F2894" t="s">
        <v>47</v>
      </c>
      <c r="G2894">
        <v>99</v>
      </c>
      <c r="H2894" t="s">
        <v>152</v>
      </c>
      <c r="I2894">
        <v>0</v>
      </c>
      <c r="J2894">
        <v>0</v>
      </c>
      <c r="K2894" t="s">
        <v>153</v>
      </c>
      <c r="L2894" t="s">
        <v>154</v>
      </c>
      <c r="M2894" t="s">
        <v>155</v>
      </c>
      <c r="N2894" t="s">
        <v>107</v>
      </c>
      <c r="O2894" t="s">
        <v>97</v>
      </c>
    </row>
    <row r="2895" spans="1:15" x14ac:dyDescent="0.2">
      <c r="A2895">
        <v>229</v>
      </c>
      <c r="B2895">
        <v>230</v>
      </c>
      <c r="C2895">
        <v>229</v>
      </c>
      <c r="D2895">
        <v>228</v>
      </c>
      <c r="E2895" t="s">
        <v>251</v>
      </c>
      <c r="F2895" t="s">
        <v>47</v>
      </c>
      <c r="G2895">
        <v>98</v>
      </c>
      <c r="H2895" t="s">
        <v>204</v>
      </c>
      <c r="I2895">
        <v>0</v>
      </c>
      <c r="J2895">
        <v>1</v>
      </c>
      <c r="K2895" t="s">
        <v>122</v>
      </c>
      <c r="L2895" t="s">
        <v>205</v>
      </c>
      <c r="M2895" t="s">
        <v>206</v>
      </c>
      <c r="N2895" t="s">
        <v>207</v>
      </c>
      <c r="O2895" t="s">
        <v>97</v>
      </c>
    </row>
    <row r="2896" spans="1:15" x14ac:dyDescent="0.2">
      <c r="A2896">
        <v>44</v>
      </c>
      <c r="B2896">
        <v>45</v>
      </c>
      <c r="C2896">
        <v>44</v>
      </c>
      <c r="D2896">
        <v>43</v>
      </c>
      <c r="E2896" t="s">
        <v>30</v>
      </c>
      <c r="F2896" t="s">
        <v>38</v>
      </c>
      <c r="G2896">
        <v>1</v>
      </c>
      <c r="H2896" t="s">
        <v>92</v>
      </c>
      <c r="I2896">
        <v>0</v>
      </c>
      <c r="J2896">
        <v>0.2</v>
      </c>
      <c r="K2896" t="s">
        <v>93</v>
      </c>
      <c r="L2896" t="s">
        <v>94</v>
      </c>
      <c r="M2896" t="s">
        <v>95</v>
      </c>
      <c r="N2896" t="s">
        <v>96</v>
      </c>
      <c r="O2896" t="s">
        <v>97</v>
      </c>
    </row>
    <row r="2897" spans="1:15" x14ac:dyDescent="0.2">
      <c r="A2897">
        <v>44</v>
      </c>
      <c r="B2897">
        <v>45</v>
      </c>
      <c r="C2897">
        <v>44</v>
      </c>
      <c r="D2897">
        <v>43</v>
      </c>
      <c r="E2897" t="s">
        <v>30</v>
      </c>
      <c r="F2897" t="s">
        <v>38</v>
      </c>
      <c r="G2897">
        <v>2</v>
      </c>
      <c r="H2897" t="s">
        <v>98</v>
      </c>
      <c r="I2897">
        <v>0.25</v>
      </c>
      <c r="J2897">
        <v>0.5</v>
      </c>
      <c r="K2897" t="s">
        <v>93</v>
      </c>
      <c r="L2897" t="s">
        <v>99</v>
      </c>
      <c r="M2897" t="s">
        <v>95</v>
      </c>
      <c r="N2897" t="s">
        <v>96</v>
      </c>
      <c r="O2897" t="s">
        <v>97</v>
      </c>
    </row>
    <row r="2898" spans="1:15" x14ac:dyDescent="0.2">
      <c r="A2898">
        <v>44</v>
      </c>
      <c r="B2898">
        <v>45</v>
      </c>
      <c r="C2898">
        <v>44</v>
      </c>
      <c r="D2898">
        <v>43</v>
      </c>
      <c r="E2898" t="s">
        <v>30</v>
      </c>
      <c r="F2898" t="s">
        <v>38</v>
      </c>
      <c r="G2898">
        <v>3</v>
      </c>
      <c r="H2898" t="s">
        <v>100</v>
      </c>
      <c r="I2898">
        <v>0.5</v>
      </c>
      <c r="J2898">
        <v>1</v>
      </c>
      <c r="K2898" t="s">
        <v>101</v>
      </c>
      <c r="L2898" t="s">
        <v>102</v>
      </c>
      <c r="M2898" t="s">
        <v>103</v>
      </c>
      <c r="N2898" t="s">
        <v>96</v>
      </c>
      <c r="O2898" t="s">
        <v>97</v>
      </c>
    </row>
    <row r="2899" spans="1:15" x14ac:dyDescent="0.2">
      <c r="A2899">
        <v>44</v>
      </c>
      <c r="B2899">
        <v>45</v>
      </c>
      <c r="C2899">
        <v>44</v>
      </c>
      <c r="D2899">
        <v>43</v>
      </c>
      <c r="E2899" t="s">
        <v>30</v>
      </c>
      <c r="F2899" t="s">
        <v>38</v>
      </c>
      <c r="G2899">
        <v>4</v>
      </c>
      <c r="H2899" t="s">
        <v>104</v>
      </c>
      <c r="I2899">
        <v>0.5</v>
      </c>
      <c r="J2899">
        <v>1</v>
      </c>
      <c r="K2899" t="s">
        <v>101</v>
      </c>
      <c r="L2899" t="s">
        <v>105</v>
      </c>
      <c r="M2899" t="s">
        <v>106</v>
      </c>
      <c r="N2899" t="s">
        <v>107</v>
      </c>
      <c r="O2899" t="s">
        <v>97</v>
      </c>
    </row>
    <row r="2900" spans="1:15" x14ac:dyDescent="0.2">
      <c r="A2900">
        <v>44</v>
      </c>
      <c r="B2900">
        <v>45</v>
      </c>
      <c r="C2900">
        <v>44</v>
      </c>
      <c r="D2900">
        <v>43</v>
      </c>
      <c r="E2900" t="s">
        <v>30</v>
      </c>
      <c r="F2900" t="s">
        <v>38</v>
      </c>
      <c r="G2900">
        <v>5</v>
      </c>
      <c r="H2900" t="s">
        <v>108</v>
      </c>
      <c r="I2900">
        <v>0.5</v>
      </c>
      <c r="J2900">
        <v>1</v>
      </c>
      <c r="K2900" t="s">
        <v>101</v>
      </c>
      <c r="L2900" t="s">
        <v>109</v>
      </c>
      <c r="M2900" t="s">
        <v>110</v>
      </c>
      <c r="N2900" t="s">
        <v>107</v>
      </c>
      <c r="O2900" t="s">
        <v>97</v>
      </c>
    </row>
    <row r="2901" spans="1:15" x14ac:dyDescent="0.2">
      <c r="A2901">
        <v>44</v>
      </c>
      <c r="B2901">
        <v>45</v>
      </c>
      <c r="C2901">
        <v>44</v>
      </c>
      <c r="D2901">
        <v>43</v>
      </c>
      <c r="E2901" t="s">
        <v>30</v>
      </c>
      <c r="F2901" t="s">
        <v>38</v>
      </c>
      <c r="G2901">
        <v>9</v>
      </c>
      <c r="H2901" t="s">
        <v>111</v>
      </c>
      <c r="I2901">
        <v>0.5</v>
      </c>
      <c r="J2901">
        <v>0.5</v>
      </c>
      <c r="K2901" t="s">
        <v>112</v>
      </c>
      <c r="L2901" t="s">
        <v>113</v>
      </c>
      <c r="M2901" t="s">
        <v>114</v>
      </c>
      <c r="N2901" t="s">
        <v>96</v>
      </c>
      <c r="O2901" t="s">
        <v>97</v>
      </c>
    </row>
    <row r="2902" spans="1:15" x14ac:dyDescent="0.2">
      <c r="A2902">
        <v>44</v>
      </c>
      <c r="B2902">
        <v>45</v>
      </c>
      <c r="C2902">
        <v>44</v>
      </c>
      <c r="D2902">
        <v>43</v>
      </c>
      <c r="E2902" t="s">
        <v>30</v>
      </c>
      <c r="F2902" t="s">
        <v>38</v>
      </c>
      <c r="G2902">
        <v>10</v>
      </c>
      <c r="H2902" t="s">
        <v>115</v>
      </c>
      <c r="I2902">
        <v>0.5</v>
      </c>
      <c r="J2902">
        <v>0.5</v>
      </c>
      <c r="K2902" t="s">
        <v>112</v>
      </c>
      <c r="L2902" t="s">
        <v>116</v>
      </c>
      <c r="M2902" t="s">
        <v>117</v>
      </c>
      <c r="N2902" t="s">
        <v>96</v>
      </c>
      <c r="O2902" t="s">
        <v>97</v>
      </c>
    </row>
    <row r="2903" spans="1:15" x14ac:dyDescent="0.2">
      <c r="A2903">
        <v>44</v>
      </c>
      <c r="B2903">
        <v>45</v>
      </c>
      <c r="C2903">
        <v>44</v>
      </c>
      <c r="D2903">
        <v>43</v>
      </c>
      <c r="E2903" t="s">
        <v>30</v>
      </c>
      <c r="F2903" t="s">
        <v>38</v>
      </c>
      <c r="G2903">
        <v>11</v>
      </c>
      <c r="H2903" t="s">
        <v>118</v>
      </c>
      <c r="I2903">
        <v>1</v>
      </c>
      <c r="J2903">
        <v>1</v>
      </c>
      <c r="K2903" t="s">
        <v>112</v>
      </c>
      <c r="L2903" t="s">
        <v>119</v>
      </c>
      <c r="M2903" t="s">
        <v>120</v>
      </c>
      <c r="N2903" t="s">
        <v>107</v>
      </c>
      <c r="O2903" t="s">
        <v>97</v>
      </c>
    </row>
    <row r="2904" spans="1:15" x14ac:dyDescent="0.2">
      <c r="A2904">
        <v>44</v>
      </c>
      <c r="B2904">
        <v>45</v>
      </c>
      <c r="C2904">
        <v>44</v>
      </c>
      <c r="D2904">
        <v>43</v>
      </c>
      <c r="E2904" t="s">
        <v>30</v>
      </c>
      <c r="F2904" t="s">
        <v>38</v>
      </c>
      <c r="G2904">
        <v>12</v>
      </c>
      <c r="H2904" t="s">
        <v>121</v>
      </c>
      <c r="I2904">
        <v>0.5</v>
      </c>
      <c r="J2904">
        <v>0.5</v>
      </c>
      <c r="K2904" t="s">
        <v>122</v>
      </c>
      <c r="L2904" t="s">
        <v>113</v>
      </c>
      <c r="M2904" t="s">
        <v>123</v>
      </c>
      <c r="N2904" t="s">
        <v>96</v>
      </c>
      <c r="O2904" t="s">
        <v>97</v>
      </c>
    </row>
    <row r="2905" spans="1:15" x14ac:dyDescent="0.2">
      <c r="A2905">
        <v>44</v>
      </c>
      <c r="B2905">
        <v>45</v>
      </c>
      <c r="C2905">
        <v>44</v>
      </c>
      <c r="D2905">
        <v>43</v>
      </c>
      <c r="E2905" t="s">
        <v>30</v>
      </c>
      <c r="F2905" t="s">
        <v>38</v>
      </c>
      <c r="G2905">
        <v>13</v>
      </c>
      <c r="H2905" t="s">
        <v>124</v>
      </c>
      <c r="I2905">
        <v>0</v>
      </c>
      <c r="J2905">
        <v>0.5</v>
      </c>
      <c r="K2905" t="s">
        <v>122</v>
      </c>
      <c r="L2905" t="s">
        <v>125</v>
      </c>
      <c r="M2905" t="s">
        <v>126</v>
      </c>
      <c r="N2905" t="s">
        <v>96</v>
      </c>
      <c r="O2905" t="s">
        <v>97</v>
      </c>
    </row>
    <row r="2906" spans="1:15" x14ac:dyDescent="0.2">
      <c r="A2906">
        <v>44</v>
      </c>
      <c r="B2906">
        <v>45</v>
      </c>
      <c r="C2906">
        <v>44</v>
      </c>
      <c r="D2906">
        <v>43</v>
      </c>
      <c r="E2906" t="s">
        <v>30</v>
      </c>
      <c r="F2906" t="s">
        <v>38</v>
      </c>
      <c r="G2906">
        <v>14</v>
      </c>
      <c r="H2906" t="s">
        <v>127</v>
      </c>
      <c r="I2906">
        <v>1</v>
      </c>
      <c r="J2906">
        <v>1</v>
      </c>
      <c r="K2906" t="s">
        <v>122</v>
      </c>
      <c r="L2906" t="s">
        <v>119</v>
      </c>
      <c r="M2906" t="s">
        <v>128</v>
      </c>
      <c r="N2906" t="s">
        <v>107</v>
      </c>
      <c r="O2906" t="s">
        <v>97</v>
      </c>
    </row>
    <row r="2907" spans="1:15" x14ac:dyDescent="0.2">
      <c r="A2907">
        <v>44</v>
      </c>
      <c r="B2907">
        <v>45</v>
      </c>
      <c r="C2907">
        <v>44</v>
      </c>
      <c r="D2907">
        <v>43</v>
      </c>
      <c r="E2907" t="s">
        <v>30</v>
      </c>
      <c r="F2907" t="s">
        <v>38</v>
      </c>
      <c r="G2907">
        <v>15</v>
      </c>
      <c r="H2907" t="s">
        <v>129</v>
      </c>
      <c r="I2907">
        <v>1</v>
      </c>
      <c r="J2907">
        <v>1</v>
      </c>
      <c r="K2907" t="s">
        <v>130</v>
      </c>
      <c r="L2907" t="s">
        <v>131</v>
      </c>
      <c r="M2907" t="s">
        <v>132</v>
      </c>
      <c r="N2907" t="s">
        <v>107</v>
      </c>
      <c r="O2907" t="s">
        <v>97</v>
      </c>
    </row>
    <row r="2908" spans="1:15" x14ac:dyDescent="0.2">
      <c r="A2908">
        <v>44</v>
      </c>
      <c r="B2908">
        <v>45</v>
      </c>
      <c r="C2908">
        <v>44</v>
      </c>
      <c r="D2908">
        <v>43</v>
      </c>
      <c r="E2908" t="s">
        <v>30</v>
      </c>
      <c r="F2908" t="s">
        <v>38</v>
      </c>
      <c r="G2908">
        <v>16</v>
      </c>
      <c r="H2908" t="s">
        <v>133</v>
      </c>
      <c r="I2908">
        <v>0</v>
      </c>
      <c r="J2908">
        <v>0</v>
      </c>
      <c r="K2908" t="e">
        <v>#N/A</v>
      </c>
      <c r="L2908" t="e">
        <v>#N/A</v>
      </c>
      <c r="M2908" t="e">
        <v>#N/A</v>
      </c>
      <c r="N2908" t="e">
        <v>#N/A</v>
      </c>
      <c r="O2908" t="s">
        <v>97</v>
      </c>
    </row>
    <row r="2909" spans="1:15" x14ac:dyDescent="0.2">
      <c r="A2909">
        <v>44</v>
      </c>
      <c r="B2909">
        <v>45</v>
      </c>
      <c r="C2909">
        <v>44</v>
      </c>
      <c r="D2909">
        <v>43</v>
      </c>
      <c r="E2909" t="s">
        <v>30</v>
      </c>
      <c r="F2909" t="s">
        <v>38</v>
      </c>
      <c r="G2909">
        <v>17</v>
      </c>
      <c r="H2909" t="s">
        <v>134</v>
      </c>
      <c r="I2909">
        <v>1</v>
      </c>
      <c r="J2909">
        <v>1</v>
      </c>
      <c r="K2909" t="s">
        <v>112</v>
      </c>
      <c r="L2909" t="s">
        <v>135</v>
      </c>
      <c r="M2909" t="s">
        <v>136</v>
      </c>
      <c r="N2909" t="s">
        <v>107</v>
      </c>
      <c r="O2909" t="s">
        <v>97</v>
      </c>
    </row>
    <row r="2910" spans="1:15" x14ac:dyDescent="0.2">
      <c r="A2910">
        <v>44</v>
      </c>
      <c r="B2910">
        <v>45</v>
      </c>
      <c r="C2910">
        <v>44</v>
      </c>
      <c r="D2910">
        <v>43</v>
      </c>
      <c r="E2910" t="s">
        <v>30</v>
      </c>
      <c r="F2910" t="s">
        <v>38</v>
      </c>
      <c r="G2910">
        <v>18</v>
      </c>
      <c r="H2910" t="s">
        <v>137</v>
      </c>
      <c r="I2910">
        <v>1</v>
      </c>
      <c r="J2910">
        <v>1</v>
      </c>
      <c r="K2910" t="s">
        <v>112</v>
      </c>
      <c r="L2910" t="s">
        <v>138</v>
      </c>
      <c r="M2910" t="s">
        <v>139</v>
      </c>
      <c r="N2910" t="s">
        <v>107</v>
      </c>
      <c r="O2910" t="s">
        <v>97</v>
      </c>
    </row>
    <row r="2911" spans="1:15" x14ac:dyDescent="0.2">
      <c r="A2911">
        <v>44</v>
      </c>
      <c r="B2911">
        <v>45</v>
      </c>
      <c r="C2911">
        <v>44</v>
      </c>
      <c r="D2911">
        <v>43</v>
      </c>
      <c r="E2911" t="s">
        <v>30</v>
      </c>
      <c r="F2911" t="s">
        <v>38</v>
      </c>
      <c r="G2911">
        <v>19</v>
      </c>
      <c r="H2911" t="s">
        <v>140</v>
      </c>
      <c r="I2911">
        <v>0.5</v>
      </c>
      <c r="J2911">
        <v>1</v>
      </c>
      <c r="K2911" t="s">
        <v>122</v>
      </c>
      <c r="L2911" t="s">
        <v>141</v>
      </c>
      <c r="M2911" t="s">
        <v>142</v>
      </c>
      <c r="N2911" t="s">
        <v>107</v>
      </c>
      <c r="O2911" t="s">
        <v>97</v>
      </c>
    </row>
    <row r="2912" spans="1:15" x14ac:dyDescent="0.2">
      <c r="A2912">
        <v>44</v>
      </c>
      <c r="B2912">
        <v>45</v>
      </c>
      <c r="C2912">
        <v>44</v>
      </c>
      <c r="D2912">
        <v>43</v>
      </c>
      <c r="E2912" t="s">
        <v>30</v>
      </c>
      <c r="F2912" t="s">
        <v>38</v>
      </c>
      <c r="G2912">
        <v>20</v>
      </c>
      <c r="H2912" t="s">
        <v>143</v>
      </c>
      <c r="I2912">
        <v>1</v>
      </c>
      <c r="J2912">
        <v>1</v>
      </c>
      <c r="K2912" t="s">
        <v>122</v>
      </c>
      <c r="L2912" t="s">
        <v>144</v>
      </c>
      <c r="M2912" t="s">
        <v>145</v>
      </c>
      <c r="N2912" t="s">
        <v>107</v>
      </c>
      <c r="O2912" t="s">
        <v>97</v>
      </c>
    </row>
    <row r="2913" spans="1:15" x14ac:dyDescent="0.2">
      <c r="A2913">
        <v>44</v>
      </c>
      <c r="B2913">
        <v>45</v>
      </c>
      <c r="C2913">
        <v>44</v>
      </c>
      <c r="D2913">
        <v>43</v>
      </c>
      <c r="E2913" t="s">
        <v>30</v>
      </c>
      <c r="F2913" t="s">
        <v>38</v>
      </c>
      <c r="G2913">
        <v>21</v>
      </c>
      <c r="H2913" t="s">
        <v>146</v>
      </c>
      <c r="I2913">
        <v>1</v>
      </c>
      <c r="J2913">
        <v>1</v>
      </c>
      <c r="K2913" t="s">
        <v>147</v>
      </c>
      <c r="L2913" t="s">
        <v>148</v>
      </c>
      <c r="M2913" t="s">
        <v>149</v>
      </c>
      <c r="N2913" t="s">
        <v>96</v>
      </c>
      <c r="O2913" t="s">
        <v>97</v>
      </c>
    </row>
    <row r="2914" spans="1:15" x14ac:dyDescent="0.2">
      <c r="A2914">
        <v>44</v>
      </c>
      <c r="B2914">
        <v>45</v>
      </c>
      <c r="C2914">
        <v>44</v>
      </c>
      <c r="D2914">
        <v>43</v>
      </c>
      <c r="E2914" t="s">
        <v>30</v>
      </c>
      <c r="F2914" t="s">
        <v>38</v>
      </c>
      <c r="G2914">
        <v>22</v>
      </c>
      <c r="H2914" t="s">
        <v>150</v>
      </c>
      <c r="I2914">
        <v>1</v>
      </c>
      <c r="J2914">
        <v>1</v>
      </c>
      <c r="K2914" t="s">
        <v>147</v>
      </c>
      <c r="L2914" t="s">
        <v>151</v>
      </c>
      <c r="M2914" t="s">
        <v>149</v>
      </c>
      <c r="N2914" t="s">
        <v>107</v>
      </c>
      <c r="O2914" t="s">
        <v>97</v>
      </c>
    </row>
    <row r="2915" spans="1:15" x14ac:dyDescent="0.2">
      <c r="A2915">
        <v>44</v>
      </c>
      <c r="B2915">
        <v>45</v>
      </c>
      <c r="C2915">
        <v>44</v>
      </c>
      <c r="D2915">
        <v>43</v>
      </c>
      <c r="E2915" t="s">
        <v>30</v>
      </c>
      <c r="F2915" t="s">
        <v>38</v>
      </c>
      <c r="G2915">
        <v>23</v>
      </c>
      <c r="H2915" t="s">
        <v>152</v>
      </c>
      <c r="I2915">
        <v>0</v>
      </c>
      <c r="J2915">
        <v>0</v>
      </c>
      <c r="K2915" t="s">
        <v>153</v>
      </c>
      <c r="L2915" t="s">
        <v>154</v>
      </c>
      <c r="M2915" t="s">
        <v>155</v>
      </c>
      <c r="N2915" t="s">
        <v>107</v>
      </c>
      <c r="O2915" t="s">
        <v>97</v>
      </c>
    </row>
    <row r="2916" spans="1:15" x14ac:dyDescent="0.2">
      <c r="A2916">
        <v>44</v>
      </c>
      <c r="B2916">
        <v>45</v>
      </c>
      <c r="C2916">
        <v>44</v>
      </c>
      <c r="D2916">
        <v>43</v>
      </c>
      <c r="E2916" t="s">
        <v>30</v>
      </c>
      <c r="F2916" t="s">
        <v>38</v>
      </c>
      <c r="G2916">
        <v>24</v>
      </c>
      <c r="H2916" t="s">
        <v>156</v>
      </c>
      <c r="I2916">
        <v>0.5</v>
      </c>
      <c r="J2916">
        <v>0.5</v>
      </c>
      <c r="K2916" t="s">
        <v>122</v>
      </c>
      <c r="L2916" t="s">
        <v>157</v>
      </c>
      <c r="M2916" t="s">
        <v>158</v>
      </c>
      <c r="N2916" t="s">
        <v>107</v>
      </c>
      <c r="O2916" t="s">
        <v>97</v>
      </c>
    </row>
    <row r="2917" spans="1:15" x14ac:dyDescent="0.2">
      <c r="A2917">
        <v>44</v>
      </c>
      <c r="B2917">
        <v>45</v>
      </c>
      <c r="C2917">
        <v>44</v>
      </c>
      <c r="D2917">
        <v>43</v>
      </c>
      <c r="E2917" t="s">
        <v>30</v>
      </c>
      <c r="F2917" t="s">
        <v>38</v>
      </c>
      <c r="G2917">
        <v>25</v>
      </c>
      <c r="H2917" t="s">
        <v>156</v>
      </c>
      <c r="I2917">
        <v>0.5</v>
      </c>
      <c r="J2917">
        <v>0.5</v>
      </c>
      <c r="K2917" t="s">
        <v>122</v>
      </c>
      <c r="L2917" t="s">
        <v>157</v>
      </c>
      <c r="M2917" t="s">
        <v>158</v>
      </c>
      <c r="N2917" t="s">
        <v>107</v>
      </c>
      <c r="O2917" t="s">
        <v>97</v>
      </c>
    </row>
    <row r="2918" spans="1:15" x14ac:dyDescent="0.2">
      <c r="A2918">
        <v>44</v>
      </c>
      <c r="B2918">
        <v>45</v>
      </c>
      <c r="C2918">
        <v>44</v>
      </c>
      <c r="D2918">
        <v>43</v>
      </c>
      <c r="E2918" t="s">
        <v>30</v>
      </c>
      <c r="F2918" t="s">
        <v>38</v>
      </c>
      <c r="G2918">
        <v>26</v>
      </c>
      <c r="H2918" t="s">
        <v>152</v>
      </c>
      <c r="I2918">
        <v>0</v>
      </c>
      <c r="J2918">
        <v>0</v>
      </c>
      <c r="K2918" t="s">
        <v>153</v>
      </c>
      <c r="L2918" t="s">
        <v>154</v>
      </c>
      <c r="M2918" t="s">
        <v>155</v>
      </c>
      <c r="N2918" t="s">
        <v>107</v>
      </c>
      <c r="O2918" t="s">
        <v>97</v>
      </c>
    </row>
    <row r="2919" spans="1:15" x14ac:dyDescent="0.2">
      <c r="A2919">
        <v>44</v>
      </c>
      <c r="B2919">
        <v>45</v>
      </c>
      <c r="C2919">
        <v>44</v>
      </c>
      <c r="D2919">
        <v>43</v>
      </c>
      <c r="E2919" t="s">
        <v>30</v>
      </c>
      <c r="F2919" t="s">
        <v>38</v>
      </c>
      <c r="G2919">
        <v>27</v>
      </c>
      <c r="H2919" t="s">
        <v>159</v>
      </c>
      <c r="I2919">
        <v>0.5</v>
      </c>
      <c r="J2919">
        <v>0.5</v>
      </c>
      <c r="K2919" t="s">
        <v>122</v>
      </c>
      <c r="L2919" t="s">
        <v>160</v>
      </c>
      <c r="M2919" t="s">
        <v>161</v>
      </c>
      <c r="N2919" t="s">
        <v>107</v>
      </c>
      <c r="O2919" t="s">
        <v>97</v>
      </c>
    </row>
    <row r="2920" spans="1:15" x14ac:dyDescent="0.2">
      <c r="A2920">
        <v>44</v>
      </c>
      <c r="B2920">
        <v>45</v>
      </c>
      <c r="C2920">
        <v>44</v>
      </c>
      <c r="D2920">
        <v>43</v>
      </c>
      <c r="E2920" t="s">
        <v>30</v>
      </c>
      <c r="F2920" t="s">
        <v>38</v>
      </c>
      <c r="G2920">
        <v>28</v>
      </c>
      <c r="H2920" t="s">
        <v>159</v>
      </c>
      <c r="I2920">
        <v>0.5</v>
      </c>
      <c r="J2920">
        <v>0.5</v>
      </c>
      <c r="K2920" t="s">
        <v>122</v>
      </c>
      <c r="L2920" t="s">
        <v>160</v>
      </c>
      <c r="M2920" t="s">
        <v>161</v>
      </c>
      <c r="N2920" t="s">
        <v>107</v>
      </c>
      <c r="O2920" t="s">
        <v>97</v>
      </c>
    </row>
    <row r="2921" spans="1:15" x14ac:dyDescent="0.2">
      <c r="A2921">
        <v>44</v>
      </c>
      <c r="B2921">
        <v>45</v>
      </c>
      <c r="C2921">
        <v>44</v>
      </c>
      <c r="D2921">
        <v>43</v>
      </c>
      <c r="E2921" t="s">
        <v>30</v>
      </c>
      <c r="F2921" t="s">
        <v>38</v>
      </c>
      <c r="G2921">
        <v>29</v>
      </c>
      <c r="H2921" t="s">
        <v>152</v>
      </c>
      <c r="I2921">
        <v>0</v>
      </c>
      <c r="J2921">
        <v>0</v>
      </c>
      <c r="K2921" t="s">
        <v>153</v>
      </c>
      <c r="L2921" t="s">
        <v>154</v>
      </c>
      <c r="M2921" t="s">
        <v>155</v>
      </c>
      <c r="N2921" t="s">
        <v>107</v>
      </c>
      <c r="O2921" t="s">
        <v>97</v>
      </c>
    </row>
    <row r="2922" spans="1:15" x14ac:dyDescent="0.2">
      <c r="A2922">
        <v>44</v>
      </c>
      <c r="B2922">
        <v>45</v>
      </c>
      <c r="C2922">
        <v>44</v>
      </c>
      <c r="D2922">
        <v>43</v>
      </c>
      <c r="E2922" t="s">
        <v>30</v>
      </c>
      <c r="F2922" t="s">
        <v>38</v>
      </c>
      <c r="G2922">
        <v>30</v>
      </c>
      <c r="H2922" t="s">
        <v>162</v>
      </c>
      <c r="I2922">
        <v>1</v>
      </c>
      <c r="J2922">
        <v>1</v>
      </c>
      <c r="K2922" t="s">
        <v>112</v>
      </c>
      <c r="L2922" t="s">
        <v>163</v>
      </c>
      <c r="M2922" t="s">
        <v>164</v>
      </c>
      <c r="N2922" t="s">
        <v>107</v>
      </c>
      <c r="O2922" t="s">
        <v>97</v>
      </c>
    </row>
    <row r="2923" spans="1:15" x14ac:dyDescent="0.2">
      <c r="A2923">
        <v>44</v>
      </c>
      <c r="B2923">
        <v>45</v>
      </c>
      <c r="C2923">
        <v>44</v>
      </c>
      <c r="D2923">
        <v>43</v>
      </c>
      <c r="E2923" t="s">
        <v>30</v>
      </c>
      <c r="F2923" t="s">
        <v>38</v>
      </c>
      <c r="G2923">
        <v>31</v>
      </c>
      <c r="H2923" t="s">
        <v>162</v>
      </c>
      <c r="I2923">
        <v>0</v>
      </c>
      <c r="J2923">
        <v>0</v>
      </c>
      <c r="K2923" t="s">
        <v>112</v>
      </c>
      <c r="L2923" t="s">
        <v>163</v>
      </c>
      <c r="M2923" t="s">
        <v>164</v>
      </c>
      <c r="N2923" t="s">
        <v>107</v>
      </c>
      <c r="O2923" t="s">
        <v>97</v>
      </c>
    </row>
    <row r="2924" spans="1:15" x14ac:dyDescent="0.2">
      <c r="A2924">
        <v>44</v>
      </c>
      <c r="B2924">
        <v>45</v>
      </c>
      <c r="C2924">
        <v>44</v>
      </c>
      <c r="D2924">
        <v>43</v>
      </c>
      <c r="E2924" t="s">
        <v>30</v>
      </c>
      <c r="F2924" t="s">
        <v>38</v>
      </c>
      <c r="G2924">
        <v>32</v>
      </c>
      <c r="H2924" t="s">
        <v>162</v>
      </c>
      <c r="I2924">
        <v>0</v>
      </c>
      <c r="J2924">
        <v>0</v>
      </c>
      <c r="K2924" t="s">
        <v>112</v>
      </c>
      <c r="L2924" t="s">
        <v>163</v>
      </c>
      <c r="M2924" t="s">
        <v>164</v>
      </c>
      <c r="N2924" t="s">
        <v>107</v>
      </c>
      <c r="O2924" t="s">
        <v>97</v>
      </c>
    </row>
    <row r="2925" spans="1:15" x14ac:dyDescent="0.2">
      <c r="A2925">
        <v>44</v>
      </c>
      <c r="B2925">
        <v>45</v>
      </c>
      <c r="C2925">
        <v>44</v>
      </c>
      <c r="D2925">
        <v>43</v>
      </c>
      <c r="E2925" t="s">
        <v>30</v>
      </c>
      <c r="F2925" t="s">
        <v>38</v>
      </c>
      <c r="G2925">
        <v>33</v>
      </c>
      <c r="H2925" t="s">
        <v>152</v>
      </c>
      <c r="I2925">
        <v>1</v>
      </c>
      <c r="J2925">
        <v>1</v>
      </c>
      <c r="K2925" t="s">
        <v>153</v>
      </c>
      <c r="L2925" t="s">
        <v>154</v>
      </c>
      <c r="M2925" t="s">
        <v>155</v>
      </c>
      <c r="N2925" t="s">
        <v>107</v>
      </c>
      <c r="O2925" t="s">
        <v>97</v>
      </c>
    </row>
    <row r="2926" spans="1:15" x14ac:dyDescent="0.2">
      <c r="A2926">
        <v>44</v>
      </c>
      <c r="B2926">
        <v>45</v>
      </c>
      <c r="C2926">
        <v>44</v>
      </c>
      <c r="D2926">
        <v>43</v>
      </c>
      <c r="E2926" t="s">
        <v>30</v>
      </c>
      <c r="F2926" t="s">
        <v>38</v>
      </c>
      <c r="G2926">
        <v>34</v>
      </c>
      <c r="H2926" t="s">
        <v>152</v>
      </c>
      <c r="I2926">
        <v>0</v>
      </c>
      <c r="J2926">
        <v>0</v>
      </c>
      <c r="K2926" t="s">
        <v>153</v>
      </c>
      <c r="L2926" t="s">
        <v>154</v>
      </c>
      <c r="M2926" t="s">
        <v>155</v>
      </c>
      <c r="N2926" t="s">
        <v>107</v>
      </c>
      <c r="O2926" t="s">
        <v>97</v>
      </c>
    </row>
    <row r="2927" spans="1:15" x14ac:dyDescent="0.2">
      <c r="A2927">
        <v>44</v>
      </c>
      <c r="B2927">
        <v>45</v>
      </c>
      <c r="C2927">
        <v>44</v>
      </c>
      <c r="D2927">
        <v>43</v>
      </c>
      <c r="E2927" t="s">
        <v>30</v>
      </c>
      <c r="F2927" t="s">
        <v>38</v>
      </c>
      <c r="G2927">
        <v>35</v>
      </c>
      <c r="H2927" t="s">
        <v>165</v>
      </c>
      <c r="I2927">
        <v>1</v>
      </c>
      <c r="J2927">
        <v>1</v>
      </c>
      <c r="K2927" t="s">
        <v>166</v>
      </c>
      <c r="L2927" t="s">
        <v>167</v>
      </c>
      <c r="M2927" t="s">
        <v>168</v>
      </c>
      <c r="N2927" t="s">
        <v>107</v>
      </c>
      <c r="O2927" t="s">
        <v>97</v>
      </c>
    </row>
    <row r="2928" spans="1:15" x14ac:dyDescent="0.2">
      <c r="A2928">
        <v>44</v>
      </c>
      <c r="B2928">
        <v>45</v>
      </c>
      <c r="C2928">
        <v>44</v>
      </c>
      <c r="D2928">
        <v>43</v>
      </c>
      <c r="E2928" t="s">
        <v>30</v>
      </c>
      <c r="F2928" t="s">
        <v>38</v>
      </c>
      <c r="G2928">
        <v>36</v>
      </c>
      <c r="H2928" t="s">
        <v>169</v>
      </c>
      <c r="I2928">
        <v>0</v>
      </c>
      <c r="J2928">
        <v>0</v>
      </c>
      <c r="K2928" t="e">
        <v>#N/A</v>
      </c>
      <c r="L2928" t="e">
        <v>#N/A</v>
      </c>
      <c r="M2928" t="e">
        <v>#N/A</v>
      </c>
      <c r="N2928" t="e">
        <v>#N/A</v>
      </c>
      <c r="O2928" t="s">
        <v>97</v>
      </c>
    </row>
    <row r="2929" spans="1:15" x14ac:dyDescent="0.2">
      <c r="A2929">
        <v>44</v>
      </c>
      <c r="B2929">
        <v>45</v>
      </c>
      <c r="C2929">
        <v>44</v>
      </c>
      <c r="D2929">
        <v>43</v>
      </c>
      <c r="E2929" t="s">
        <v>30</v>
      </c>
      <c r="F2929" t="s">
        <v>38</v>
      </c>
      <c r="G2929">
        <v>38</v>
      </c>
      <c r="H2929" t="s">
        <v>170</v>
      </c>
      <c r="I2929">
        <v>0.5</v>
      </c>
      <c r="J2929">
        <v>0.5</v>
      </c>
      <c r="K2929" t="s">
        <v>112</v>
      </c>
      <c r="L2929" t="s">
        <v>171</v>
      </c>
      <c r="M2929" t="s">
        <v>172</v>
      </c>
      <c r="N2929" t="s">
        <v>96</v>
      </c>
      <c r="O2929" t="s">
        <v>97</v>
      </c>
    </row>
    <row r="2930" spans="1:15" x14ac:dyDescent="0.2">
      <c r="A2930">
        <v>44</v>
      </c>
      <c r="B2930">
        <v>45</v>
      </c>
      <c r="C2930">
        <v>44</v>
      </c>
      <c r="D2930">
        <v>43</v>
      </c>
      <c r="E2930" t="s">
        <v>30</v>
      </c>
      <c r="F2930" t="s">
        <v>38</v>
      </c>
      <c r="G2930">
        <v>39</v>
      </c>
      <c r="H2930" t="s">
        <v>170</v>
      </c>
      <c r="I2930">
        <v>0</v>
      </c>
      <c r="J2930">
        <v>0.5</v>
      </c>
      <c r="K2930" t="s">
        <v>112</v>
      </c>
      <c r="L2930" t="s">
        <v>171</v>
      </c>
      <c r="M2930" t="s">
        <v>172</v>
      </c>
      <c r="N2930" t="s">
        <v>96</v>
      </c>
      <c r="O2930" t="s">
        <v>97</v>
      </c>
    </row>
    <row r="2931" spans="1:15" x14ac:dyDescent="0.2">
      <c r="A2931">
        <v>44</v>
      </c>
      <c r="B2931">
        <v>45</v>
      </c>
      <c r="C2931">
        <v>44</v>
      </c>
      <c r="D2931">
        <v>43</v>
      </c>
      <c r="E2931" t="s">
        <v>30</v>
      </c>
      <c r="F2931" t="s">
        <v>38</v>
      </c>
      <c r="G2931">
        <v>40</v>
      </c>
      <c r="H2931" t="s">
        <v>170</v>
      </c>
      <c r="I2931">
        <v>0.5</v>
      </c>
      <c r="J2931">
        <v>0.5</v>
      </c>
      <c r="K2931" t="s">
        <v>112</v>
      </c>
      <c r="L2931" t="s">
        <v>171</v>
      </c>
      <c r="M2931" t="s">
        <v>172</v>
      </c>
      <c r="N2931" t="s">
        <v>96</v>
      </c>
      <c r="O2931" t="s">
        <v>97</v>
      </c>
    </row>
    <row r="2932" spans="1:15" x14ac:dyDescent="0.2">
      <c r="A2932">
        <v>44</v>
      </c>
      <c r="B2932">
        <v>45</v>
      </c>
      <c r="C2932">
        <v>44</v>
      </c>
      <c r="D2932">
        <v>43</v>
      </c>
      <c r="E2932" t="s">
        <v>30</v>
      </c>
      <c r="F2932" t="s">
        <v>38</v>
      </c>
      <c r="G2932">
        <v>41</v>
      </c>
      <c r="H2932" t="s">
        <v>173</v>
      </c>
      <c r="I2932">
        <v>0.5</v>
      </c>
      <c r="J2932">
        <v>1</v>
      </c>
      <c r="K2932" t="s">
        <v>166</v>
      </c>
      <c r="L2932" t="s">
        <v>174</v>
      </c>
      <c r="M2932" t="s">
        <v>175</v>
      </c>
      <c r="N2932" t="s">
        <v>107</v>
      </c>
      <c r="O2932" t="s">
        <v>97</v>
      </c>
    </row>
    <row r="2933" spans="1:15" x14ac:dyDescent="0.2">
      <c r="A2933">
        <v>44</v>
      </c>
      <c r="B2933">
        <v>45</v>
      </c>
      <c r="C2933">
        <v>44</v>
      </c>
      <c r="D2933">
        <v>43</v>
      </c>
      <c r="E2933" t="s">
        <v>30</v>
      </c>
      <c r="F2933" t="s">
        <v>38</v>
      </c>
      <c r="G2933">
        <v>42</v>
      </c>
      <c r="H2933" t="s">
        <v>176</v>
      </c>
      <c r="I2933">
        <v>0.5</v>
      </c>
      <c r="J2933">
        <v>1</v>
      </c>
      <c r="K2933" t="s">
        <v>153</v>
      </c>
      <c r="L2933" t="s">
        <v>177</v>
      </c>
      <c r="M2933" t="s">
        <v>178</v>
      </c>
      <c r="N2933" t="s">
        <v>107</v>
      </c>
      <c r="O2933" t="s">
        <v>97</v>
      </c>
    </row>
    <row r="2934" spans="1:15" x14ac:dyDescent="0.2">
      <c r="A2934">
        <v>44</v>
      </c>
      <c r="B2934">
        <v>45</v>
      </c>
      <c r="C2934">
        <v>44</v>
      </c>
      <c r="D2934">
        <v>43</v>
      </c>
      <c r="E2934" t="s">
        <v>30</v>
      </c>
      <c r="F2934" t="s">
        <v>38</v>
      </c>
      <c r="G2934">
        <v>43</v>
      </c>
      <c r="H2934" t="s">
        <v>179</v>
      </c>
      <c r="I2934">
        <v>0</v>
      </c>
      <c r="J2934">
        <v>0</v>
      </c>
      <c r="K2934" t="s">
        <v>166</v>
      </c>
      <c r="L2934" t="s">
        <v>180</v>
      </c>
      <c r="M2934" t="s">
        <v>181</v>
      </c>
      <c r="N2934" t="s">
        <v>107</v>
      </c>
      <c r="O2934" t="s">
        <v>97</v>
      </c>
    </row>
    <row r="2935" spans="1:15" x14ac:dyDescent="0.2">
      <c r="A2935">
        <v>44</v>
      </c>
      <c r="B2935">
        <v>45</v>
      </c>
      <c r="C2935">
        <v>44</v>
      </c>
      <c r="D2935">
        <v>43</v>
      </c>
      <c r="E2935" t="s">
        <v>30</v>
      </c>
      <c r="F2935" t="s">
        <v>38</v>
      </c>
      <c r="G2935">
        <v>44</v>
      </c>
      <c r="H2935" t="s">
        <v>182</v>
      </c>
      <c r="I2935">
        <v>1</v>
      </c>
      <c r="J2935">
        <v>1</v>
      </c>
      <c r="K2935" t="s">
        <v>166</v>
      </c>
      <c r="L2935" t="s">
        <v>183</v>
      </c>
      <c r="M2935" t="s">
        <v>184</v>
      </c>
      <c r="N2935" t="s">
        <v>107</v>
      </c>
      <c r="O2935" t="s">
        <v>97</v>
      </c>
    </row>
    <row r="2936" spans="1:15" x14ac:dyDescent="0.2">
      <c r="A2936">
        <v>44</v>
      </c>
      <c r="B2936">
        <v>45</v>
      </c>
      <c r="C2936">
        <v>44</v>
      </c>
      <c r="D2936">
        <v>43</v>
      </c>
      <c r="E2936" t="s">
        <v>30</v>
      </c>
      <c r="F2936" t="s">
        <v>38</v>
      </c>
      <c r="G2936">
        <v>45</v>
      </c>
      <c r="H2936" t="s">
        <v>185</v>
      </c>
      <c r="I2936">
        <v>1</v>
      </c>
      <c r="J2936">
        <v>1</v>
      </c>
      <c r="K2936" t="s">
        <v>166</v>
      </c>
      <c r="L2936" t="s">
        <v>186</v>
      </c>
      <c r="M2936" t="s">
        <v>139</v>
      </c>
      <c r="N2936" t="s">
        <v>107</v>
      </c>
      <c r="O2936" t="s">
        <v>97</v>
      </c>
    </row>
    <row r="2937" spans="1:15" x14ac:dyDescent="0.2">
      <c r="A2937">
        <v>44</v>
      </c>
      <c r="B2937">
        <v>45</v>
      </c>
      <c r="C2937">
        <v>44</v>
      </c>
      <c r="D2937">
        <v>43</v>
      </c>
      <c r="E2937" t="s">
        <v>30</v>
      </c>
      <c r="F2937" t="s">
        <v>38</v>
      </c>
      <c r="G2937">
        <v>47</v>
      </c>
      <c r="H2937" t="s">
        <v>187</v>
      </c>
      <c r="I2937">
        <v>0</v>
      </c>
      <c r="J2937">
        <v>0.2</v>
      </c>
      <c r="K2937" t="s">
        <v>93</v>
      </c>
      <c r="L2937" t="s">
        <v>188</v>
      </c>
      <c r="M2937" t="s">
        <v>95</v>
      </c>
      <c r="N2937" t="s">
        <v>96</v>
      </c>
      <c r="O2937" t="s">
        <v>97</v>
      </c>
    </row>
    <row r="2938" spans="1:15" x14ac:dyDescent="0.2">
      <c r="A2938">
        <v>44</v>
      </c>
      <c r="B2938">
        <v>45</v>
      </c>
      <c r="C2938">
        <v>44</v>
      </c>
      <c r="D2938">
        <v>43</v>
      </c>
      <c r="E2938" t="s">
        <v>30</v>
      </c>
      <c r="F2938" t="s">
        <v>38</v>
      </c>
      <c r="G2938">
        <v>48</v>
      </c>
      <c r="H2938" t="s">
        <v>189</v>
      </c>
      <c r="I2938">
        <v>0.2</v>
      </c>
      <c r="J2938">
        <v>0.2</v>
      </c>
      <c r="K2938" t="s">
        <v>93</v>
      </c>
      <c r="L2938" t="s">
        <v>190</v>
      </c>
      <c r="M2938" t="s">
        <v>95</v>
      </c>
      <c r="N2938" t="s">
        <v>96</v>
      </c>
      <c r="O2938" t="s">
        <v>97</v>
      </c>
    </row>
    <row r="2939" spans="1:15" x14ac:dyDescent="0.2">
      <c r="A2939">
        <v>44</v>
      </c>
      <c r="B2939">
        <v>45</v>
      </c>
      <c r="C2939">
        <v>44</v>
      </c>
      <c r="D2939">
        <v>43</v>
      </c>
      <c r="E2939" t="s">
        <v>30</v>
      </c>
      <c r="F2939" t="s">
        <v>38</v>
      </c>
      <c r="G2939">
        <v>49</v>
      </c>
      <c r="H2939" t="s">
        <v>191</v>
      </c>
      <c r="I2939">
        <v>0</v>
      </c>
      <c r="J2939">
        <v>0.2</v>
      </c>
      <c r="K2939" t="s">
        <v>93</v>
      </c>
      <c r="L2939" t="s">
        <v>192</v>
      </c>
      <c r="M2939" t="s">
        <v>95</v>
      </c>
      <c r="N2939" t="s">
        <v>96</v>
      </c>
      <c r="O2939" t="s">
        <v>97</v>
      </c>
    </row>
    <row r="2940" spans="1:15" x14ac:dyDescent="0.2">
      <c r="A2940">
        <v>44</v>
      </c>
      <c r="B2940">
        <v>45</v>
      </c>
      <c r="C2940">
        <v>44</v>
      </c>
      <c r="D2940">
        <v>43</v>
      </c>
      <c r="E2940" t="s">
        <v>30</v>
      </c>
      <c r="F2940" t="s">
        <v>38</v>
      </c>
      <c r="G2940">
        <v>50</v>
      </c>
      <c r="H2940" t="s">
        <v>193</v>
      </c>
      <c r="I2940">
        <v>0.1</v>
      </c>
      <c r="J2940">
        <v>0.1</v>
      </c>
      <c r="K2940" t="s">
        <v>93</v>
      </c>
      <c r="L2940" t="s">
        <v>194</v>
      </c>
      <c r="M2940" t="s">
        <v>95</v>
      </c>
      <c r="N2940" t="s">
        <v>96</v>
      </c>
      <c r="O2940" t="s">
        <v>97</v>
      </c>
    </row>
    <row r="2941" spans="1:15" x14ac:dyDescent="0.2">
      <c r="A2941">
        <v>44</v>
      </c>
      <c r="B2941">
        <v>45</v>
      </c>
      <c r="C2941">
        <v>44</v>
      </c>
      <c r="D2941">
        <v>43</v>
      </c>
      <c r="E2941" t="s">
        <v>30</v>
      </c>
      <c r="F2941" t="s">
        <v>38</v>
      </c>
      <c r="G2941">
        <v>51</v>
      </c>
      <c r="H2941" t="s">
        <v>193</v>
      </c>
      <c r="I2941">
        <v>0.1</v>
      </c>
      <c r="J2941">
        <v>0.1</v>
      </c>
      <c r="K2941" t="s">
        <v>93</v>
      </c>
      <c r="L2941" t="s">
        <v>194</v>
      </c>
      <c r="M2941" t="s">
        <v>95</v>
      </c>
      <c r="N2941" t="s">
        <v>96</v>
      </c>
      <c r="O2941" t="s">
        <v>97</v>
      </c>
    </row>
    <row r="2942" spans="1:15" x14ac:dyDescent="0.2">
      <c r="A2942">
        <v>44</v>
      </c>
      <c r="B2942">
        <v>45</v>
      </c>
      <c r="C2942">
        <v>44</v>
      </c>
      <c r="D2942">
        <v>43</v>
      </c>
      <c r="E2942" t="s">
        <v>30</v>
      </c>
      <c r="F2942" t="s">
        <v>38</v>
      </c>
      <c r="G2942">
        <v>97</v>
      </c>
      <c r="H2942" t="s">
        <v>152</v>
      </c>
      <c r="I2942">
        <v>0.25</v>
      </c>
      <c r="J2942">
        <v>0.25</v>
      </c>
      <c r="K2942" t="s">
        <v>153</v>
      </c>
      <c r="L2942" t="s">
        <v>154</v>
      </c>
      <c r="M2942" t="s">
        <v>155</v>
      </c>
      <c r="N2942" t="s">
        <v>107</v>
      </c>
      <c r="O2942" t="s">
        <v>97</v>
      </c>
    </row>
    <row r="2943" spans="1:15" x14ac:dyDescent="0.2">
      <c r="A2943">
        <v>44</v>
      </c>
      <c r="B2943">
        <v>45</v>
      </c>
      <c r="C2943">
        <v>44</v>
      </c>
      <c r="D2943">
        <v>43</v>
      </c>
      <c r="E2943" t="s">
        <v>30</v>
      </c>
      <c r="F2943" t="s">
        <v>38</v>
      </c>
      <c r="G2943">
        <v>96</v>
      </c>
      <c r="H2943" t="s">
        <v>152</v>
      </c>
      <c r="I2943">
        <v>0</v>
      </c>
      <c r="J2943">
        <v>0</v>
      </c>
      <c r="K2943" t="s">
        <v>153</v>
      </c>
      <c r="L2943" t="s">
        <v>154</v>
      </c>
      <c r="M2943" t="s">
        <v>155</v>
      </c>
      <c r="N2943" t="s">
        <v>107</v>
      </c>
      <c r="O2943" t="s">
        <v>97</v>
      </c>
    </row>
    <row r="2944" spans="1:15" x14ac:dyDescent="0.2">
      <c r="A2944">
        <v>44</v>
      </c>
      <c r="B2944">
        <v>45</v>
      </c>
      <c r="C2944">
        <v>44</v>
      </c>
      <c r="D2944">
        <v>43</v>
      </c>
      <c r="E2944" t="s">
        <v>30</v>
      </c>
      <c r="F2944" t="s">
        <v>38</v>
      </c>
      <c r="G2944">
        <v>99</v>
      </c>
      <c r="H2944" t="s">
        <v>152</v>
      </c>
      <c r="I2944">
        <v>0</v>
      </c>
      <c r="J2944">
        <v>0</v>
      </c>
      <c r="K2944" t="s">
        <v>153</v>
      </c>
      <c r="L2944" t="s">
        <v>154</v>
      </c>
      <c r="M2944" t="s">
        <v>155</v>
      </c>
      <c r="N2944" t="s">
        <v>107</v>
      </c>
      <c r="O2944" t="s">
        <v>97</v>
      </c>
    </row>
    <row r="2945" spans="1:15" x14ac:dyDescent="0.2">
      <c r="A2945">
        <v>44</v>
      </c>
      <c r="B2945">
        <v>45</v>
      </c>
      <c r="C2945">
        <v>44</v>
      </c>
      <c r="D2945">
        <v>43</v>
      </c>
      <c r="E2945" t="s">
        <v>30</v>
      </c>
      <c r="F2945" t="s">
        <v>38</v>
      </c>
      <c r="G2945">
        <v>98</v>
      </c>
      <c r="H2945" t="s">
        <v>204</v>
      </c>
      <c r="I2945">
        <v>0</v>
      </c>
      <c r="J2945">
        <v>1</v>
      </c>
      <c r="K2945" t="s">
        <v>122</v>
      </c>
      <c r="L2945" t="s">
        <v>205</v>
      </c>
      <c r="M2945" t="s">
        <v>206</v>
      </c>
      <c r="N2945" t="s">
        <v>207</v>
      </c>
      <c r="O2945" t="s">
        <v>97</v>
      </c>
    </row>
    <row r="2946" spans="1:15" x14ac:dyDescent="0.2">
      <c r="A2946">
        <v>405</v>
      </c>
      <c r="B2946">
        <v>406</v>
      </c>
      <c r="C2946">
        <v>405</v>
      </c>
      <c r="D2946">
        <v>404</v>
      </c>
      <c r="E2946" t="s">
        <v>57</v>
      </c>
      <c r="F2946" t="s">
        <v>77</v>
      </c>
      <c r="G2946">
        <v>53</v>
      </c>
      <c r="H2946" t="s">
        <v>201</v>
      </c>
      <c r="I2946">
        <v>0</v>
      </c>
      <c r="J2946">
        <v>0</v>
      </c>
      <c r="K2946" t="e">
        <v>#N/A</v>
      </c>
      <c r="L2946" t="e">
        <v>#N/A</v>
      </c>
      <c r="M2946" t="e">
        <v>#N/A</v>
      </c>
      <c r="N2946" t="e">
        <v>#N/A</v>
      </c>
      <c r="O2946" t="s">
        <v>97</v>
      </c>
    </row>
    <row r="2947" spans="1:15" x14ac:dyDescent="0.2">
      <c r="A2947">
        <v>390</v>
      </c>
      <c r="B2947">
        <v>391</v>
      </c>
      <c r="C2947">
        <v>390</v>
      </c>
      <c r="D2947">
        <v>389</v>
      </c>
      <c r="E2947" t="s">
        <v>57</v>
      </c>
      <c r="F2947" t="s">
        <v>76</v>
      </c>
      <c r="G2947">
        <v>53</v>
      </c>
      <c r="H2947" t="s">
        <v>201</v>
      </c>
      <c r="I2947">
        <v>0</v>
      </c>
      <c r="J2947" t="s">
        <v>277</v>
      </c>
      <c r="K2947" t="e">
        <v>#N/A</v>
      </c>
      <c r="L2947" t="e">
        <v>#N/A</v>
      </c>
      <c r="M2947" t="e">
        <v>#N/A</v>
      </c>
      <c r="N2947" t="e">
        <v>#N/A</v>
      </c>
      <c r="O2947" t="s">
        <v>97</v>
      </c>
    </row>
    <row r="2948" spans="1:15" x14ac:dyDescent="0.2">
      <c r="A2948">
        <v>380</v>
      </c>
      <c r="B2948">
        <v>381</v>
      </c>
      <c r="C2948">
        <v>380</v>
      </c>
      <c r="D2948">
        <v>379</v>
      </c>
      <c r="E2948" t="s">
        <v>57</v>
      </c>
      <c r="F2948" t="s">
        <v>75</v>
      </c>
      <c r="G2948">
        <v>53</v>
      </c>
      <c r="H2948" t="s">
        <v>201</v>
      </c>
      <c r="I2948">
        <v>0</v>
      </c>
      <c r="J2948" t="s">
        <v>278</v>
      </c>
      <c r="K2948" t="e">
        <v>#N/A</v>
      </c>
      <c r="L2948" t="e">
        <v>#N/A</v>
      </c>
      <c r="M2948" t="e">
        <v>#N/A</v>
      </c>
      <c r="N2948" t="e">
        <v>#N/A</v>
      </c>
      <c r="O2948" t="s">
        <v>97</v>
      </c>
    </row>
    <row r="2949" spans="1:15" x14ac:dyDescent="0.2">
      <c r="A2949">
        <v>375</v>
      </c>
      <c r="B2949">
        <v>376</v>
      </c>
      <c r="C2949">
        <v>375</v>
      </c>
      <c r="D2949">
        <v>374</v>
      </c>
      <c r="E2949" t="s">
        <v>57</v>
      </c>
      <c r="F2949" t="s">
        <v>74</v>
      </c>
      <c r="G2949">
        <v>53</v>
      </c>
      <c r="H2949" t="s">
        <v>201</v>
      </c>
      <c r="I2949">
        <v>0</v>
      </c>
      <c r="J2949">
        <v>0</v>
      </c>
      <c r="K2949" t="e">
        <v>#N/A</v>
      </c>
      <c r="L2949" t="e">
        <v>#N/A</v>
      </c>
      <c r="M2949" t="e">
        <v>#N/A</v>
      </c>
      <c r="N2949" t="e">
        <v>#N/A</v>
      </c>
      <c r="O2949" t="s">
        <v>97</v>
      </c>
    </row>
    <row r="2950" spans="1:15" x14ac:dyDescent="0.2">
      <c r="A2950">
        <v>370</v>
      </c>
      <c r="B2950">
        <v>371</v>
      </c>
      <c r="C2950">
        <v>370</v>
      </c>
      <c r="D2950">
        <v>369</v>
      </c>
      <c r="E2950" t="s">
        <v>57</v>
      </c>
      <c r="F2950" t="s">
        <v>73</v>
      </c>
      <c r="G2950">
        <v>53</v>
      </c>
      <c r="H2950" t="s">
        <v>201</v>
      </c>
      <c r="I2950">
        <v>0</v>
      </c>
      <c r="J2950">
        <v>0</v>
      </c>
      <c r="K2950" t="e">
        <v>#N/A</v>
      </c>
      <c r="L2950" t="e">
        <v>#N/A</v>
      </c>
      <c r="M2950" t="e">
        <v>#N/A</v>
      </c>
      <c r="N2950" t="e">
        <v>#N/A</v>
      </c>
      <c r="O2950" t="s">
        <v>97</v>
      </c>
    </row>
    <row r="2951" spans="1:15" x14ac:dyDescent="0.2">
      <c r="A2951">
        <v>365</v>
      </c>
      <c r="B2951">
        <v>366</v>
      </c>
      <c r="C2951">
        <v>365</v>
      </c>
      <c r="D2951">
        <v>364</v>
      </c>
      <c r="E2951" t="s">
        <v>57</v>
      </c>
      <c r="F2951" t="s">
        <v>72</v>
      </c>
      <c r="G2951">
        <v>53</v>
      </c>
      <c r="H2951" t="s">
        <v>201</v>
      </c>
      <c r="I2951">
        <v>0</v>
      </c>
      <c r="J2951">
        <v>0</v>
      </c>
      <c r="K2951" t="e">
        <v>#N/A</v>
      </c>
      <c r="L2951" t="e">
        <v>#N/A</v>
      </c>
      <c r="M2951" t="e">
        <v>#N/A</v>
      </c>
      <c r="N2951" t="e">
        <v>#N/A</v>
      </c>
      <c r="O2951" t="s">
        <v>97</v>
      </c>
    </row>
    <row r="2952" spans="1:15" x14ac:dyDescent="0.2">
      <c r="A2952">
        <v>350</v>
      </c>
      <c r="B2952">
        <v>351</v>
      </c>
      <c r="C2952">
        <v>350</v>
      </c>
      <c r="D2952">
        <v>349</v>
      </c>
      <c r="E2952" t="s">
        <v>57</v>
      </c>
      <c r="F2952" t="s">
        <v>70</v>
      </c>
      <c r="G2952">
        <v>53</v>
      </c>
      <c r="H2952" t="s">
        <v>201</v>
      </c>
      <c r="I2952">
        <v>0</v>
      </c>
      <c r="J2952" t="s">
        <v>279</v>
      </c>
      <c r="K2952" t="e">
        <v>#N/A</v>
      </c>
      <c r="L2952" t="e">
        <v>#N/A</v>
      </c>
      <c r="M2952" t="e">
        <v>#N/A</v>
      </c>
      <c r="N2952" t="e">
        <v>#N/A</v>
      </c>
      <c r="O2952" t="s">
        <v>97</v>
      </c>
    </row>
    <row r="2953" spans="1:15" x14ac:dyDescent="0.2">
      <c r="A2953">
        <v>345</v>
      </c>
      <c r="B2953">
        <v>346</v>
      </c>
      <c r="C2953">
        <v>345</v>
      </c>
      <c r="D2953">
        <v>344</v>
      </c>
      <c r="E2953" t="s">
        <v>57</v>
      </c>
      <c r="F2953" t="s">
        <v>69</v>
      </c>
      <c r="G2953">
        <v>53</v>
      </c>
      <c r="H2953" t="s">
        <v>201</v>
      </c>
      <c r="I2953">
        <v>0</v>
      </c>
      <c r="J2953" t="s">
        <v>280</v>
      </c>
      <c r="K2953" t="e">
        <v>#N/A</v>
      </c>
      <c r="L2953" t="e">
        <v>#N/A</v>
      </c>
      <c r="M2953" t="e">
        <v>#N/A</v>
      </c>
      <c r="N2953" t="e">
        <v>#N/A</v>
      </c>
      <c r="O2953" t="s">
        <v>97</v>
      </c>
    </row>
    <row r="2954" spans="1:15" x14ac:dyDescent="0.2">
      <c r="A2954">
        <v>340</v>
      </c>
      <c r="B2954">
        <v>341</v>
      </c>
      <c r="C2954">
        <v>340</v>
      </c>
      <c r="D2954">
        <v>339</v>
      </c>
      <c r="E2954" t="s">
        <v>57</v>
      </c>
      <c r="F2954" t="s">
        <v>68</v>
      </c>
      <c r="G2954">
        <v>53</v>
      </c>
      <c r="H2954" t="s">
        <v>201</v>
      </c>
      <c r="I2954">
        <v>0</v>
      </c>
      <c r="J2954">
        <v>0</v>
      </c>
      <c r="K2954" t="e">
        <v>#N/A</v>
      </c>
      <c r="L2954" t="e">
        <v>#N/A</v>
      </c>
      <c r="M2954" t="e">
        <v>#N/A</v>
      </c>
      <c r="N2954" t="e">
        <v>#N/A</v>
      </c>
      <c r="O2954" t="s">
        <v>97</v>
      </c>
    </row>
    <row r="2955" spans="1:15" x14ac:dyDescent="0.2">
      <c r="A2955">
        <v>335</v>
      </c>
      <c r="B2955">
        <v>336</v>
      </c>
      <c r="C2955">
        <v>335</v>
      </c>
      <c r="D2955">
        <v>334</v>
      </c>
      <c r="E2955" t="s">
        <v>57</v>
      </c>
      <c r="F2955" t="s">
        <v>67</v>
      </c>
      <c r="G2955">
        <v>53</v>
      </c>
      <c r="H2955" t="s">
        <v>201</v>
      </c>
      <c r="I2955">
        <v>0</v>
      </c>
      <c r="J2955" t="s">
        <v>281</v>
      </c>
      <c r="K2955" t="e">
        <v>#N/A</v>
      </c>
      <c r="L2955" t="e">
        <v>#N/A</v>
      </c>
      <c r="M2955" t="e">
        <v>#N/A</v>
      </c>
      <c r="N2955" t="e">
        <v>#N/A</v>
      </c>
      <c r="O2955" t="s">
        <v>97</v>
      </c>
    </row>
    <row r="2956" spans="1:15" x14ac:dyDescent="0.2">
      <c r="A2956">
        <v>330</v>
      </c>
      <c r="B2956">
        <v>331</v>
      </c>
      <c r="C2956">
        <v>330</v>
      </c>
      <c r="D2956">
        <v>329</v>
      </c>
      <c r="E2956" t="s">
        <v>57</v>
      </c>
      <c r="F2956" t="s">
        <v>66</v>
      </c>
      <c r="G2956">
        <v>53</v>
      </c>
      <c r="H2956" t="s">
        <v>201</v>
      </c>
      <c r="I2956">
        <v>0</v>
      </c>
      <c r="J2956">
        <v>0</v>
      </c>
      <c r="K2956" t="e">
        <v>#N/A</v>
      </c>
      <c r="L2956" t="e">
        <v>#N/A</v>
      </c>
      <c r="M2956" t="e">
        <v>#N/A</v>
      </c>
      <c r="N2956" t="e">
        <v>#N/A</v>
      </c>
      <c r="O2956" t="s">
        <v>97</v>
      </c>
    </row>
    <row r="2957" spans="1:15" x14ac:dyDescent="0.2">
      <c r="A2957">
        <v>325</v>
      </c>
      <c r="B2957">
        <v>326</v>
      </c>
      <c r="C2957">
        <v>325</v>
      </c>
      <c r="D2957">
        <v>324</v>
      </c>
      <c r="E2957" t="s">
        <v>57</v>
      </c>
      <c r="F2957" t="s">
        <v>65</v>
      </c>
      <c r="G2957">
        <v>53</v>
      </c>
      <c r="H2957" t="s">
        <v>201</v>
      </c>
      <c r="I2957">
        <v>0</v>
      </c>
      <c r="J2957" t="s">
        <v>282</v>
      </c>
      <c r="K2957" t="e">
        <v>#N/A</v>
      </c>
      <c r="L2957" t="e">
        <v>#N/A</v>
      </c>
      <c r="M2957" t="e">
        <v>#N/A</v>
      </c>
      <c r="N2957" t="e">
        <v>#N/A</v>
      </c>
      <c r="O2957" t="s">
        <v>97</v>
      </c>
    </row>
    <row r="2958" spans="1:15" x14ac:dyDescent="0.2">
      <c r="A2958">
        <v>315</v>
      </c>
      <c r="B2958">
        <v>316</v>
      </c>
      <c r="C2958">
        <v>315</v>
      </c>
      <c r="D2958">
        <v>314</v>
      </c>
      <c r="E2958" t="s">
        <v>57</v>
      </c>
      <c r="F2958" t="s">
        <v>63</v>
      </c>
      <c r="G2958">
        <v>53</v>
      </c>
      <c r="H2958" t="s">
        <v>201</v>
      </c>
      <c r="I2958">
        <v>0</v>
      </c>
      <c r="J2958" t="s">
        <v>283</v>
      </c>
      <c r="K2958" t="e">
        <v>#N/A</v>
      </c>
      <c r="L2958" t="e">
        <v>#N/A</v>
      </c>
      <c r="M2958" t="e">
        <v>#N/A</v>
      </c>
      <c r="N2958" t="e">
        <v>#N/A</v>
      </c>
      <c r="O2958" t="s">
        <v>97</v>
      </c>
    </row>
    <row r="2959" spans="1:15" x14ac:dyDescent="0.2">
      <c r="A2959">
        <v>300</v>
      </c>
      <c r="B2959">
        <v>301</v>
      </c>
      <c r="C2959">
        <v>300</v>
      </c>
      <c r="D2959">
        <v>299</v>
      </c>
      <c r="E2959" t="s">
        <v>57</v>
      </c>
      <c r="F2959" t="s">
        <v>62</v>
      </c>
      <c r="G2959">
        <v>53</v>
      </c>
      <c r="H2959" t="s">
        <v>201</v>
      </c>
      <c r="I2959">
        <v>0</v>
      </c>
      <c r="J2959" t="s">
        <v>284</v>
      </c>
      <c r="K2959" t="e">
        <v>#N/A</v>
      </c>
      <c r="L2959" t="e">
        <v>#N/A</v>
      </c>
      <c r="M2959" t="e">
        <v>#N/A</v>
      </c>
      <c r="N2959" t="e">
        <v>#N/A</v>
      </c>
      <c r="O2959" t="s">
        <v>97</v>
      </c>
    </row>
    <row r="2960" spans="1:15" x14ac:dyDescent="0.2">
      <c r="A2960">
        <v>290</v>
      </c>
      <c r="B2960">
        <v>291</v>
      </c>
      <c r="C2960">
        <v>290</v>
      </c>
      <c r="D2960">
        <v>289</v>
      </c>
      <c r="E2960" t="s">
        <v>57</v>
      </c>
      <c r="F2960" t="s">
        <v>61</v>
      </c>
      <c r="G2960">
        <v>53</v>
      </c>
      <c r="H2960" t="s">
        <v>201</v>
      </c>
      <c r="I2960">
        <v>0</v>
      </c>
      <c r="J2960">
        <v>0</v>
      </c>
      <c r="K2960" t="e">
        <v>#N/A</v>
      </c>
      <c r="L2960" t="e">
        <v>#N/A</v>
      </c>
      <c r="M2960" t="e">
        <v>#N/A</v>
      </c>
      <c r="N2960" t="e">
        <v>#N/A</v>
      </c>
      <c r="O2960" t="s">
        <v>97</v>
      </c>
    </row>
    <row r="2961" spans="1:15" x14ac:dyDescent="0.2">
      <c r="A2961">
        <v>285</v>
      </c>
      <c r="B2961">
        <v>286</v>
      </c>
      <c r="C2961">
        <v>285</v>
      </c>
      <c r="D2961">
        <v>284</v>
      </c>
      <c r="E2961" t="s">
        <v>57</v>
      </c>
      <c r="F2961" t="s">
        <v>60</v>
      </c>
      <c r="G2961">
        <v>53</v>
      </c>
      <c r="H2961" t="s">
        <v>201</v>
      </c>
      <c r="I2961">
        <v>0</v>
      </c>
      <c r="J2961" t="s">
        <v>285</v>
      </c>
      <c r="K2961" t="e">
        <v>#N/A</v>
      </c>
      <c r="L2961" t="e">
        <v>#N/A</v>
      </c>
      <c r="M2961" t="e">
        <v>#N/A</v>
      </c>
      <c r="N2961" t="e">
        <v>#N/A</v>
      </c>
      <c r="O2961" t="s">
        <v>97</v>
      </c>
    </row>
    <row r="2962" spans="1:15" x14ac:dyDescent="0.2">
      <c r="A2962">
        <v>280</v>
      </c>
      <c r="B2962">
        <v>281</v>
      </c>
      <c r="C2962">
        <v>280</v>
      </c>
      <c r="D2962">
        <v>279</v>
      </c>
      <c r="E2962" t="s">
        <v>57</v>
      </c>
      <c r="F2962" t="s">
        <v>59</v>
      </c>
      <c r="G2962">
        <v>53</v>
      </c>
      <c r="H2962" t="s">
        <v>201</v>
      </c>
      <c r="I2962">
        <v>0</v>
      </c>
      <c r="J2962" t="s">
        <v>286</v>
      </c>
      <c r="K2962" t="e">
        <v>#N/A</v>
      </c>
      <c r="L2962" t="e">
        <v>#N/A</v>
      </c>
      <c r="M2962" t="e">
        <v>#N/A</v>
      </c>
      <c r="N2962" t="e">
        <v>#N/A</v>
      </c>
      <c r="O2962" t="s">
        <v>97</v>
      </c>
    </row>
    <row r="2963" spans="1:15" x14ac:dyDescent="0.2">
      <c r="A2963">
        <v>260</v>
      </c>
      <c r="B2963">
        <v>261</v>
      </c>
      <c r="C2963">
        <v>260</v>
      </c>
      <c r="D2963">
        <v>259</v>
      </c>
      <c r="E2963" t="s">
        <v>57</v>
      </c>
      <c r="F2963" t="s">
        <v>58</v>
      </c>
      <c r="G2963">
        <v>53</v>
      </c>
      <c r="H2963" t="s">
        <v>201</v>
      </c>
      <c r="I2963">
        <v>0</v>
      </c>
      <c r="J2963">
        <v>0</v>
      </c>
      <c r="K2963" t="e">
        <v>#N/A</v>
      </c>
      <c r="L2963" t="e">
        <v>#N/A</v>
      </c>
      <c r="M2963" t="e">
        <v>#N/A</v>
      </c>
      <c r="N2963" t="e">
        <v>#N/A</v>
      </c>
      <c r="O2963" t="s">
        <v>97</v>
      </c>
    </row>
    <row r="2964" spans="1:15" x14ac:dyDescent="0.2">
      <c r="A2964">
        <v>239</v>
      </c>
      <c r="B2964">
        <v>240</v>
      </c>
      <c r="C2964">
        <v>239</v>
      </c>
      <c r="D2964">
        <v>238</v>
      </c>
      <c r="E2964" t="s">
        <v>251</v>
      </c>
      <c r="F2964" t="s">
        <v>49</v>
      </c>
      <c r="G2964">
        <v>53</v>
      </c>
      <c r="H2964" t="s">
        <v>201</v>
      </c>
      <c r="I2964">
        <v>0</v>
      </c>
      <c r="J2964">
        <v>0</v>
      </c>
      <c r="K2964" t="e">
        <v>#N/A</v>
      </c>
      <c r="L2964" t="e">
        <v>#N/A</v>
      </c>
      <c r="M2964" t="e">
        <v>#N/A</v>
      </c>
      <c r="N2964" t="e">
        <v>#N/A</v>
      </c>
      <c r="O2964" t="s">
        <v>97</v>
      </c>
    </row>
    <row r="2965" spans="1:15" x14ac:dyDescent="0.2">
      <c r="A2965">
        <v>234</v>
      </c>
      <c r="B2965">
        <v>235</v>
      </c>
      <c r="C2965">
        <v>234</v>
      </c>
      <c r="D2965">
        <v>233</v>
      </c>
      <c r="E2965" t="s">
        <v>251</v>
      </c>
      <c r="F2965" t="s">
        <v>48</v>
      </c>
      <c r="G2965">
        <v>53</v>
      </c>
      <c r="H2965" t="s">
        <v>201</v>
      </c>
      <c r="I2965">
        <v>0</v>
      </c>
      <c r="J2965">
        <v>0</v>
      </c>
      <c r="K2965" t="e">
        <v>#N/A</v>
      </c>
      <c r="L2965" t="e">
        <v>#N/A</v>
      </c>
      <c r="M2965" t="e">
        <v>#N/A</v>
      </c>
      <c r="N2965" t="e">
        <v>#N/A</v>
      </c>
      <c r="O2965" t="s">
        <v>97</v>
      </c>
    </row>
    <row r="2966" spans="1:15" x14ac:dyDescent="0.2">
      <c r="A2966">
        <v>229</v>
      </c>
      <c r="B2966">
        <v>230</v>
      </c>
      <c r="C2966">
        <v>229</v>
      </c>
      <c r="D2966">
        <v>228</v>
      </c>
      <c r="E2966" t="s">
        <v>251</v>
      </c>
      <c r="F2966" t="s">
        <v>47</v>
      </c>
      <c r="G2966">
        <v>53</v>
      </c>
      <c r="H2966" t="s">
        <v>201</v>
      </c>
      <c r="I2966">
        <v>0</v>
      </c>
      <c r="J2966" t="s">
        <v>287</v>
      </c>
      <c r="K2966" t="e">
        <v>#N/A</v>
      </c>
      <c r="L2966" t="e">
        <v>#N/A</v>
      </c>
      <c r="M2966" t="e">
        <v>#N/A</v>
      </c>
      <c r="N2966" t="e">
        <v>#N/A</v>
      </c>
      <c r="O2966" t="s">
        <v>97</v>
      </c>
    </row>
    <row r="2967" spans="1:15" x14ac:dyDescent="0.2">
      <c r="A2967">
        <v>234</v>
      </c>
      <c r="B2967">
        <v>235</v>
      </c>
      <c r="C2967">
        <v>234</v>
      </c>
      <c r="D2967">
        <v>233</v>
      </c>
      <c r="E2967" t="s">
        <v>251</v>
      </c>
      <c r="F2967" t="s">
        <v>48</v>
      </c>
      <c r="G2967">
        <v>53</v>
      </c>
      <c r="H2967" t="s">
        <v>201</v>
      </c>
      <c r="I2967">
        <v>0</v>
      </c>
      <c r="J2967">
        <v>0</v>
      </c>
      <c r="K2967" t="e">
        <v>#N/A</v>
      </c>
      <c r="L2967" t="e">
        <v>#N/A</v>
      </c>
      <c r="M2967" t="e">
        <v>#N/A</v>
      </c>
      <c r="N2967" t="e">
        <v>#N/A</v>
      </c>
      <c r="O2967" t="s">
        <v>97</v>
      </c>
    </row>
    <row r="2968" spans="1:15" x14ac:dyDescent="0.2">
      <c r="A2968">
        <v>229</v>
      </c>
      <c r="B2968">
        <v>230</v>
      </c>
      <c r="C2968">
        <v>229</v>
      </c>
      <c r="D2968">
        <v>228</v>
      </c>
      <c r="E2968" t="s">
        <v>251</v>
      </c>
      <c r="F2968" t="s">
        <v>47</v>
      </c>
      <c r="G2968">
        <v>53</v>
      </c>
      <c r="H2968" t="s">
        <v>201</v>
      </c>
      <c r="I2968">
        <v>0</v>
      </c>
      <c r="J2968" t="s">
        <v>287</v>
      </c>
      <c r="K2968" t="e">
        <v>#N/A</v>
      </c>
      <c r="L2968" t="e">
        <v>#N/A</v>
      </c>
      <c r="M2968" t="e">
        <v>#N/A</v>
      </c>
      <c r="N2968" t="e">
        <v>#N/A</v>
      </c>
      <c r="O2968" t="s">
        <v>97</v>
      </c>
    </row>
    <row r="2969" spans="1:15" x14ac:dyDescent="0.2">
      <c r="A2969">
        <v>44</v>
      </c>
      <c r="B2969">
        <v>45</v>
      </c>
      <c r="C2969">
        <v>44</v>
      </c>
      <c r="D2969">
        <v>43</v>
      </c>
      <c r="E2969" t="s">
        <v>30</v>
      </c>
      <c r="F2969" t="s">
        <v>38</v>
      </c>
      <c r="G2969">
        <v>53</v>
      </c>
      <c r="H2969" t="s">
        <v>201</v>
      </c>
      <c r="I2969">
        <v>0</v>
      </c>
      <c r="J2969" t="s">
        <v>288</v>
      </c>
      <c r="K2969" t="e">
        <v>#N/A</v>
      </c>
      <c r="L2969" t="e">
        <v>#N/A</v>
      </c>
      <c r="M2969" t="e">
        <v>#N/A</v>
      </c>
      <c r="N2969" t="e">
        <v>#N/A</v>
      </c>
      <c r="O2969" t="s">
        <v>97</v>
      </c>
    </row>
    <row r="2970" spans="1:15" x14ac:dyDescent="0.2">
      <c r="A2970">
        <v>229</v>
      </c>
      <c r="B2970">
        <v>230</v>
      </c>
      <c r="C2970">
        <v>229</v>
      </c>
      <c r="D2970">
        <v>228</v>
      </c>
      <c r="E2970" t="s">
        <v>251</v>
      </c>
      <c r="F2970" t="s">
        <v>47</v>
      </c>
      <c r="G2970">
        <v>53</v>
      </c>
      <c r="H2970" t="s">
        <v>201</v>
      </c>
      <c r="I2970">
        <v>0</v>
      </c>
      <c r="J2970" t="s">
        <v>287</v>
      </c>
      <c r="K2970" t="e">
        <v>#N/A</v>
      </c>
      <c r="L2970" t="e">
        <v>#N/A</v>
      </c>
      <c r="M2970" t="e">
        <v>#N/A</v>
      </c>
      <c r="N2970" t="e">
        <v>#N/A</v>
      </c>
      <c r="O2970" t="s">
        <v>97</v>
      </c>
    </row>
    <row r="2971" spans="1:15" x14ac:dyDescent="0.2">
      <c r="A2971">
        <v>234</v>
      </c>
      <c r="B2971">
        <v>235</v>
      </c>
      <c r="C2971">
        <v>234</v>
      </c>
      <c r="D2971">
        <v>233</v>
      </c>
      <c r="E2971" t="s">
        <v>251</v>
      </c>
      <c r="F2971" t="s">
        <v>48</v>
      </c>
      <c r="G2971">
        <v>53</v>
      </c>
      <c r="H2971" t="s">
        <v>201</v>
      </c>
      <c r="I2971">
        <v>0</v>
      </c>
      <c r="J2971">
        <v>0</v>
      </c>
      <c r="K2971" t="e">
        <v>#N/A</v>
      </c>
      <c r="L2971" t="e">
        <v>#N/A</v>
      </c>
      <c r="M2971" t="e">
        <v>#N/A</v>
      </c>
      <c r="N2971" t="e">
        <v>#N/A</v>
      </c>
      <c r="O2971" t="s">
        <v>97</v>
      </c>
    </row>
    <row r="2972" spans="1:15" x14ac:dyDescent="0.2">
      <c r="A2972">
        <v>229</v>
      </c>
      <c r="B2972">
        <v>230</v>
      </c>
      <c r="C2972">
        <v>229</v>
      </c>
      <c r="D2972">
        <v>228</v>
      </c>
      <c r="E2972" t="s">
        <v>251</v>
      </c>
      <c r="F2972" t="s">
        <v>47</v>
      </c>
      <c r="G2972">
        <v>53</v>
      </c>
      <c r="H2972" t="s">
        <v>201</v>
      </c>
      <c r="I2972">
        <v>0</v>
      </c>
      <c r="J2972" t="s">
        <v>287</v>
      </c>
      <c r="K2972" t="e">
        <v>#N/A</v>
      </c>
      <c r="L2972" t="e">
        <v>#N/A</v>
      </c>
      <c r="M2972" t="e">
        <v>#N/A</v>
      </c>
      <c r="N2972" t="e">
        <v>#N/A</v>
      </c>
      <c r="O2972" t="s">
        <v>97</v>
      </c>
    </row>
    <row r="2973" spans="1:15" x14ac:dyDescent="0.2">
      <c r="A2973">
        <v>44</v>
      </c>
      <c r="B2973">
        <v>45</v>
      </c>
      <c r="C2973">
        <v>44</v>
      </c>
      <c r="D2973">
        <v>43</v>
      </c>
      <c r="E2973" t="s">
        <v>30</v>
      </c>
      <c r="F2973" t="s">
        <v>38</v>
      </c>
      <c r="G2973">
        <v>54</v>
      </c>
      <c r="H2973" t="s">
        <v>203</v>
      </c>
      <c r="I2973">
        <v>0</v>
      </c>
      <c r="J2973" t="s">
        <v>214</v>
      </c>
      <c r="K2973" t="e">
        <v>#N/A</v>
      </c>
      <c r="L2973" t="e">
        <v>#N/A</v>
      </c>
      <c r="M2973" t="e">
        <v>#N/A</v>
      </c>
      <c r="N2973" t="e">
        <v>#N/A</v>
      </c>
      <c r="O2973" t="s">
        <v>97</v>
      </c>
    </row>
    <row r="2974" spans="1:15" x14ac:dyDescent="0.2">
      <c r="A2974">
        <v>405</v>
      </c>
      <c r="B2974">
        <v>406</v>
      </c>
      <c r="C2974">
        <v>405</v>
      </c>
      <c r="D2974">
        <v>404</v>
      </c>
      <c r="E2974" t="s">
        <v>57</v>
      </c>
      <c r="F2974" t="s">
        <v>77</v>
      </c>
      <c r="G2974">
        <v>54</v>
      </c>
      <c r="H2974" t="s">
        <v>203</v>
      </c>
      <c r="I2974">
        <v>0</v>
      </c>
      <c r="J2974">
        <v>0</v>
      </c>
      <c r="K2974" t="e">
        <v>#N/A</v>
      </c>
      <c r="L2974" t="e">
        <v>#N/A</v>
      </c>
      <c r="M2974" t="e">
        <v>#N/A</v>
      </c>
      <c r="N2974" t="e">
        <v>#N/A</v>
      </c>
      <c r="O2974" t="s">
        <v>97</v>
      </c>
    </row>
    <row r="2975" spans="1:15" x14ac:dyDescent="0.2">
      <c r="A2975">
        <v>390</v>
      </c>
      <c r="B2975">
        <v>391</v>
      </c>
      <c r="C2975">
        <v>390</v>
      </c>
      <c r="D2975">
        <v>389</v>
      </c>
      <c r="E2975" t="s">
        <v>57</v>
      </c>
      <c r="F2975" t="s">
        <v>76</v>
      </c>
      <c r="G2975">
        <v>54</v>
      </c>
      <c r="H2975" t="s">
        <v>203</v>
      </c>
      <c r="I2975">
        <v>0</v>
      </c>
      <c r="J2975" t="s">
        <v>289</v>
      </c>
      <c r="K2975" t="e">
        <v>#N/A</v>
      </c>
      <c r="L2975" t="e">
        <v>#N/A</v>
      </c>
      <c r="M2975" t="e">
        <v>#N/A</v>
      </c>
      <c r="N2975" t="e">
        <v>#N/A</v>
      </c>
      <c r="O2975" t="s">
        <v>97</v>
      </c>
    </row>
    <row r="2976" spans="1:15" x14ac:dyDescent="0.2">
      <c r="A2976">
        <v>380</v>
      </c>
      <c r="B2976">
        <v>381</v>
      </c>
      <c r="C2976">
        <v>380</v>
      </c>
      <c r="D2976">
        <v>379</v>
      </c>
      <c r="E2976" t="s">
        <v>57</v>
      </c>
      <c r="F2976" t="s">
        <v>75</v>
      </c>
      <c r="G2976">
        <v>54</v>
      </c>
      <c r="H2976" t="s">
        <v>203</v>
      </c>
      <c r="I2976">
        <v>0</v>
      </c>
      <c r="J2976">
        <v>0</v>
      </c>
      <c r="K2976" t="e">
        <v>#N/A</v>
      </c>
      <c r="L2976" t="e">
        <v>#N/A</v>
      </c>
      <c r="M2976" t="e">
        <v>#N/A</v>
      </c>
      <c r="N2976" t="e">
        <v>#N/A</v>
      </c>
      <c r="O2976" t="s">
        <v>97</v>
      </c>
    </row>
    <row r="2977" spans="1:15" x14ac:dyDescent="0.2">
      <c r="A2977">
        <v>375</v>
      </c>
      <c r="B2977">
        <v>376</v>
      </c>
      <c r="C2977">
        <v>375</v>
      </c>
      <c r="D2977">
        <v>374</v>
      </c>
      <c r="E2977" t="s">
        <v>57</v>
      </c>
      <c r="F2977" t="s">
        <v>74</v>
      </c>
      <c r="G2977">
        <v>54</v>
      </c>
      <c r="H2977" t="s">
        <v>203</v>
      </c>
      <c r="I2977">
        <v>0</v>
      </c>
      <c r="J2977" t="s">
        <v>290</v>
      </c>
      <c r="K2977" t="e">
        <v>#N/A</v>
      </c>
      <c r="L2977" t="e">
        <v>#N/A</v>
      </c>
      <c r="M2977" t="e">
        <v>#N/A</v>
      </c>
      <c r="N2977" t="e">
        <v>#N/A</v>
      </c>
      <c r="O2977" t="s">
        <v>97</v>
      </c>
    </row>
    <row r="2978" spans="1:15" x14ac:dyDescent="0.2">
      <c r="A2978">
        <v>370</v>
      </c>
      <c r="B2978">
        <v>371</v>
      </c>
      <c r="C2978">
        <v>370</v>
      </c>
      <c r="D2978">
        <v>369</v>
      </c>
      <c r="E2978" t="s">
        <v>57</v>
      </c>
      <c r="F2978" t="s">
        <v>73</v>
      </c>
      <c r="G2978">
        <v>54</v>
      </c>
      <c r="H2978" t="s">
        <v>203</v>
      </c>
      <c r="I2978">
        <v>0</v>
      </c>
      <c r="J2978">
        <v>0</v>
      </c>
      <c r="K2978" t="e">
        <v>#N/A</v>
      </c>
      <c r="L2978" t="e">
        <v>#N/A</v>
      </c>
      <c r="M2978" t="e">
        <v>#N/A</v>
      </c>
      <c r="N2978" t="e">
        <v>#N/A</v>
      </c>
      <c r="O2978" t="s">
        <v>97</v>
      </c>
    </row>
    <row r="2979" spans="1:15" x14ac:dyDescent="0.2">
      <c r="A2979">
        <v>365</v>
      </c>
      <c r="B2979">
        <v>366</v>
      </c>
      <c r="C2979">
        <v>365</v>
      </c>
      <c r="D2979">
        <v>364</v>
      </c>
      <c r="E2979" t="s">
        <v>57</v>
      </c>
      <c r="F2979" t="s">
        <v>72</v>
      </c>
      <c r="G2979">
        <v>54</v>
      </c>
      <c r="H2979" t="s">
        <v>203</v>
      </c>
      <c r="I2979">
        <v>0</v>
      </c>
      <c r="J2979">
        <v>0</v>
      </c>
      <c r="K2979" t="e">
        <v>#N/A</v>
      </c>
      <c r="L2979" t="e">
        <v>#N/A</v>
      </c>
      <c r="M2979" t="e">
        <v>#N/A</v>
      </c>
      <c r="N2979" t="e">
        <v>#N/A</v>
      </c>
      <c r="O2979" t="s">
        <v>97</v>
      </c>
    </row>
    <row r="2980" spans="1:15" x14ac:dyDescent="0.2">
      <c r="A2980">
        <v>350</v>
      </c>
      <c r="B2980">
        <v>351</v>
      </c>
      <c r="C2980">
        <v>350</v>
      </c>
      <c r="D2980">
        <v>349</v>
      </c>
      <c r="E2980" t="s">
        <v>57</v>
      </c>
      <c r="F2980" t="s">
        <v>70</v>
      </c>
      <c r="G2980">
        <v>54</v>
      </c>
      <c r="H2980" t="s">
        <v>203</v>
      </c>
      <c r="I2980">
        <v>0</v>
      </c>
      <c r="J2980" t="s">
        <v>291</v>
      </c>
      <c r="K2980" t="e">
        <v>#N/A</v>
      </c>
      <c r="L2980" t="e">
        <v>#N/A</v>
      </c>
      <c r="M2980" t="e">
        <v>#N/A</v>
      </c>
      <c r="N2980" t="e">
        <v>#N/A</v>
      </c>
      <c r="O2980" t="s">
        <v>97</v>
      </c>
    </row>
    <row r="2981" spans="1:15" x14ac:dyDescent="0.2">
      <c r="A2981">
        <v>345</v>
      </c>
      <c r="B2981">
        <v>346</v>
      </c>
      <c r="C2981">
        <v>345</v>
      </c>
      <c r="D2981">
        <v>344</v>
      </c>
      <c r="E2981" t="s">
        <v>57</v>
      </c>
      <c r="F2981" t="s">
        <v>69</v>
      </c>
      <c r="G2981">
        <v>54</v>
      </c>
      <c r="H2981" t="s">
        <v>203</v>
      </c>
      <c r="I2981">
        <v>0</v>
      </c>
      <c r="J2981">
        <v>0</v>
      </c>
      <c r="K2981" t="e">
        <v>#N/A</v>
      </c>
      <c r="L2981" t="e">
        <v>#N/A</v>
      </c>
      <c r="M2981" t="e">
        <v>#N/A</v>
      </c>
      <c r="N2981" t="e">
        <v>#N/A</v>
      </c>
      <c r="O2981" t="s">
        <v>97</v>
      </c>
    </row>
    <row r="2982" spans="1:15" x14ac:dyDescent="0.2">
      <c r="A2982">
        <v>340</v>
      </c>
      <c r="B2982">
        <v>341</v>
      </c>
      <c r="C2982">
        <v>340</v>
      </c>
      <c r="D2982">
        <v>339</v>
      </c>
      <c r="E2982" t="s">
        <v>57</v>
      </c>
      <c r="F2982" t="s">
        <v>68</v>
      </c>
      <c r="G2982">
        <v>54</v>
      </c>
      <c r="H2982" t="s">
        <v>203</v>
      </c>
      <c r="I2982">
        <v>0</v>
      </c>
      <c r="J2982">
        <v>0</v>
      </c>
      <c r="K2982" t="e">
        <v>#N/A</v>
      </c>
      <c r="L2982" t="e">
        <v>#N/A</v>
      </c>
      <c r="M2982" t="e">
        <v>#N/A</v>
      </c>
      <c r="N2982" t="e">
        <v>#N/A</v>
      </c>
      <c r="O2982" t="s">
        <v>97</v>
      </c>
    </row>
    <row r="2983" spans="1:15" x14ac:dyDescent="0.2">
      <c r="A2983">
        <v>335</v>
      </c>
      <c r="B2983">
        <v>336</v>
      </c>
      <c r="C2983">
        <v>335</v>
      </c>
      <c r="D2983">
        <v>334</v>
      </c>
      <c r="E2983" t="s">
        <v>57</v>
      </c>
      <c r="F2983" t="s">
        <v>67</v>
      </c>
      <c r="G2983">
        <v>54</v>
      </c>
      <c r="H2983" t="s">
        <v>203</v>
      </c>
      <c r="I2983">
        <v>0</v>
      </c>
      <c r="J2983" t="s">
        <v>292</v>
      </c>
      <c r="K2983" t="e">
        <v>#N/A</v>
      </c>
      <c r="L2983" t="e">
        <v>#N/A</v>
      </c>
      <c r="M2983" t="e">
        <v>#N/A</v>
      </c>
      <c r="N2983" t="e">
        <v>#N/A</v>
      </c>
      <c r="O2983" t="s">
        <v>97</v>
      </c>
    </row>
    <row r="2984" spans="1:15" x14ac:dyDescent="0.2">
      <c r="A2984">
        <v>330</v>
      </c>
      <c r="B2984">
        <v>331</v>
      </c>
      <c r="C2984">
        <v>330</v>
      </c>
      <c r="D2984">
        <v>329</v>
      </c>
      <c r="E2984" t="s">
        <v>57</v>
      </c>
      <c r="F2984" t="s">
        <v>66</v>
      </c>
      <c r="G2984">
        <v>54</v>
      </c>
      <c r="H2984" t="s">
        <v>203</v>
      </c>
      <c r="I2984">
        <v>0</v>
      </c>
      <c r="J2984" t="s">
        <v>292</v>
      </c>
      <c r="K2984" t="e">
        <v>#N/A</v>
      </c>
      <c r="L2984" t="e">
        <v>#N/A</v>
      </c>
      <c r="M2984" t="e">
        <v>#N/A</v>
      </c>
      <c r="N2984" t="e">
        <v>#N/A</v>
      </c>
      <c r="O2984" t="s">
        <v>97</v>
      </c>
    </row>
    <row r="2985" spans="1:15" x14ac:dyDescent="0.2">
      <c r="A2985">
        <v>325</v>
      </c>
      <c r="B2985">
        <v>326</v>
      </c>
      <c r="C2985">
        <v>325</v>
      </c>
      <c r="D2985">
        <v>324</v>
      </c>
      <c r="E2985" t="s">
        <v>57</v>
      </c>
      <c r="F2985" t="s">
        <v>65</v>
      </c>
      <c r="G2985">
        <v>54</v>
      </c>
      <c r="H2985" t="s">
        <v>203</v>
      </c>
      <c r="I2985">
        <v>0</v>
      </c>
      <c r="J2985" t="s">
        <v>293</v>
      </c>
      <c r="K2985" t="e">
        <v>#N/A</v>
      </c>
      <c r="L2985" t="e">
        <v>#N/A</v>
      </c>
      <c r="M2985" t="e">
        <v>#N/A</v>
      </c>
      <c r="N2985" t="e">
        <v>#N/A</v>
      </c>
      <c r="O2985" t="s">
        <v>97</v>
      </c>
    </row>
    <row r="2986" spans="1:15" x14ac:dyDescent="0.2">
      <c r="A2986">
        <v>315</v>
      </c>
      <c r="B2986">
        <v>316</v>
      </c>
      <c r="C2986">
        <v>315</v>
      </c>
      <c r="D2986">
        <v>314</v>
      </c>
      <c r="E2986" t="s">
        <v>57</v>
      </c>
      <c r="F2986" t="s">
        <v>63</v>
      </c>
      <c r="G2986">
        <v>54</v>
      </c>
      <c r="H2986" t="s">
        <v>203</v>
      </c>
      <c r="I2986">
        <v>0</v>
      </c>
      <c r="J2986">
        <v>0</v>
      </c>
      <c r="K2986" t="e">
        <v>#N/A</v>
      </c>
      <c r="L2986" t="e">
        <v>#N/A</v>
      </c>
      <c r="M2986" t="e">
        <v>#N/A</v>
      </c>
      <c r="N2986" t="e">
        <v>#N/A</v>
      </c>
      <c r="O2986" t="s">
        <v>97</v>
      </c>
    </row>
    <row r="2987" spans="1:15" x14ac:dyDescent="0.2">
      <c r="A2987">
        <v>300</v>
      </c>
      <c r="B2987">
        <v>301</v>
      </c>
      <c r="C2987">
        <v>300</v>
      </c>
      <c r="D2987">
        <v>299</v>
      </c>
      <c r="E2987" t="s">
        <v>57</v>
      </c>
      <c r="F2987" t="s">
        <v>62</v>
      </c>
      <c r="G2987">
        <v>54</v>
      </c>
      <c r="H2987" t="s">
        <v>203</v>
      </c>
      <c r="I2987">
        <v>0</v>
      </c>
      <c r="J2987">
        <v>0</v>
      </c>
      <c r="K2987" t="e">
        <v>#N/A</v>
      </c>
      <c r="L2987" t="e">
        <v>#N/A</v>
      </c>
      <c r="M2987" t="e">
        <v>#N/A</v>
      </c>
      <c r="N2987" t="e">
        <v>#N/A</v>
      </c>
      <c r="O2987" t="s">
        <v>97</v>
      </c>
    </row>
    <row r="2988" spans="1:15" x14ac:dyDescent="0.2">
      <c r="A2988">
        <v>290</v>
      </c>
      <c r="B2988">
        <v>291</v>
      </c>
      <c r="C2988">
        <v>290</v>
      </c>
      <c r="D2988">
        <v>289</v>
      </c>
      <c r="E2988" t="s">
        <v>57</v>
      </c>
      <c r="F2988" t="s">
        <v>61</v>
      </c>
      <c r="G2988">
        <v>54</v>
      </c>
      <c r="H2988" t="s">
        <v>203</v>
      </c>
      <c r="I2988">
        <v>0</v>
      </c>
      <c r="J2988">
        <v>0</v>
      </c>
      <c r="K2988" t="e">
        <v>#N/A</v>
      </c>
      <c r="L2988" t="e">
        <v>#N/A</v>
      </c>
      <c r="M2988" t="e">
        <v>#N/A</v>
      </c>
      <c r="N2988" t="e">
        <v>#N/A</v>
      </c>
      <c r="O2988" t="s">
        <v>97</v>
      </c>
    </row>
    <row r="2989" spans="1:15" x14ac:dyDescent="0.2">
      <c r="A2989">
        <v>285</v>
      </c>
      <c r="B2989">
        <v>286</v>
      </c>
      <c r="C2989">
        <v>285</v>
      </c>
      <c r="D2989">
        <v>284</v>
      </c>
      <c r="E2989" t="s">
        <v>57</v>
      </c>
      <c r="F2989" t="s">
        <v>60</v>
      </c>
      <c r="G2989">
        <v>54</v>
      </c>
      <c r="H2989" t="s">
        <v>203</v>
      </c>
      <c r="I2989">
        <v>0</v>
      </c>
      <c r="J2989">
        <v>0</v>
      </c>
      <c r="K2989" t="e">
        <v>#N/A</v>
      </c>
      <c r="L2989" t="e">
        <v>#N/A</v>
      </c>
      <c r="M2989" t="e">
        <v>#N/A</v>
      </c>
      <c r="N2989" t="e">
        <v>#N/A</v>
      </c>
      <c r="O2989" t="s">
        <v>97</v>
      </c>
    </row>
    <row r="2990" spans="1:15" x14ac:dyDescent="0.2">
      <c r="A2990">
        <v>280</v>
      </c>
      <c r="B2990">
        <v>281</v>
      </c>
      <c r="C2990">
        <v>280</v>
      </c>
      <c r="D2990">
        <v>279</v>
      </c>
      <c r="E2990" t="s">
        <v>57</v>
      </c>
      <c r="F2990" t="s">
        <v>59</v>
      </c>
      <c r="G2990">
        <v>54</v>
      </c>
      <c r="H2990" t="s">
        <v>203</v>
      </c>
      <c r="I2990">
        <v>0</v>
      </c>
      <c r="J2990">
        <v>0</v>
      </c>
      <c r="K2990" t="e">
        <v>#N/A</v>
      </c>
      <c r="L2990" t="e">
        <v>#N/A</v>
      </c>
      <c r="M2990" t="e">
        <v>#N/A</v>
      </c>
      <c r="N2990" t="e">
        <v>#N/A</v>
      </c>
      <c r="O2990" t="s">
        <v>97</v>
      </c>
    </row>
    <row r="2991" spans="1:15" x14ac:dyDescent="0.2">
      <c r="A2991">
        <v>260</v>
      </c>
      <c r="B2991">
        <v>261</v>
      </c>
      <c r="C2991">
        <v>260</v>
      </c>
      <c r="D2991">
        <v>259</v>
      </c>
      <c r="E2991" t="s">
        <v>57</v>
      </c>
      <c r="F2991" t="s">
        <v>58</v>
      </c>
      <c r="G2991">
        <v>54</v>
      </c>
      <c r="H2991" t="s">
        <v>203</v>
      </c>
      <c r="I2991">
        <v>0</v>
      </c>
      <c r="J2991">
        <v>0</v>
      </c>
      <c r="K2991" t="e">
        <v>#N/A</v>
      </c>
      <c r="L2991" t="e">
        <v>#N/A</v>
      </c>
      <c r="M2991" t="e">
        <v>#N/A</v>
      </c>
      <c r="N2991" t="e">
        <v>#N/A</v>
      </c>
      <c r="O2991" t="s">
        <v>97</v>
      </c>
    </row>
    <row r="2992" spans="1:15" x14ac:dyDescent="0.2">
      <c r="A2992">
        <v>239</v>
      </c>
      <c r="B2992">
        <v>240</v>
      </c>
      <c r="C2992">
        <v>239</v>
      </c>
      <c r="D2992">
        <v>238</v>
      </c>
      <c r="E2992" t="s">
        <v>251</v>
      </c>
      <c r="F2992" t="s">
        <v>49</v>
      </c>
      <c r="G2992">
        <v>54</v>
      </c>
      <c r="H2992" t="s">
        <v>203</v>
      </c>
      <c r="I2992">
        <v>0</v>
      </c>
      <c r="J2992" t="s">
        <v>294</v>
      </c>
      <c r="K2992" t="e">
        <v>#N/A</v>
      </c>
      <c r="L2992" t="e">
        <v>#N/A</v>
      </c>
      <c r="M2992" t="e">
        <v>#N/A</v>
      </c>
      <c r="N2992" t="e">
        <v>#N/A</v>
      </c>
      <c r="O2992" t="s">
        <v>97</v>
      </c>
    </row>
    <row r="2993" spans="1:15" x14ac:dyDescent="0.2">
      <c r="A2993">
        <v>234</v>
      </c>
      <c r="B2993">
        <v>235</v>
      </c>
      <c r="C2993">
        <v>234</v>
      </c>
      <c r="D2993">
        <v>233</v>
      </c>
      <c r="E2993" t="s">
        <v>251</v>
      </c>
      <c r="F2993" t="s">
        <v>48</v>
      </c>
      <c r="G2993">
        <v>54</v>
      </c>
      <c r="H2993" t="s">
        <v>203</v>
      </c>
      <c r="I2993">
        <v>0</v>
      </c>
      <c r="J2993" t="s">
        <v>295</v>
      </c>
      <c r="K2993" t="e">
        <v>#N/A</v>
      </c>
      <c r="L2993" t="e">
        <v>#N/A</v>
      </c>
      <c r="M2993" t="e">
        <v>#N/A</v>
      </c>
      <c r="N2993" t="e">
        <v>#N/A</v>
      </c>
      <c r="O2993" t="s">
        <v>97</v>
      </c>
    </row>
    <row r="2994" spans="1:15" x14ac:dyDescent="0.2">
      <c r="A2994">
        <v>229</v>
      </c>
      <c r="B2994">
        <v>230</v>
      </c>
      <c r="C2994">
        <v>229</v>
      </c>
      <c r="D2994">
        <v>228</v>
      </c>
      <c r="E2994" t="s">
        <v>251</v>
      </c>
      <c r="F2994" t="s">
        <v>47</v>
      </c>
      <c r="G2994">
        <v>54</v>
      </c>
      <c r="H2994" t="s">
        <v>203</v>
      </c>
      <c r="I2994">
        <v>0</v>
      </c>
      <c r="J2994" t="s">
        <v>296</v>
      </c>
      <c r="K2994" t="e">
        <v>#N/A</v>
      </c>
      <c r="L2994" t="e">
        <v>#N/A</v>
      </c>
      <c r="M2994" t="e">
        <v>#N/A</v>
      </c>
      <c r="N2994" t="e">
        <v>#N/A</v>
      </c>
      <c r="O2994" t="s">
        <v>97</v>
      </c>
    </row>
    <row r="2995" spans="1:15" x14ac:dyDescent="0.2">
      <c r="A2995">
        <v>234</v>
      </c>
      <c r="B2995">
        <v>235</v>
      </c>
      <c r="C2995">
        <v>234</v>
      </c>
      <c r="D2995">
        <v>233</v>
      </c>
      <c r="E2995" t="s">
        <v>251</v>
      </c>
      <c r="F2995" t="s">
        <v>48</v>
      </c>
      <c r="G2995">
        <v>54</v>
      </c>
      <c r="H2995" t="s">
        <v>203</v>
      </c>
      <c r="I2995">
        <v>0</v>
      </c>
      <c r="J2995" t="s">
        <v>295</v>
      </c>
      <c r="K2995" t="e">
        <v>#N/A</v>
      </c>
      <c r="L2995" t="e">
        <v>#N/A</v>
      </c>
      <c r="M2995" t="e">
        <v>#N/A</v>
      </c>
      <c r="N2995" t="e">
        <v>#N/A</v>
      </c>
      <c r="O2995" t="s">
        <v>97</v>
      </c>
    </row>
    <row r="2996" spans="1:15" x14ac:dyDescent="0.2">
      <c r="A2996">
        <v>229</v>
      </c>
      <c r="B2996">
        <v>230</v>
      </c>
      <c r="C2996">
        <v>229</v>
      </c>
      <c r="D2996">
        <v>228</v>
      </c>
      <c r="E2996" t="s">
        <v>251</v>
      </c>
      <c r="F2996" t="s">
        <v>47</v>
      </c>
      <c r="G2996">
        <v>54</v>
      </c>
      <c r="H2996" t="s">
        <v>203</v>
      </c>
      <c r="I2996">
        <v>0</v>
      </c>
      <c r="J2996" t="s">
        <v>296</v>
      </c>
      <c r="K2996" t="e">
        <v>#N/A</v>
      </c>
      <c r="L2996" t="e">
        <v>#N/A</v>
      </c>
      <c r="M2996" t="e">
        <v>#N/A</v>
      </c>
      <c r="N2996" t="e">
        <v>#N/A</v>
      </c>
      <c r="O2996" t="s">
        <v>97</v>
      </c>
    </row>
    <row r="2997" spans="1:15" x14ac:dyDescent="0.2">
      <c r="A2997">
        <v>44</v>
      </c>
      <c r="B2997">
        <v>45</v>
      </c>
      <c r="C2997">
        <v>44</v>
      </c>
      <c r="D2997">
        <v>43</v>
      </c>
      <c r="E2997" t="s">
        <v>30</v>
      </c>
      <c r="F2997" t="s">
        <v>38</v>
      </c>
      <c r="G2997">
        <v>54</v>
      </c>
      <c r="H2997" t="s">
        <v>203</v>
      </c>
      <c r="I2997">
        <v>0</v>
      </c>
      <c r="J2997" t="s">
        <v>214</v>
      </c>
      <c r="K2997" t="e">
        <v>#N/A</v>
      </c>
      <c r="L2997" t="e">
        <v>#N/A</v>
      </c>
      <c r="M2997" t="e">
        <v>#N/A</v>
      </c>
      <c r="N2997" t="e">
        <v>#N/A</v>
      </c>
      <c r="O2997" t="s">
        <v>97</v>
      </c>
    </row>
    <row r="2998" spans="1:15" x14ac:dyDescent="0.2">
      <c r="A2998">
        <v>229</v>
      </c>
      <c r="B2998">
        <v>230</v>
      </c>
      <c r="C2998">
        <v>229</v>
      </c>
      <c r="D2998">
        <v>228</v>
      </c>
      <c r="E2998" t="s">
        <v>251</v>
      </c>
      <c r="F2998" t="s">
        <v>47</v>
      </c>
      <c r="G2998">
        <v>54</v>
      </c>
      <c r="H2998" t="s">
        <v>203</v>
      </c>
      <c r="I2998">
        <v>0</v>
      </c>
      <c r="J2998" t="s">
        <v>296</v>
      </c>
      <c r="K2998" t="e">
        <v>#N/A</v>
      </c>
      <c r="L2998" t="e">
        <v>#N/A</v>
      </c>
      <c r="M2998" t="e">
        <v>#N/A</v>
      </c>
      <c r="N2998" t="e">
        <v>#N/A</v>
      </c>
      <c r="O2998" t="s">
        <v>97</v>
      </c>
    </row>
    <row r="2999" spans="1:15" x14ac:dyDescent="0.2">
      <c r="A2999">
        <v>234</v>
      </c>
      <c r="B2999">
        <v>235</v>
      </c>
      <c r="C2999">
        <v>234</v>
      </c>
      <c r="D2999">
        <v>233</v>
      </c>
      <c r="E2999" t="s">
        <v>251</v>
      </c>
      <c r="F2999" t="s">
        <v>48</v>
      </c>
      <c r="G2999">
        <v>54</v>
      </c>
      <c r="H2999" t="s">
        <v>203</v>
      </c>
      <c r="I2999">
        <v>0</v>
      </c>
      <c r="J2999" t="s">
        <v>295</v>
      </c>
      <c r="K2999" t="e">
        <v>#N/A</v>
      </c>
      <c r="L2999" t="e">
        <v>#N/A</v>
      </c>
      <c r="M2999" t="e">
        <v>#N/A</v>
      </c>
      <c r="N2999" t="e">
        <v>#N/A</v>
      </c>
      <c r="O2999" t="s">
        <v>97</v>
      </c>
    </row>
    <row r="3000" spans="1:15" x14ac:dyDescent="0.2">
      <c r="A3000">
        <v>229</v>
      </c>
      <c r="B3000">
        <v>230</v>
      </c>
      <c r="C3000">
        <v>229</v>
      </c>
      <c r="D3000">
        <v>228</v>
      </c>
      <c r="E3000" t="s">
        <v>251</v>
      </c>
      <c r="F3000" t="s">
        <v>47</v>
      </c>
      <c r="G3000">
        <v>54</v>
      </c>
      <c r="H3000" t="s">
        <v>203</v>
      </c>
      <c r="I3000">
        <v>0</v>
      </c>
      <c r="J3000" t="s">
        <v>296</v>
      </c>
      <c r="K3000" t="e">
        <v>#N/A</v>
      </c>
      <c r="L3000" t="e">
        <v>#N/A</v>
      </c>
      <c r="M3000" t="e">
        <v>#N/A</v>
      </c>
      <c r="N3000" t="e">
        <v>#N/A</v>
      </c>
      <c r="O3000" t="s">
        <v>97</v>
      </c>
    </row>
    <row r="3001" spans="1:15" x14ac:dyDescent="0.2">
      <c r="A3001">
        <v>44</v>
      </c>
      <c r="B3001">
        <v>45</v>
      </c>
      <c r="C3001">
        <v>44</v>
      </c>
      <c r="D3001">
        <v>43</v>
      </c>
      <c r="E3001" t="s">
        <v>30</v>
      </c>
      <c r="F3001" t="s">
        <v>38</v>
      </c>
      <c r="G3001">
        <v>54</v>
      </c>
      <c r="H3001" t="s">
        <v>203</v>
      </c>
      <c r="I3001">
        <v>0</v>
      </c>
      <c r="J3001" t="s">
        <v>214</v>
      </c>
      <c r="K3001" t="e">
        <v>#N/A</v>
      </c>
      <c r="L3001" t="e">
        <v>#N/A</v>
      </c>
      <c r="M3001" t="e">
        <v>#N/A</v>
      </c>
      <c r="N3001" t="e">
        <v>#N/A</v>
      </c>
      <c r="O3001" t="s">
        <v>97</v>
      </c>
    </row>
    <row r="3002" spans="1:15" x14ac:dyDescent="0.2">
      <c r="A3002">
        <v>44</v>
      </c>
      <c r="B3002">
        <v>45</v>
      </c>
      <c r="C3002">
        <v>44</v>
      </c>
      <c r="D3002">
        <v>43</v>
      </c>
      <c r="E3002" t="s">
        <v>30</v>
      </c>
      <c r="F3002" t="s">
        <v>38</v>
      </c>
      <c r="G3002">
        <v>52</v>
      </c>
      <c r="H3002" t="s">
        <v>200</v>
      </c>
      <c r="I3002">
        <v>0</v>
      </c>
      <c r="J3002" t="s">
        <v>297</v>
      </c>
      <c r="K3002" t="e">
        <v>#N/A</v>
      </c>
      <c r="L3002" t="e">
        <v>#N/A</v>
      </c>
      <c r="M3002" t="e">
        <v>#N/A</v>
      </c>
      <c r="N3002" t="e">
        <v>#N/A</v>
      </c>
      <c r="O3002" t="s">
        <v>97</v>
      </c>
    </row>
    <row r="3003" spans="1:15" x14ac:dyDescent="0.2">
      <c r="A3003">
        <v>405</v>
      </c>
      <c r="B3003">
        <v>406</v>
      </c>
      <c r="C3003">
        <v>405</v>
      </c>
      <c r="D3003">
        <v>404</v>
      </c>
      <c r="E3003" t="s">
        <v>57</v>
      </c>
      <c r="F3003" t="s">
        <v>77</v>
      </c>
      <c r="G3003">
        <v>52</v>
      </c>
      <c r="H3003" t="s">
        <v>200</v>
      </c>
      <c r="I3003">
        <v>0</v>
      </c>
      <c r="J3003">
        <v>0</v>
      </c>
      <c r="K3003" t="e">
        <v>#N/A</v>
      </c>
      <c r="L3003" t="e">
        <v>#N/A</v>
      </c>
      <c r="M3003" t="e">
        <v>#N/A</v>
      </c>
      <c r="N3003" t="e">
        <v>#N/A</v>
      </c>
      <c r="O3003" t="s">
        <v>97</v>
      </c>
    </row>
    <row r="3004" spans="1:15" x14ac:dyDescent="0.2">
      <c r="A3004">
        <v>390</v>
      </c>
      <c r="B3004">
        <v>391</v>
      </c>
      <c r="C3004">
        <v>390</v>
      </c>
      <c r="D3004">
        <v>389</v>
      </c>
      <c r="E3004" t="s">
        <v>57</v>
      </c>
      <c r="F3004" t="s">
        <v>76</v>
      </c>
      <c r="G3004">
        <v>52</v>
      </c>
      <c r="H3004" t="s">
        <v>200</v>
      </c>
      <c r="I3004">
        <v>0</v>
      </c>
      <c r="J3004" t="s">
        <v>298</v>
      </c>
      <c r="K3004" t="e">
        <v>#N/A</v>
      </c>
      <c r="L3004" t="e">
        <v>#N/A</v>
      </c>
      <c r="M3004" t="e">
        <v>#N/A</v>
      </c>
      <c r="N3004" t="e">
        <v>#N/A</v>
      </c>
      <c r="O3004" t="s">
        <v>97</v>
      </c>
    </row>
    <row r="3005" spans="1:15" x14ac:dyDescent="0.2">
      <c r="A3005">
        <v>380</v>
      </c>
      <c r="B3005">
        <v>381</v>
      </c>
      <c r="C3005">
        <v>380</v>
      </c>
      <c r="D3005">
        <v>379</v>
      </c>
      <c r="E3005" t="s">
        <v>57</v>
      </c>
      <c r="F3005" t="s">
        <v>75</v>
      </c>
      <c r="G3005">
        <v>52</v>
      </c>
      <c r="H3005" t="s">
        <v>200</v>
      </c>
      <c r="I3005">
        <v>0</v>
      </c>
      <c r="J3005" t="s">
        <v>299</v>
      </c>
      <c r="K3005" t="e">
        <v>#N/A</v>
      </c>
      <c r="L3005" t="e">
        <v>#N/A</v>
      </c>
      <c r="M3005" t="e">
        <v>#N/A</v>
      </c>
      <c r="N3005" t="e">
        <v>#N/A</v>
      </c>
      <c r="O3005" t="s">
        <v>97</v>
      </c>
    </row>
    <row r="3006" spans="1:15" x14ac:dyDescent="0.2">
      <c r="A3006">
        <v>375</v>
      </c>
      <c r="B3006">
        <v>376</v>
      </c>
      <c r="C3006">
        <v>375</v>
      </c>
      <c r="D3006">
        <v>374</v>
      </c>
      <c r="E3006" t="s">
        <v>57</v>
      </c>
      <c r="F3006" t="s">
        <v>74</v>
      </c>
      <c r="G3006">
        <v>52</v>
      </c>
      <c r="H3006" t="s">
        <v>200</v>
      </c>
      <c r="I3006">
        <v>0</v>
      </c>
      <c r="J3006">
        <v>0</v>
      </c>
      <c r="K3006" t="e">
        <v>#N/A</v>
      </c>
      <c r="L3006" t="e">
        <v>#N/A</v>
      </c>
      <c r="M3006" t="e">
        <v>#N/A</v>
      </c>
      <c r="N3006" t="e">
        <v>#N/A</v>
      </c>
      <c r="O3006" t="s">
        <v>97</v>
      </c>
    </row>
    <row r="3007" spans="1:15" x14ac:dyDescent="0.2">
      <c r="A3007">
        <v>370</v>
      </c>
      <c r="B3007">
        <v>371</v>
      </c>
      <c r="C3007">
        <v>370</v>
      </c>
      <c r="D3007">
        <v>369</v>
      </c>
      <c r="E3007" t="s">
        <v>57</v>
      </c>
      <c r="F3007" t="s">
        <v>73</v>
      </c>
      <c r="G3007">
        <v>52</v>
      </c>
      <c r="H3007" t="s">
        <v>200</v>
      </c>
      <c r="I3007">
        <v>0</v>
      </c>
      <c r="J3007">
        <v>0</v>
      </c>
      <c r="K3007" t="e">
        <v>#N/A</v>
      </c>
      <c r="L3007" t="e">
        <v>#N/A</v>
      </c>
      <c r="M3007" t="e">
        <v>#N/A</v>
      </c>
      <c r="N3007" t="e">
        <v>#N/A</v>
      </c>
      <c r="O3007" t="s">
        <v>97</v>
      </c>
    </row>
    <row r="3008" spans="1:15" x14ac:dyDescent="0.2">
      <c r="A3008">
        <v>365</v>
      </c>
      <c r="B3008">
        <v>366</v>
      </c>
      <c r="C3008">
        <v>365</v>
      </c>
      <c r="D3008">
        <v>364</v>
      </c>
      <c r="E3008" t="s">
        <v>57</v>
      </c>
      <c r="F3008" t="s">
        <v>72</v>
      </c>
      <c r="G3008">
        <v>52</v>
      </c>
      <c r="H3008" t="s">
        <v>200</v>
      </c>
      <c r="I3008">
        <v>0</v>
      </c>
      <c r="J3008">
        <v>0</v>
      </c>
      <c r="K3008" t="e">
        <v>#N/A</v>
      </c>
      <c r="L3008" t="e">
        <v>#N/A</v>
      </c>
      <c r="M3008" t="e">
        <v>#N/A</v>
      </c>
      <c r="N3008" t="e">
        <v>#N/A</v>
      </c>
      <c r="O3008" t="s">
        <v>97</v>
      </c>
    </row>
    <row r="3009" spans="1:15" x14ac:dyDescent="0.2">
      <c r="A3009">
        <v>350</v>
      </c>
      <c r="B3009">
        <v>351</v>
      </c>
      <c r="C3009">
        <v>350</v>
      </c>
      <c r="D3009">
        <v>349</v>
      </c>
      <c r="E3009" t="s">
        <v>57</v>
      </c>
      <c r="F3009" t="s">
        <v>70</v>
      </c>
      <c r="G3009">
        <v>52</v>
      </c>
      <c r="H3009" t="s">
        <v>200</v>
      </c>
      <c r="I3009">
        <v>0</v>
      </c>
      <c r="J3009" t="s">
        <v>300</v>
      </c>
      <c r="K3009" t="e">
        <v>#N/A</v>
      </c>
      <c r="L3009" t="e">
        <v>#N/A</v>
      </c>
      <c r="M3009" t="e">
        <v>#N/A</v>
      </c>
      <c r="N3009" t="e">
        <v>#N/A</v>
      </c>
      <c r="O3009" t="s">
        <v>97</v>
      </c>
    </row>
    <row r="3010" spans="1:15" x14ac:dyDescent="0.2">
      <c r="A3010">
        <v>345</v>
      </c>
      <c r="B3010">
        <v>346</v>
      </c>
      <c r="C3010">
        <v>345</v>
      </c>
      <c r="D3010">
        <v>344</v>
      </c>
      <c r="E3010" t="s">
        <v>57</v>
      </c>
      <c r="F3010" t="s">
        <v>69</v>
      </c>
      <c r="G3010">
        <v>52</v>
      </c>
      <c r="H3010" t="s">
        <v>200</v>
      </c>
      <c r="I3010">
        <v>0</v>
      </c>
      <c r="J3010" t="s">
        <v>301</v>
      </c>
      <c r="K3010" t="e">
        <v>#N/A</v>
      </c>
      <c r="L3010" t="e">
        <v>#N/A</v>
      </c>
      <c r="M3010" t="e">
        <v>#N/A</v>
      </c>
      <c r="N3010" t="e">
        <v>#N/A</v>
      </c>
      <c r="O3010" t="s">
        <v>97</v>
      </c>
    </row>
    <row r="3011" spans="1:15" x14ac:dyDescent="0.2">
      <c r="A3011">
        <v>340</v>
      </c>
      <c r="B3011">
        <v>341</v>
      </c>
      <c r="C3011">
        <v>340</v>
      </c>
      <c r="D3011">
        <v>339</v>
      </c>
      <c r="E3011" t="s">
        <v>57</v>
      </c>
      <c r="F3011" t="s">
        <v>68</v>
      </c>
      <c r="G3011">
        <v>52</v>
      </c>
      <c r="H3011" t="s">
        <v>200</v>
      </c>
      <c r="I3011">
        <v>0</v>
      </c>
      <c r="J3011" t="s">
        <v>302</v>
      </c>
      <c r="K3011" t="e">
        <v>#N/A</v>
      </c>
      <c r="L3011" t="e">
        <v>#N/A</v>
      </c>
      <c r="M3011" t="e">
        <v>#N/A</v>
      </c>
      <c r="N3011" t="e">
        <v>#N/A</v>
      </c>
      <c r="O3011" t="s">
        <v>97</v>
      </c>
    </row>
    <row r="3012" spans="1:15" x14ac:dyDescent="0.2">
      <c r="A3012">
        <v>335</v>
      </c>
      <c r="B3012">
        <v>336</v>
      </c>
      <c r="C3012">
        <v>335</v>
      </c>
      <c r="D3012">
        <v>334</v>
      </c>
      <c r="E3012" t="s">
        <v>57</v>
      </c>
      <c r="F3012" t="s">
        <v>67</v>
      </c>
      <c r="G3012">
        <v>52</v>
      </c>
      <c r="H3012" t="s">
        <v>200</v>
      </c>
      <c r="I3012">
        <v>0</v>
      </c>
      <c r="J3012" t="s">
        <v>303</v>
      </c>
      <c r="K3012" t="e">
        <v>#N/A</v>
      </c>
      <c r="L3012" t="e">
        <v>#N/A</v>
      </c>
      <c r="M3012" t="e">
        <v>#N/A</v>
      </c>
      <c r="N3012" t="e">
        <v>#N/A</v>
      </c>
      <c r="O3012" t="s">
        <v>97</v>
      </c>
    </row>
    <row r="3013" spans="1:15" x14ac:dyDescent="0.2">
      <c r="A3013">
        <v>330</v>
      </c>
      <c r="B3013">
        <v>331</v>
      </c>
      <c r="C3013">
        <v>330</v>
      </c>
      <c r="D3013">
        <v>329</v>
      </c>
      <c r="E3013" t="s">
        <v>57</v>
      </c>
      <c r="F3013" t="s">
        <v>66</v>
      </c>
      <c r="G3013">
        <v>52</v>
      </c>
      <c r="H3013" t="s">
        <v>200</v>
      </c>
      <c r="I3013">
        <v>0</v>
      </c>
      <c r="J3013" t="s">
        <v>304</v>
      </c>
      <c r="K3013" t="e">
        <v>#N/A</v>
      </c>
      <c r="L3013" t="e">
        <v>#N/A</v>
      </c>
      <c r="M3013" t="e">
        <v>#N/A</v>
      </c>
      <c r="N3013" t="e">
        <v>#N/A</v>
      </c>
      <c r="O3013" t="s">
        <v>97</v>
      </c>
    </row>
    <row r="3014" spans="1:15" x14ac:dyDescent="0.2">
      <c r="A3014">
        <v>325</v>
      </c>
      <c r="B3014">
        <v>326</v>
      </c>
      <c r="C3014">
        <v>325</v>
      </c>
      <c r="D3014">
        <v>324</v>
      </c>
      <c r="E3014" t="s">
        <v>57</v>
      </c>
      <c r="F3014" t="s">
        <v>65</v>
      </c>
      <c r="G3014">
        <v>52</v>
      </c>
      <c r="H3014" t="s">
        <v>200</v>
      </c>
      <c r="I3014">
        <v>0</v>
      </c>
      <c r="J3014">
        <v>0</v>
      </c>
      <c r="K3014" t="e">
        <v>#N/A</v>
      </c>
      <c r="L3014" t="e">
        <v>#N/A</v>
      </c>
      <c r="M3014" t="e">
        <v>#N/A</v>
      </c>
      <c r="N3014" t="e">
        <v>#N/A</v>
      </c>
      <c r="O3014" t="s">
        <v>97</v>
      </c>
    </row>
    <row r="3015" spans="1:15" x14ac:dyDescent="0.2">
      <c r="A3015">
        <v>315</v>
      </c>
      <c r="B3015">
        <v>316</v>
      </c>
      <c r="C3015">
        <v>315</v>
      </c>
      <c r="D3015">
        <v>314</v>
      </c>
      <c r="E3015" t="s">
        <v>57</v>
      </c>
      <c r="F3015" t="s">
        <v>63</v>
      </c>
      <c r="G3015">
        <v>52</v>
      </c>
      <c r="H3015" t="s">
        <v>200</v>
      </c>
      <c r="I3015">
        <v>0</v>
      </c>
      <c r="J3015">
        <v>0</v>
      </c>
      <c r="K3015" t="e">
        <v>#N/A</v>
      </c>
      <c r="L3015" t="e">
        <v>#N/A</v>
      </c>
      <c r="M3015" t="e">
        <v>#N/A</v>
      </c>
      <c r="N3015" t="e">
        <v>#N/A</v>
      </c>
      <c r="O3015" t="s">
        <v>97</v>
      </c>
    </row>
    <row r="3016" spans="1:15" x14ac:dyDescent="0.2">
      <c r="A3016">
        <v>300</v>
      </c>
      <c r="B3016">
        <v>301</v>
      </c>
      <c r="C3016">
        <v>300</v>
      </c>
      <c r="D3016">
        <v>299</v>
      </c>
      <c r="E3016" t="s">
        <v>57</v>
      </c>
      <c r="F3016" t="s">
        <v>62</v>
      </c>
      <c r="G3016">
        <v>52</v>
      </c>
      <c r="H3016" t="s">
        <v>200</v>
      </c>
      <c r="I3016">
        <v>0</v>
      </c>
      <c r="J3016" t="s">
        <v>305</v>
      </c>
      <c r="K3016" t="e">
        <v>#N/A</v>
      </c>
      <c r="L3016" t="e">
        <v>#N/A</v>
      </c>
      <c r="M3016" t="e">
        <v>#N/A</v>
      </c>
      <c r="N3016" t="e">
        <v>#N/A</v>
      </c>
      <c r="O3016" t="s">
        <v>97</v>
      </c>
    </row>
    <row r="3017" spans="1:15" x14ac:dyDescent="0.2">
      <c r="A3017">
        <v>290</v>
      </c>
      <c r="B3017">
        <v>291</v>
      </c>
      <c r="C3017">
        <v>290</v>
      </c>
      <c r="D3017">
        <v>289</v>
      </c>
      <c r="E3017" t="s">
        <v>57</v>
      </c>
      <c r="F3017" t="s">
        <v>61</v>
      </c>
      <c r="G3017">
        <v>52</v>
      </c>
      <c r="H3017" t="s">
        <v>200</v>
      </c>
      <c r="I3017">
        <v>0</v>
      </c>
      <c r="J3017" t="s">
        <v>306</v>
      </c>
      <c r="K3017" t="e">
        <v>#N/A</v>
      </c>
      <c r="L3017" t="e">
        <v>#N/A</v>
      </c>
      <c r="M3017" t="e">
        <v>#N/A</v>
      </c>
      <c r="N3017" t="e">
        <v>#N/A</v>
      </c>
      <c r="O3017" t="s">
        <v>97</v>
      </c>
    </row>
    <row r="3018" spans="1:15" x14ac:dyDescent="0.2">
      <c r="A3018">
        <v>285</v>
      </c>
      <c r="B3018">
        <v>286</v>
      </c>
      <c r="C3018">
        <v>285</v>
      </c>
      <c r="D3018">
        <v>284</v>
      </c>
      <c r="E3018" t="s">
        <v>57</v>
      </c>
      <c r="F3018" t="s">
        <v>60</v>
      </c>
      <c r="G3018">
        <v>52</v>
      </c>
      <c r="H3018" t="s">
        <v>200</v>
      </c>
      <c r="I3018">
        <v>0</v>
      </c>
      <c r="J3018">
        <v>0</v>
      </c>
      <c r="K3018" t="e">
        <v>#N/A</v>
      </c>
      <c r="L3018" t="e">
        <v>#N/A</v>
      </c>
      <c r="M3018" t="e">
        <v>#N/A</v>
      </c>
      <c r="N3018" t="e">
        <v>#N/A</v>
      </c>
      <c r="O3018" t="s">
        <v>97</v>
      </c>
    </row>
    <row r="3019" spans="1:15" x14ac:dyDescent="0.2">
      <c r="A3019">
        <v>280</v>
      </c>
      <c r="B3019">
        <v>281</v>
      </c>
      <c r="C3019">
        <v>280</v>
      </c>
      <c r="D3019">
        <v>279</v>
      </c>
      <c r="E3019" t="s">
        <v>57</v>
      </c>
      <c r="F3019" t="s">
        <v>59</v>
      </c>
      <c r="G3019">
        <v>52</v>
      </c>
      <c r="H3019" t="s">
        <v>200</v>
      </c>
      <c r="I3019">
        <v>0</v>
      </c>
      <c r="J3019">
        <v>0</v>
      </c>
      <c r="K3019" t="e">
        <v>#N/A</v>
      </c>
      <c r="L3019" t="e">
        <v>#N/A</v>
      </c>
      <c r="M3019" t="e">
        <v>#N/A</v>
      </c>
      <c r="N3019" t="e">
        <v>#N/A</v>
      </c>
      <c r="O3019" t="s">
        <v>97</v>
      </c>
    </row>
    <row r="3020" spans="1:15" x14ac:dyDescent="0.2">
      <c r="A3020">
        <v>260</v>
      </c>
      <c r="B3020">
        <v>261</v>
      </c>
      <c r="C3020">
        <v>260</v>
      </c>
      <c r="D3020">
        <v>259</v>
      </c>
      <c r="E3020" t="s">
        <v>57</v>
      </c>
      <c r="F3020" t="s">
        <v>58</v>
      </c>
      <c r="G3020">
        <v>52</v>
      </c>
      <c r="H3020" t="s">
        <v>200</v>
      </c>
      <c r="I3020">
        <v>0</v>
      </c>
      <c r="J3020">
        <v>0</v>
      </c>
      <c r="K3020" t="e">
        <v>#N/A</v>
      </c>
      <c r="L3020" t="e">
        <v>#N/A</v>
      </c>
      <c r="M3020" t="e">
        <v>#N/A</v>
      </c>
      <c r="N3020" t="e">
        <v>#N/A</v>
      </c>
      <c r="O3020" t="s">
        <v>97</v>
      </c>
    </row>
    <row r="3021" spans="1:15" x14ac:dyDescent="0.2">
      <c r="A3021">
        <v>239</v>
      </c>
      <c r="B3021">
        <v>240</v>
      </c>
      <c r="C3021">
        <v>239</v>
      </c>
      <c r="D3021">
        <v>238</v>
      </c>
      <c r="E3021" t="s">
        <v>251</v>
      </c>
      <c r="F3021" t="s">
        <v>49</v>
      </c>
      <c r="G3021">
        <v>52</v>
      </c>
      <c r="H3021" t="s">
        <v>200</v>
      </c>
      <c r="I3021">
        <v>0</v>
      </c>
      <c r="J3021" t="s">
        <v>307</v>
      </c>
      <c r="K3021" t="e">
        <v>#N/A</v>
      </c>
      <c r="L3021" t="e">
        <v>#N/A</v>
      </c>
      <c r="M3021" t="e">
        <v>#N/A</v>
      </c>
      <c r="N3021" t="e">
        <v>#N/A</v>
      </c>
      <c r="O3021" t="s">
        <v>97</v>
      </c>
    </row>
    <row r="3022" spans="1:15" x14ac:dyDescent="0.2">
      <c r="A3022">
        <v>234</v>
      </c>
      <c r="B3022">
        <v>235</v>
      </c>
      <c r="C3022">
        <v>234</v>
      </c>
      <c r="D3022">
        <v>233</v>
      </c>
      <c r="E3022" t="s">
        <v>251</v>
      </c>
      <c r="F3022" t="s">
        <v>48</v>
      </c>
      <c r="G3022">
        <v>52</v>
      </c>
      <c r="H3022" t="s">
        <v>200</v>
      </c>
      <c r="I3022">
        <v>0</v>
      </c>
      <c r="J3022" t="s">
        <v>308</v>
      </c>
      <c r="K3022" t="e">
        <v>#N/A</v>
      </c>
      <c r="L3022" t="e">
        <v>#N/A</v>
      </c>
      <c r="M3022" t="e">
        <v>#N/A</v>
      </c>
      <c r="N3022" t="e">
        <v>#N/A</v>
      </c>
      <c r="O3022" t="s">
        <v>97</v>
      </c>
    </row>
    <row r="3023" spans="1:15" x14ac:dyDescent="0.2">
      <c r="A3023">
        <v>229</v>
      </c>
      <c r="B3023">
        <v>230</v>
      </c>
      <c r="C3023">
        <v>229</v>
      </c>
      <c r="D3023">
        <v>228</v>
      </c>
      <c r="E3023" t="s">
        <v>251</v>
      </c>
      <c r="F3023" t="s">
        <v>47</v>
      </c>
      <c r="G3023">
        <v>52</v>
      </c>
      <c r="H3023" t="s">
        <v>200</v>
      </c>
      <c r="I3023">
        <v>0</v>
      </c>
      <c r="J3023" t="s">
        <v>287</v>
      </c>
      <c r="K3023" t="e">
        <v>#N/A</v>
      </c>
      <c r="L3023" t="e">
        <v>#N/A</v>
      </c>
      <c r="M3023" t="e">
        <v>#N/A</v>
      </c>
      <c r="N3023" t="e">
        <v>#N/A</v>
      </c>
      <c r="O3023" t="s">
        <v>97</v>
      </c>
    </row>
    <row r="3024" spans="1:15" x14ac:dyDescent="0.2">
      <c r="A3024">
        <v>234</v>
      </c>
      <c r="B3024">
        <v>235</v>
      </c>
      <c r="C3024">
        <v>234</v>
      </c>
      <c r="D3024">
        <v>233</v>
      </c>
      <c r="E3024" t="s">
        <v>251</v>
      </c>
      <c r="F3024" t="s">
        <v>48</v>
      </c>
      <c r="G3024">
        <v>52</v>
      </c>
      <c r="H3024" t="s">
        <v>200</v>
      </c>
      <c r="I3024">
        <v>0</v>
      </c>
      <c r="J3024" t="s">
        <v>308</v>
      </c>
      <c r="K3024" t="e">
        <v>#N/A</v>
      </c>
      <c r="L3024" t="e">
        <v>#N/A</v>
      </c>
      <c r="M3024" t="e">
        <v>#N/A</v>
      </c>
      <c r="N3024" t="e">
        <v>#N/A</v>
      </c>
      <c r="O3024" t="s">
        <v>97</v>
      </c>
    </row>
    <row r="3025" spans="1:15" x14ac:dyDescent="0.2">
      <c r="A3025">
        <v>229</v>
      </c>
      <c r="B3025">
        <v>230</v>
      </c>
      <c r="C3025">
        <v>229</v>
      </c>
      <c r="D3025">
        <v>228</v>
      </c>
      <c r="E3025" t="s">
        <v>251</v>
      </c>
      <c r="F3025" t="s">
        <v>47</v>
      </c>
      <c r="G3025">
        <v>52</v>
      </c>
      <c r="H3025" t="s">
        <v>200</v>
      </c>
      <c r="I3025">
        <v>0</v>
      </c>
      <c r="J3025" t="s">
        <v>287</v>
      </c>
      <c r="K3025" t="e">
        <v>#N/A</v>
      </c>
      <c r="L3025" t="e">
        <v>#N/A</v>
      </c>
      <c r="M3025" t="e">
        <v>#N/A</v>
      </c>
      <c r="N3025" t="e">
        <v>#N/A</v>
      </c>
      <c r="O3025" t="s">
        <v>97</v>
      </c>
    </row>
    <row r="3026" spans="1:15" x14ac:dyDescent="0.2">
      <c r="A3026">
        <v>44</v>
      </c>
      <c r="B3026">
        <v>45</v>
      </c>
      <c r="C3026">
        <v>44</v>
      </c>
      <c r="D3026">
        <v>43</v>
      </c>
      <c r="E3026" t="s">
        <v>30</v>
      </c>
      <c r="F3026" t="s">
        <v>38</v>
      </c>
      <c r="G3026">
        <v>52</v>
      </c>
      <c r="H3026" t="s">
        <v>200</v>
      </c>
      <c r="I3026">
        <v>0</v>
      </c>
      <c r="J3026" t="s">
        <v>297</v>
      </c>
      <c r="K3026" t="e">
        <v>#N/A</v>
      </c>
      <c r="L3026" t="e">
        <v>#N/A</v>
      </c>
      <c r="M3026" t="e">
        <v>#N/A</v>
      </c>
      <c r="N3026" t="e">
        <v>#N/A</v>
      </c>
      <c r="O3026" t="s">
        <v>97</v>
      </c>
    </row>
    <row r="3027" spans="1:15" x14ac:dyDescent="0.2">
      <c r="A3027">
        <v>229</v>
      </c>
      <c r="B3027">
        <v>230</v>
      </c>
      <c r="C3027">
        <v>229</v>
      </c>
      <c r="D3027">
        <v>228</v>
      </c>
      <c r="E3027" t="s">
        <v>251</v>
      </c>
      <c r="F3027" t="s">
        <v>47</v>
      </c>
      <c r="G3027">
        <v>52</v>
      </c>
      <c r="H3027" t="s">
        <v>200</v>
      </c>
      <c r="I3027">
        <v>0</v>
      </c>
      <c r="J3027" t="s">
        <v>287</v>
      </c>
      <c r="K3027" t="e">
        <v>#N/A</v>
      </c>
      <c r="L3027" t="e">
        <v>#N/A</v>
      </c>
      <c r="M3027" t="e">
        <v>#N/A</v>
      </c>
      <c r="N3027" t="e">
        <v>#N/A</v>
      </c>
      <c r="O3027" t="s">
        <v>97</v>
      </c>
    </row>
    <row r="3028" spans="1:15" x14ac:dyDescent="0.2">
      <c r="A3028">
        <v>234</v>
      </c>
      <c r="B3028">
        <v>235</v>
      </c>
      <c r="C3028">
        <v>234</v>
      </c>
      <c r="D3028">
        <v>233</v>
      </c>
      <c r="E3028" t="s">
        <v>251</v>
      </c>
      <c r="F3028" t="s">
        <v>48</v>
      </c>
      <c r="G3028">
        <v>52</v>
      </c>
      <c r="H3028" t="s">
        <v>200</v>
      </c>
      <c r="I3028">
        <v>0</v>
      </c>
      <c r="J3028" t="s">
        <v>308</v>
      </c>
      <c r="K3028" t="e">
        <v>#N/A</v>
      </c>
      <c r="L3028" t="e">
        <v>#N/A</v>
      </c>
      <c r="M3028" t="e">
        <v>#N/A</v>
      </c>
      <c r="N3028" t="e">
        <v>#N/A</v>
      </c>
      <c r="O3028" t="s">
        <v>97</v>
      </c>
    </row>
    <row r="3029" spans="1:15" x14ac:dyDescent="0.2">
      <c r="A3029">
        <v>229</v>
      </c>
      <c r="B3029">
        <v>230</v>
      </c>
      <c r="C3029">
        <v>229</v>
      </c>
      <c r="D3029">
        <v>228</v>
      </c>
      <c r="E3029" t="s">
        <v>251</v>
      </c>
      <c r="F3029" t="s">
        <v>47</v>
      </c>
      <c r="G3029">
        <v>52</v>
      </c>
      <c r="H3029" t="s">
        <v>200</v>
      </c>
      <c r="I3029">
        <v>0</v>
      </c>
      <c r="J3029" t="s">
        <v>287</v>
      </c>
      <c r="K3029" t="e">
        <v>#N/A</v>
      </c>
      <c r="L3029" t="e">
        <v>#N/A</v>
      </c>
      <c r="M3029" t="e">
        <v>#N/A</v>
      </c>
      <c r="N3029" t="e">
        <v>#N/A</v>
      </c>
      <c r="O3029" t="s">
        <v>97</v>
      </c>
    </row>
    <row r="3030" spans="1:15" x14ac:dyDescent="0.2">
      <c r="A3030">
        <v>44</v>
      </c>
      <c r="B3030">
        <v>45</v>
      </c>
      <c r="C3030">
        <v>44</v>
      </c>
      <c r="D3030">
        <v>43</v>
      </c>
      <c r="E3030" t="s">
        <v>30</v>
      </c>
      <c r="F3030" t="s">
        <v>38</v>
      </c>
      <c r="G3030">
        <v>52</v>
      </c>
      <c r="H3030" t="s">
        <v>200</v>
      </c>
      <c r="I3030">
        <v>0</v>
      </c>
      <c r="J3030" t="s">
        <v>297</v>
      </c>
      <c r="K3030" t="e">
        <v>#N/A</v>
      </c>
      <c r="L3030" t="e">
        <v>#N/A</v>
      </c>
      <c r="M3030" t="e">
        <v>#N/A</v>
      </c>
      <c r="N3030" t="e">
        <v>#N/A</v>
      </c>
      <c r="O3030" t="s">
        <v>97</v>
      </c>
    </row>
    <row r="3031" spans="1:15" x14ac:dyDescent="0.2">
      <c r="A3031">
        <v>410</v>
      </c>
      <c r="B3031">
        <v>411</v>
      </c>
      <c r="C3031">
        <v>410</v>
      </c>
      <c r="D3031">
        <v>409</v>
      </c>
      <c r="E3031" t="s">
        <v>57</v>
      </c>
      <c r="F3031" t="s">
        <v>78</v>
      </c>
      <c r="G3031">
        <v>1</v>
      </c>
      <c r="H3031" t="s">
        <v>92</v>
      </c>
      <c r="I3031">
        <v>0.2</v>
      </c>
      <c r="J3031">
        <v>0.2</v>
      </c>
      <c r="K3031" t="s">
        <v>93</v>
      </c>
      <c r="L3031" t="s">
        <v>94</v>
      </c>
      <c r="M3031" t="s">
        <v>95</v>
      </c>
      <c r="N3031" t="s">
        <v>96</v>
      </c>
      <c r="O3031" t="s">
        <v>97</v>
      </c>
    </row>
    <row r="3032" spans="1:15" x14ac:dyDescent="0.2">
      <c r="A3032">
        <v>410</v>
      </c>
      <c r="B3032">
        <v>411</v>
      </c>
      <c r="C3032">
        <v>410</v>
      </c>
      <c r="D3032">
        <v>409</v>
      </c>
      <c r="E3032" t="s">
        <v>57</v>
      </c>
      <c r="F3032" t="s">
        <v>78</v>
      </c>
      <c r="G3032">
        <v>2</v>
      </c>
      <c r="H3032" t="s">
        <v>98</v>
      </c>
      <c r="I3032">
        <v>0.25</v>
      </c>
      <c r="J3032">
        <v>0.5</v>
      </c>
      <c r="K3032" t="s">
        <v>93</v>
      </c>
      <c r="L3032" t="s">
        <v>99</v>
      </c>
      <c r="M3032" t="s">
        <v>95</v>
      </c>
      <c r="N3032" t="s">
        <v>96</v>
      </c>
      <c r="O3032" t="s">
        <v>97</v>
      </c>
    </row>
    <row r="3033" spans="1:15" x14ac:dyDescent="0.2">
      <c r="A3033">
        <v>410</v>
      </c>
      <c r="B3033">
        <v>411</v>
      </c>
      <c r="C3033">
        <v>410</v>
      </c>
      <c r="D3033">
        <v>409</v>
      </c>
      <c r="E3033" t="s">
        <v>57</v>
      </c>
      <c r="F3033" t="s">
        <v>78</v>
      </c>
      <c r="G3033">
        <v>3</v>
      </c>
      <c r="H3033" t="s">
        <v>100</v>
      </c>
      <c r="I3033">
        <v>0.5</v>
      </c>
      <c r="J3033">
        <v>1</v>
      </c>
      <c r="K3033" t="s">
        <v>101</v>
      </c>
      <c r="L3033" t="s">
        <v>102</v>
      </c>
      <c r="M3033" t="s">
        <v>103</v>
      </c>
      <c r="N3033" t="s">
        <v>96</v>
      </c>
      <c r="O3033" t="s">
        <v>97</v>
      </c>
    </row>
    <row r="3034" spans="1:15" x14ac:dyDescent="0.2">
      <c r="A3034">
        <v>410</v>
      </c>
      <c r="B3034">
        <v>411</v>
      </c>
      <c r="C3034">
        <v>410</v>
      </c>
      <c r="D3034">
        <v>409</v>
      </c>
      <c r="E3034" t="s">
        <v>57</v>
      </c>
      <c r="F3034" t="s">
        <v>78</v>
      </c>
      <c r="G3034">
        <v>4</v>
      </c>
      <c r="H3034" t="s">
        <v>104</v>
      </c>
      <c r="I3034">
        <v>0.5</v>
      </c>
      <c r="J3034">
        <v>1</v>
      </c>
      <c r="K3034" t="s">
        <v>101</v>
      </c>
      <c r="L3034" t="s">
        <v>105</v>
      </c>
      <c r="M3034" t="s">
        <v>106</v>
      </c>
      <c r="N3034" t="s">
        <v>107</v>
      </c>
      <c r="O3034" t="s">
        <v>97</v>
      </c>
    </row>
    <row r="3035" spans="1:15" x14ac:dyDescent="0.2">
      <c r="A3035">
        <v>410</v>
      </c>
      <c r="B3035">
        <v>411</v>
      </c>
      <c r="C3035">
        <v>410</v>
      </c>
      <c r="D3035">
        <v>409</v>
      </c>
      <c r="E3035" t="s">
        <v>57</v>
      </c>
      <c r="F3035" t="s">
        <v>78</v>
      </c>
      <c r="G3035">
        <v>5</v>
      </c>
      <c r="H3035" t="s">
        <v>108</v>
      </c>
      <c r="I3035">
        <v>0</v>
      </c>
      <c r="J3035">
        <v>1</v>
      </c>
      <c r="K3035" t="s">
        <v>101</v>
      </c>
      <c r="L3035" t="s">
        <v>109</v>
      </c>
      <c r="M3035" t="s">
        <v>110</v>
      </c>
      <c r="N3035" t="s">
        <v>107</v>
      </c>
      <c r="O3035" t="s">
        <v>97</v>
      </c>
    </row>
    <row r="3036" spans="1:15" x14ac:dyDescent="0.2">
      <c r="A3036">
        <v>410</v>
      </c>
      <c r="B3036">
        <v>411</v>
      </c>
      <c r="C3036">
        <v>410</v>
      </c>
      <c r="D3036">
        <v>409</v>
      </c>
      <c r="E3036" t="s">
        <v>57</v>
      </c>
      <c r="F3036" t="s">
        <v>78</v>
      </c>
      <c r="G3036">
        <v>9</v>
      </c>
      <c r="H3036" t="s">
        <v>111</v>
      </c>
      <c r="I3036">
        <v>0.5</v>
      </c>
      <c r="J3036">
        <v>0.5</v>
      </c>
      <c r="K3036" t="s">
        <v>112</v>
      </c>
      <c r="L3036" t="s">
        <v>113</v>
      </c>
      <c r="M3036" t="s">
        <v>114</v>
      </c>
      <c r="N3036" t="s">
        <v>96</v>
      </c>
      <c r="O3036" t="s">
        <v>97</v>
      </c>
    </row>
    <row r="3037" spans="1:15" x14ac:dyDescent="0.2">
      <c r="A3037">
        <v>410</v>
      </c>
      <c r="B3037">
        <v>411</v>
      </c>
      <c r="C3037">
        <v>410</v>
      </c>
      <c r="D3037">
        <v>409</v>
      </c>
      <c r="E3037" t="s">
        <v>57</v>
      </c>
      <c r="F3037" t="s">
        <v>78</v>
      </c>
      <c r="G3037">
        <v>10</v>
      </c>
      <c r="H3037" t="s">
        <v>115</v>
      </c>
      <c r="I3037">
        <v>0.25</v>
      </c>
      <c r="J3037">
        <v>0.5</v>
      </c>
      <c r="K3037" t="s">
        <v>112</v>
      </c>
      <c r="L3037" t="s">
        <v>116</v>
      </c>
      <c r="M3037" t="s">
        <v>117</v>
      </c>
      <c r="N3037" t="s">
        <v>96</v>
      </c>
      <c r="O3037" t="s">
        <v>97</v>
      </c>
    </row>
    <row r="3038" spans="1:15" x14ac:dyDescent="0.2">
      <c r="A3038">
        <v>410</v>
      </c>
      <c r="B3038">
        <v>411</v>
      </c>
      <c r="C3038">
        <v>410</v>
      </c>
      <c r="D3038">
        <v>409</v>
      </c>
      <c r="E3038" t="s">
        <v>57</v>
      </c>
      <c r="F3038" t="s">
        <v>78</v>
      </c>
      <c r="G3038">
        <v>11</v>
      </c>
      <c r="H3038" t="s">
        <v>118</v>
      </c>
      <c r="I3038">
        <v>1</v>
      </c>
      <c r="J3038">
        <v>1</v>
      </c>
      <c r="K3038" t="s">
        <v>112</v>
      </c>
      <c r="L3038" t="s">
        <v>119</v>
      </c>
      <c r="M3038" t="s">
        <v>120</v>
      </c>
      <c r="N3038" t="s">
        <v>107</v>
      </c>
      <c r="O3038" t="s">
        <v>97</v>
      </c>
    </row>
    <row r="3039" spans="1:15" x14ac:dyDescent="0.2">
      <c r="A3039">
        <v>410</v>
      </c>
      <c r="B3039">
        <v>411</v>
      </c>
      <c r="C3039">
        <v>410</v>
      </c>
      <c r="D3039">
        <v>409</v>
      </c>
      <c r="E3039" t="s">
        <v>57</v>
      </c>
      <c r="F3039" t="s">
        <v>78</v>
      </c>
      <c r="G3039">
        <v>12</v>
      </c>
      <c r="H3039" t="s">
        <v>121</v>
      </c>
      <c r="I3039">
        <v>0</v>
      </c>
      <c r="J3039">
        <v>0.5</v>
      </c>
      <c r="K3039" t="s">
        <v>122</v>
      </c>
      <c r="L3039" t="s">
        <v>113</v>
      </c>
      <c r="M3039" t="s">
        <v>123</v>
      </c>
      <c r="N3039" t="s">
        <v>96</v>
      </c>
      <c r="O3039" t="s">
        <v>97</v>
      </c>
    </row>
    <row r="3040" spans="1:15" x14ac:dyDescent="0.2">
      <c r="A3040">
        <v>410</v>
      </c>
      <c r="B3040">
        <v>411</v>
      </c>
      <c r="C3040">
        <v>410</v>
      </c>
      <c r="D3040">
        <v>409</v>
      </c>
      <c r="E3040" t="s">
        <v>57</v>
      </c>
      <c r="F3040" t="s">
        <v>78</v>
      </c>
      <c r="G3040">
        <v>13</v>
      </c>
      <c r="H3040" t="s">
        <v>124</v>
      </c>
      <c r="I3040">
        <v>0</v>
      </c>
      <c r="J3040">
        <v>0.5</v>
      </c>
      <c r="K3040" t="s">
        <v>122</v>
      </c>
      <c r="L3040" t="s">
        <v>125</v>
      </c>
      <c r="M3040" t="s">
        <v>126</v>
      </c>
      <c r="N3040" t="s">
        <v>96</v>
      </c>
      <c r="O3040" t="s">
        <v>97</v>
      </c>
    </row>
    <row r="3041" spans="1:15" x14ac:dyDescent="0.2">
      <c r="A3041">
        <v>410</v>
      </c>
      <c r="B3041">
        <v>411</v>
      </c>
      <c r="C3041">
        <v>410</v>
      </c>
      <c r="D3041">
        <v>409</v>
      </c>
      <c r="E3041" t="s">
        <v>57</v>
      </c>
      <c r="F3041" t="s">
        <v>78</v>
      </c>
      <c r="G3041">
        <v>14</v>
      </c>
      <c r="H3041" t="s">
        <v>127</v>
      </c>
      <c r="I3041">
        <v>0.5</v>
      </c>
      <c r="J3041">
        <v>1</v>
      </c>
      <c r="K3041" t="s">
        <v>122</v>
      </c>
      <c r="L3041" t="s">
        <v>119</v>
      </c>
      <c r="M3041" t="s">
        <v>128</v>
      </c>
      <c r="N3041" t="s">
        <v>107</v>
      </c>
      <c r="O3041" t="s">
        <v>97</v>
      </c>
    </row>
    <row r="3042" spans="1:15" x14ac:dyDescent="0.2">
      <c r="A3042">
        <v>410</v>
      </c>
      <c r="B3042">
        <v>411</v>
      </c>
      <c r="C3042">
        <v>410</v>
      </c>
      <c r="D3042">
        <v>409</v>
      </c>
      <c r="E3042" t="s">
        <v>57</v>
      </c>
      <c r="F3042" t="s">
        <v>78</v>
      </c>
      <c r="G3042">
        <v>15</v>
      </c>
      <c r="H3042" t="s">
        <v>129</v>
      </c>
      <c r="I3042">
        <v>0</v>
      </c>
      <c r="J3042">
        <v>1</v>
      </c>
      <c r="K3042" t="s">
        <v>130</v>
      </c>
      <c r="L3042" t="s">
        <v>131</v>
      </c>
      <c r="M3042" t="s">
        <v>132</v>
      </c>
      <c r="N3042" t="s">
        <v>107</v>
      </c>
      <c r="O3042" t="s">
        <v>97</v>
      </c>
    </row>
    <row r="3043" spans="1:15" x14ac:dyDescent="0.2">
      <c r="A3043">
        <v>410</v>
      </c>
      <c r="B3043">
        <v>411</v>
      </c>
      <c r="C3043">
        <v>410</v>
      </c>
      <c r="D3043">
        <v>409</v>
      </c>
      <c r="E3043" t="s">
        <v>57</v>
      </c>
      <c r="F3043" t="s">
        <v>78</v>
      </c>
      <c r="G3043">
        <v>16</v>
      </c>
      <c r="H3043" t="s">
        <v>133</v>
      </c>
      <c r="I3043">
        <v>0</v>
      </c>
      <c r="J3043">
        <v>0</v>
      </c>
      <c r="K3043" t="e">
        <v>#N/A</v>
      </c>
      <c r="L3043" t="e">
        <v>#N/A</v>
      </c>
      <c r="M3043" t="e">
        <v>#N/A</v>
      </c>
      <c r="N3043" t="e">
        <v>#N/A</v>
      </c>
      <c r="O3043" t="s">
        <v>97</v>
      </c>
    </row>
    <row r="3044" spans="1:15" x14ac:dyDescent="0.2">
      <c r="A3044">
        <v>410</v>
      </c>
      <c r="B3044">
        <v>411</v>
      </c>
      <c r="C3044">
        <v>410</v>
      </c>
      <c r="D3044">
        <v>409</v>
      </c>
      <c r="E3044" t="s">
        <v>57</v>
      </c>
      <c r="F3044" t="s">
        <v>78</v>
      </c>
      <c r="G3044">
        <v>17</v>
      </c>
      <c r="H3044" t="s">
        <v>134</v>
      </c>
      <c r="I3044">
        <v>0.5</v>
      </c>
      <c r="J3044">
        <v>1</v>
      </c>
      <c r="K3044" t="s">
        <v>112</v>
      </c>
      <c r="L3044" t="s">
        <v>135</v>
      </c>
      <c r="M3044" t="s">
        <v>136</v>
      </c>
      <c r="N3044" t="s">
        <v>107</v>
      </c>
      <c r="O3044" t="s">
        <v>97</v>
      </c>
    </row>
    <row r="3045" spans="1:15" x14ac:dyDescent="0.2">
      <c r="A3045">
        <v>410</v>
      </c>
      <c r="B3045">
        <v>411</v>
      </c>
      <c r="C3045">
        <v>410</v>
      </c>
      <c r="D3045">
        <v>409</v>
      </c>
      <c r="E3045" t="s">
        <v>57</v>
      </c>
      <c r="F3045" t="s">
        <v>78</v>
      </c>
      <c r="G3045">
        <v>18</v>
      </c>
      <c r="H3045" t="s">
        <v>137</v>
      </c>
      <c r="I3045">
        <v>1</v>
      </c>
      <c r="J3045">
        <v>1</v>
      </c>
      <c r="K3045" t="s">
        <v>112</v>
      </c>
      <c r="L3045" t="s">
        <v>138</v>
      </c>
      <c r="M3045" t="s">
        <v>139</v>
      </c>
      <c r="N3045" t="s">
        <v>107</v>
      </c>
      <c r="O3045" t="s">
        <v>97</v>
      </c>
    </row>
    <row r="3046" spans="1:15" x14ac:dyDescent="0.2">
      <c r="A3046">
        <v>410</v>
      </c>
      <c r="B3046">
        <v>411</v>
      </c>
      <c r="C3046">
        <v>410</v>
      </c>
      <c r="D3046">
        <v>409</v>
      </c>
      <c r="E3046" t="s">
        <v>57</v>
      </c>
      <c r="F3046" t="s">
        <v>78</v>
      </c>
      <c r="G3046">
        <v>19</v>
      </c>
      <c r="H3046" t="s">
        <v>140</v>
      </c>
      <c r="I3046">
        <v>0.5</v>
      </c>
      <c r="J3046">
        <v>1</v>
      </c>
      <c r="K3046" t="s">
        <v>122</v>
      </c>
      <c r="L3046" t="s">
        <v>141</v>
      </c>
      <c r="M3046" t="s">
        <v>142</v>
      </c>
      <c r="N3046" t="s">
        <v>107</v>
      </c>
      <c r="O3046" t="s">
        <v>97</v>
      </c>
    </row>
    <row r="3047" spans="1:15" x14ac:dyDescent="0.2">
      <c r="A3047">
        <v>410</v>
      </c>
      <c r="B3047">
        <v>411</v>
      </c>
      <c r="C3047">
        <v>410</v>
      </c>
      <c r="D3047">
        <v>409</v>
      </c>
      <c r="E3047" t="s">
        <v>57</v>
      </c>
      <c r="F3047" t="s">
        <v>78</v>
      </c>
      <c r="G3047">
        <v>20</v>
      </c>
      <c r="H3047" t="s">
        <v>143</v>
      </c>
      <c r="I3047">
        <v>1</v>
      </c>
      <c r="J3047">
        <v>1</v>
      </c>
      <c r="K3047" t="s">
        <v>122</v>
      </c>
      <c r="L3047" t="s">
        <v>144</v>
      </c>
      <c r="M3047" t="s">
        <v>145</v>
      </c>
      <c r="N3047" t="s">
        <v>107</v>
      </c>
      <c r="O3047" t="s">
        <v>97</v>
      </c>
    </row>
    <row r="3048" spans="1:15" x14ac:dyDescent="0.2">
      <c r="A3048">
        <v>410</v>
      </c>
      <c r="B3048">
        <v>411</v>
      </c>
      <c r="C3048">
        <v>410</v>
      </c>
      <c r="D3048">
        <v>409</v>
      </c>
      <c r="E3048" t="s">
        <v>57</v>
      </c>
      <c r="F3048" t="s">
        <v>78</v>
      </c>
      <c r="G3048">
        <v>21</v>
      </c>
      <c r="H3048" t="s">
        <v>146</v>
      </c>
      <c r="I3048">
        <v>1</v>
      </c>
      <c r="J3048">
        <v>1</v>
      </c>
      <c r="K3048" t="s">
        <v>147</v>
      </c>
      <c r="L3048" t="s">
        <v>148</v>
      </c>
      <c r="M3048" t="s">
        <v>149</v>
      </c>
      <c r="N3048" t="s">
        <v>96</v>
      </c>
      <c r="O3048" t="s">
        <v>97</v>
      </c>
    </row>
    <row r="3049" spans="1:15" x14ac:dyDescent="0.2">
      <c r="A3049">
        <v>410</v>
      </c>
      <c r="B3049">
        <v>411</v>
      </c>
      <c r="C3049">
        <v>410</v>
      </c>
      <c r="D3049">
        <v>409</v>
      </c>
      <c r="E3049" t="s">
        <v>57</v>
      </c>
      <c r="F3049" t="s">
        <v>78</v>
      </c>
      <c r="G3049">
        <v>22</v>
      </c>
      <c r="H3049" t="s">
        <v>150</v>
      </c>
      <c r="I3049">
        <v>0</v>
      </c>
      <c r="J3049">
        <v>1</v>
      </c>
      <c r="K3049" t="s">
        <v>147</v>
      </c>
      <c r="L3049" t="s">
        <v>151</v>
      </c>
      <c r="M3049" t="s">
        <v>149</v>
      </c>
      <c r="N3049" t="s">
        <v>107</v>
      </c>
      <c r="O3049" t="s">
        <v>97</v>
      </c>
    </row>
    <row r="3050" spans="1:15" x14ac:dyDescent="0.2">
      <c r="A3050">
        <v>410</v>
      </c>
      <c r="B3050">
        <v>411</v>
      </c>
      <c r="C3050">
        <v>410</v>
      </c>
      <c r="D3050">
        <v>409</v>
      </c>
      <c r="E3050" t="s">
        <v>57</v>
      </c>
      <c r="F3050" t="s">
        <v>78</v>
      </c>
      <c r="G3050">
        <v>23</v>
      </c>
      <c r="H3050" t="s">
        <v>152</v>
      </c>
      <c r="I3050">
        <v>0</v>
      </c>
      <c r="J3050">
        <v>0</v>
      </c>
      <c r="K3050" t="s">
        <v>153</v>
      </c>
      <c r="L3050" t="s">
        <v>154</v>
      </c>
      <c r="M3050" t="s">
        <v>155</v>
      </c>
      <c r="N3050" t="s">
        <v>107</v>
      </c>
      <c r="O3050" t="s">
        <v>97</v>
      </c>
    </row>
    <row r="3051" spans="1:15" x14ac:dyDescent="0.2">
      <c r="A3051">
        <v>410</v>
      </c>
      <c r="B3051">
        <v>411</v>
      </c>
      <c r="C3051">
        <v>410</v>
      </c>
      <c r="D3051">
        <v>409</v>
      </c>
      <c r="E3051" t="s">
        <v>57</v>
      </c>
      <c r="F3051" t="s">
        <v>78</v>
      </c>
      <c r="G3051">
        <v>24</v>
      </c>
      <c r="H3051" t="s">
        <v>156</v>
      </c>
      <c r="I3051">
        <v>0</v>
      </c>
      <c r="J3051">
        <v>0.5</v>
      </c>
      <c r="K3051" t="s">
        <v>122</v>
      </c>
      <c r="L3051" t="s">
        <v>157</v>
      </c>
      <c r="M3051" t="s">
        <v>158</v>
      </c>
      <c r="N3051" t="s">
        <v>107</v>
      </c>
      <c r="O3051" t="s">
        <v>97</v>
      </c>
    </row>
    <row r="3052" spans="1:15" x14ac:dyDescent="0.2">
      <c r="A3052">
        <v>410</v>
      </c>
      <c r="B3052">
        <v>411</v>
      </c>
      <c r="C3052">
        <v>410</v>
      </c>
      <c r="D3052">
        <v>409</v>
      </c>
      <c r="E3052" t="s">
        <v>57</v>
      </c>
      <c r="F3052" t="s">
        <v>78</v>
      </c>
      <c r="G3052">
        <v>25</v>
      </c>
      <c r="H3052" t="s">
        <v>156</v>
      </c>
      <c r="I3052">
        <v>0</v>
      </c>
      <c r="J3052">
        <v>0.5</v>
      </c>
      <c r="K3052" t="s">
        <v>122</v>
      </c>
      <c r="L3052" t="s">
        <v>157</v>
      </c>
      <c r="M3052" t="s">
        <v>158</v>
      </c>
      <c r="N3052" t="s">
        <v>107</v>
      </c>
      <c r="O3052" t="s">
        <v>97</v>
      </c>
    </row>
    <row r="3053" spans="1:15" x14ac:dyDescent="0.2">
      <c r="A3053">
        <v>410</v>
      </c>
      <c r="B3053">
        <v>411</v>
      </c>
      <c r="C3053">
        <v>410</v>
      </c>
      <c r="D3053">
        <v>409</v>
      </c>
      <c r="E3053" t="s">
        <v>57</v>
      </c>
      <c r="F3053" t="s">
        <v>78</v>
      </c>
      <c r="G3053">
        <v>26</v>
      </c>
      <c r="H3053" t="s">
        <v>152</v>
      </c>
      <c r="I3053">
        <v>0</v>
      </c>
      <c r="J3053">
        <v>0</v>
      </c>
      <c r="K3053" t="s">
        <v>153</v>
      </c>
      <c r="L3053" t="s">
        <v>154</v>
      </c>
      <c r="M3053" t="s">
        <v>155</v>
      </c>
      <c r="N3053" t="s">
        <v>107</v>
      </c>
      <c r="O3053" t="s">
        <v>97</v>
      </c>
    </row>
    <row r="3054" spans="1:15" x14ac:dyDescent="0.2">
      <c r="A3054">
        <v>410</v>
      </c>
      <c r="B3054">
        <v>411</v>
      </c>
      <c r="C3054">
        <v>410</v>
      </c>
      <c r="D3054">
        <v>409</v>
      </c>
      <c r="E3054" t="s">
        <v>57</v>
      </c>
      <c r="F3054" t="s">
        <v>78</v>
      </c>
      <c r="G3054">
        <v>27</v>
      </c>
      <c r="H3054" t="s">
        <v>159</v>
      </c>
      <c r="I3054">
        <v>0.5</v>
      </c>
      <c r="J3054">
        <v>0.5</v>
      </c>
      <c r="K3054" t="s">
        <v>122</v>
      </c>
      <c r="L3054" t="s">
        <v>160</v>
      </c>
      <c r="M3054" t="s">
        <v>161</v>
      </c>
      <c r="N3054" t="s">
        <v>107</v>
      </c>
      <c r="O3054" t="s">
        <v>97</v>
      </c>
    </row>
    <row r="3055" spans="1:15" x14ac:dyDescent="0.2">
      <c r="A3055">
        <v>410</v>
      </c>
      <c r="B3055">
        <v>411</v>
      </c>
      <c r="C3055">
        <v>410</v>
      </c>
      <c r="D3055">
        <v>409</v>
      </c>
      <c r="E3055" t="s">
        <v>57</v>
      </c>
      <c r="F3055" t="s">
        <v>78</v>
      </c>
      <c r="G3055">
        <v>28</v>
      </c>
      <c r="H3055" t="s">
        <v>159</v>
      </c>
      <c r="I3055">
        <v>0</v>
      </c>
      <c r="J3055">
        <v>0.5</v>
      </c>
      <c r="K3055" t="s">
        <v>122</v>
      </c>
      <c r="L3055" t="s">
        <v>160</v>
      </c>
      <c r="M3055" t="s">
        <v>161</v>
      </c>
      <c r="N3055" t="s">
        <v>107</v>
      </c>
      <c r="O3055" t="s">
        <v>97</v>
      </c>
    </row>
    <row r="3056" spans="1:15" x14ac:dyDescent="0.2">
      <c r="A3056">
        <v>410</v>
      </c>
      <c r="B3056">
        <v>411</v>
      </c>
      <c r="C3056">
        <v>410</v>
      </c>
      <c r="D3056">
        <v>409</v>
      </c>
      <c r="E3056" t="s">
        <v>57</v>
      </c>
      <c r="F3056" t="s">
        <v>78</v>
      </c>
      <c r="G3056">
        <v>29</v>
      </c>
      <c r="H3056" t="s">
        <v>152</v>
      </c>
      <c r="I3056">
        <v>0</v>
      </c>
      <c r="J3056">
        <v>0</v>
      </c>
      <c r="K3056" t="s">
        <v>153</v>
      </c>
      <c r="L3056" t="s">
        <v>154</v>
      </c>
      <c r="M3056" t="s">
        <v>155</v>
      </c>
      <c r="N3056" t="s">
        <v>107</v>
      </c>
      <c r="O3056" t="s">
        <v>97</v>
      </c>
    </row>
    <row r="3057" spans="1:15" x14ac:dyDescent="0.2">
      <c r="A3057">
        <v>410</v>
      </c>
      <c r="B3057">
        <v>411</v>
      </c>
      <c r="C3057">
        <v>410</v>
      </c>
      <c r="D3057">
        <v>409</v>
      </c>
      <c r="E3057" t="s">
        <v>57</v>
      </c>
      <c r="F3057" t="s">
        <v>78</v>
      </c>
      <c r="G3057">
        <v>30</v>
      </c>
      <c r="H3057" t="s">
        <v>162</v>
      </c>
      <c r="I3057">
        <v>0.5</v>
      </c>
      <c r="J3057">
        <v>1</v>
      </c>
      <c r="K3057" t="s">
        <v>112</v>
      </c>
      <c r="L3057" t="s">
        <v>163</v>
      </c>
      <c r="M3057" t="s">
        <v>164</v>
      </c>
      <c r="N3057" t="s">
        <v>107</v>
      </c>
      <c r="O3057" t="s">
        <v>97</v>
      </c>
    </row>
    <row r="3058" spans="1:15" x14ac:dyDescent="0.2">
      <c r="A3058">
        <v>410</v>
      </c>
      <c r="B3058">
        <v>411</v>
      </c>
      <c r="C3058">
        <v>410</v>
      </c>
      <c r="D3058">
        <v>409</v>
      </c>
      <c r="E3058" t="s">
        <v>57</v>
      </c>
      <c r="F3058" t="s">
        <v>78</v>
      </c>
      <c r="G3058">
        <v>31</v>
      </c>
      <c r="H3058" t="s">
        <v>162</v>
      </c>
      <c r="I3058">
        <v>0</v>
      </c>
      <c r="J3058">
        <v>0</v>
      </c>
      <c r="K3058" t="s">
        <v>112</v>
      </c>
      <c r="L3058" t="s">
        <v>163</v>
      </c>
      <c r="M3058" t="s">
        <v>164</v>
      </c>
      <c r="N3058" t="s">
        <v>107</v>
      </c>
      <c r="O3058" t="s">
        <v>97</v>
      </c>
    </row>
    <row r="3059" spans="1:15" x14ac:dyDescent="0.2">
      <c r="A3059">
        <v>410</v>
      </c>
      <c r="B3059">
        <v>411</v>
      </c>
      <c r="C3059">
        <v>410</v>
      </c>
      <c r="D3059">
        <v>409</v>
      </c>
      <c r="E3059" t="s">
        <v>57</v>
      </c>
      <c r="F3059" t="s">
        <v>78</v>
      </c>
      <c r="G3059">
        <v>32</v>
      </c>
      <c r="H3059" t="s">
        <v>162</v>
      </c>
      <c r="I3059">
        <v>0</v>
      </c>
      <c r="J3059">
        <v>0</v>
      </c>
      <c r="K3059" t="s">
        <v>112</v>
      </c>
      <c r="L3059" t="s">
        <v>163</v>
      </c>
      <c r="M3059" t="s">
        <v>164</v>
      </c>
      <c r="N3059" t="s">
        <v>107</v>
      </c>
      <c r="O3059" t="s">
        <v>97</v>
      </c>
    </row>
    <row r="3060" spans="1:15" x14ac:dyDescent="0.2">
      <c r="A3060">
        <v>410</v>
      </c>
      <c r="B3060">
        <v>411</v>
      </c>
      <c r="C3060">
        <v>410</v>
      </c>
      <c r="D3060">
        <v>409</v>
      </c>
      <c r="E3060" t="s">
        <v>57</v>
      </c>
      <c r="F3060" t="s">
        <v>78</v>
      </c>
      <c r="G3060">
        <v>33</v>
      </c>
      <c r="H3060" t="s">
        <v>152</v>
      </c>
      <c r="I3060">
        <v>0</v>
      </c>
      <c r="J3060">
        <v>1</v>
      </c>
      <c r="K3060" t="s">
        <v>153</v>
      </c>
      <c r="L3060" t="s">
        <v>154</v>
      </c>
      <c r="M3060" t="s">
        <v>155</v>
      </c>
      <c r="N3060" t="s">
        <v>107</v>
      </c>
      <c r="O3060" t="s">
        <v>97</v>
      </c>
    </row>
    <row r="3061" spans="1:15" x14ac:dyDescent="0.2">
      <c r="A3061">
        <v>410</v>
      </c>
      <c r="B3061">
        <v>411</v>
      </c>
      <c r="C3061">
        <v>410</v>
      </c>
      <c r="D3061">
        <v>409</v>
      </c>
      <c r="E3061" t="s">
        <v>57</v>
      </c>
      <c r="F3061" t="s">
        <v>78</v>
      </c>
      <c r="G3061">
        <v>34</v>
      </c>
      <c r="H3061" t="s">
        <v>152</v>
      </c>
      <c r="I3061">
        <v>0</v>
      </c>
      <c r="J3061">
        <v>0</v>
      </c>
      <c r="K3061" t="s">
        <v>153</v>
      </c>
      <c r="L3061" t="s">
        <v>154</v>
      </c>
      <c r="M3061" t="s">
        <v>155</v>
      </c>
      <c r="N3061" t="s">
        <v>107</v>
      </c>
      <c r="O3061" t="s">
        <v>97</v>
      </c>
    </row>
    <row r="3062" spans="1:15" x14ac:dyDescent="0.2">
      <c r="A3062">
        <v>410</v>
      </c>
      <c r="B3062">
        <v>411</v>
      </c>
      <c r="C3062">
        <v>410</v>
      </c>
      <c r="D3062">
        <v>409</v>
      </c>
      <c r="E3062" t="s">
        <v>57</v>
      </c>
      <c r="F3062" t="s">
        <v>78</v>
      </c>
      <c r="G3062">
        <v>35</v>
      </c>
      <c r="H3062" t="s">
        <v>165</v>
      </c>
      <c r="I3062">
        <v>0.5</v>
      </c>
      <c r="J3062">
        <v>1</v>
      </c>
      <c r="K3062" t="s">
        <v>166</v>
      </c>
      <c r="L3062" t="s">
        <v>167</v>
      </c>
      <c r="M3062" t="s">
        <v>168</v>
      </c>
      <c r="N3062" t="s">
        <v>107</v>
      </c>
      <c r="O3062" t="s">
        <v>97</v>
      </c>
    </row>
    <row r="3063" spans="1:15" x14ac:dyDescent="0.2">
      <c r="A3063">
        <v>410</v>
      </c>
      <c r="B3063">
        <v>411</v>
      </c>
      <c r="C3063">
        <v>410</v>
      </c>
      <c r="D3063">
        <v>409</v>
      </c>
      <c r="E3063" t="s">
        <v>57</v>
      </c>
      <c r="F3063" t="s">
        <v>78</v>
      </c>
      <c r="G3063">
        <v>36</v>
      </c>
      <c r="H3063" t="s">
        <v>169</v>
      </c>
      <c r="I3063">
        <v>0</v>
      </c>
      <c r="J3063">
        <v>0</v>
      </c>
      <c r="K3063" t="e">
        <v>#N/A</v>
      </c>
      <c r="L3063" t="e">
        <v>#N/A</v>
      </c>
      <c r="M3063" t="e">
        <v>#N/A</v>
      </c>
      <c r="N3063" t="e">
        <v>#N/A</v>
      </c>
      <c r="O3063" t="s">
        <v>97</v>
      </c>
    </row>
    <row r="3064" spans="1:15" x14ac:dyDescent="0.2">
      <c r="A3064">
        <v>410</v>
      </c>
      <c r="B3064">
        <v>411</v>
      </c>
      <c r="C3064">
        <v>410</v>
      </c>
      <c r="D3064">
        <v>409</v>
      </c>
      <c r="E3064" t="s">
        <v>57</v>
      </c>
      <c r="F3064" t="s">
        <v>78</v>
      </c>
      <c r="G3064">
        <v>38</v>
      </c>
      <c r="H3064" t="s">
        <v>170</v>
      </c>
      <c r="I3064">
        <v>0</v>
      </c>
      <c r="J3064">
        <v>0.5</v>
      </c>
      <c r="K3064" t="s">
        <v>112</v>
      </c>
      <c r="L3064" t="s">
        <v>171</v>
      </c>
      <c r="M3064" t="s">
        <v>172</v>
      </c>
      <c r="N3064" t="s">
        <v>96</v>
      </c>
      <c r="O3064" t="s">
        <v>97</v>
      </c>
    </row>
    <row r="3065" spans="1:15" x14ac:dyDescent="0.2">
      <c r="A3065">
        <v>410</v>
      </c>
      <c r="B3065">
        <v>411</v>
      </c>
      <c r="C3065">
        <v>410</v>
      </c>
      <c r="D3065">
        <v>409</v>
      </c>
      <c r="E3065" t="s">
        <v>57</v>
      </c>
      <c r="F3065" t="s">
        <v>78</v>
      </c>
      <c r="G3065">
        <v>39</v>
      </c>
      <c r="H3065" t="s">
        <v>170</v>
      </c>
      <c r="I3065">
        <v>0</v>
      </c>
      <c r="J3065">
        <v>0.5</v>
      </c>
      <c r="K3065" t="s">
        <v>112</v>
      </c>
      <c r="L3065" t="s">
        <v>171</v>
      </c>
      <c r="M3065" t="s">
        <v>172</v>
      </c>
      <c r="N3065" t="s">
        <v>96</v>
      </c>
      <c r="O3065" t="s">
        <v>97</v>
      </c>
    </row>
    <row r="3066" spans="1:15" x14ac:dyDescent="0.2">
      <c r="A3066">
        <v>410</v>
      </c>
      <c r="B3066">
        <v>411</v>
      </c>
      <c r="C3066">
        <v>410</v>
      </c>
      <c r="D3066">
        <v>409</v>
      </c>
      <c r="E3066" t="s">
        <v>57</v>
      </c>
      <c r="F3066" t="s">
        <v>78</v>
      </c>
      <c r="G3066">
        <v>40</v>
      </c>
      <c r="H3066" t="s">
        <v>170</v>
      </c>
      <c r="I3066">
        <v>0</v>
      </c>
      <c r="J3066">
        <v>0.5</v>
      </c>
      <c r="K3066" t="s">
        <v>112</v>
      </c>
      <c r="L3066" t="s">
        <v>171</v>
      </c>
      <c r="M3066" t="s">
        <v>172</v>
      </c>
      <c r="N3066" t="s">
        <v>96</v>
      </c>
      <c r="O3066" t="s">
        <v>97</v>
      </c>
    </row>
    <row r="3067" spans="1:15" x14ac:dyDescent="0.2">
      <c r="A3067">
        <v>410</v>
      </c>
      <c r="B3067">
        <v>411</v>
      </c>
      <c r="C3067">
        <v>410</v>
      </c>
      <c r="D3067">
        <v>409</v>
      </c>
      <c r="E3067" t="s">
        <v>57</v>
      </c>
      <c r="F3067" t="s">
        <v>78</v>
      </c>
      <c r="G3067">
        <v>41</v>
      </c>
      <c r="H3067" t="s">
        <v>173</v>
      </c>
      <c r="I3067">
        <v>1</v>
      </c>
      <c r="J3067">
        <v>0</v>
      </c>
      <c r="K3067" t="s">
        <v>166</v>
      </c>
      <c r="L3067" t="s">
        <v>174</v>
      </c>
      <c r="M3067" t="s">
        <v>175</v>
      </c>
      <c r="N3067" t="s">
        <v>107</v>
      </c>
      <c r="O3067" t="s">
        <v>97</v>
      </c>
    </row>
    <row r="3068" spans="1:15" x14ac:dyDescent="0.2">
      <c r="A3068">
        <v>410</v>
      </c>
      <c r="B3068">
        <v>411</v>
      </c>
      <c r="C3068">
        <v>410</v>
      </c>
      <c r="D3068">
        <v>409</v>
      </c>
      <c r="E3068" t="s">
        <v>57</v>
      </c>
      <c r="F3068" t="s">
        <v>78</v>
      </c>
      <c r="G3068">
        <v>42</v>
      </c>
      <c r="H3068" t="s">
        <v>176</v>
      </c>
      <c r="I3068">
        <v>1</v>
      </c>
      <c r="J3068">
        <v>1</v>
      </c>
      <c r="K3068" t="s">
        <v>153</v>
      </c>
      <c r="L3068" t="s">
        <v>177</v>
      </c>
      <c r="M3068" t="s">
        <v>178</v>
      </c>
      <c r="N3068" t="s">
        <v>107</v>
      </c>
      <c r="O3068" t="s">
        <v>97</v>
      </c>
    </row>
    <row r="3069" spans="1:15" x14ac:dyDescent="0.2">
      <c r="A3069">
        <v>410</v>
      </c>
      <c r="B3069">
        <v>411</v>
      </c>
      <c r="C3069">
        <v>410</v>
      </c>
      <c r="D3069">
        <v>409</v>
      </c>
      <c r="E3069" t="s">
        <v>57</v>
      </c>
      <c r="F3069" t="s">
        <v>78</v>
      </c>
      <c r="G3069">
        <v>43</v>
      </c>
      <c r="H3069" t="s">
        <v>179</v>
      </c>
      <c r="I3069">
        <v>0</v>
      </c>
      <c r="J3069">
        <v>0</v>
      </c>
      <c r="K3069" t="s">
        <v>166</v>
      </c>
      <c r="L3069" t="s">
        <v>180</v>
      </c>
      <c r="M3069" t="s">
        <v>181</v>
      </c>
      <c r="N3069" t="s">
        <v>107</v>
      </c>
      <c r="O3069" t="s">
        <v>97</v>
      </c>
    </row>
    <row r="3070" spans="1:15" x14ac:dyDescent="0.2">
      <c r="A3070">
        <v>410</v>
      </c>
      <c r="B3070">
        <v>411</v>
      </c>
      <c r="C3070">
        <v>410</v>
      </c>
      <c r="D3070">
        <v>409</v>
      </c>
      <c r="E3070" t="s">
        <v>57</v>
      </c>
      <c r="F3070" t="s">
        <v>78</v>
      </c>
      <c r="G3070">
        <v>44</v>
      </c>
      <c r="H3070" t="s">
        <v>182</v>
      </c>
      <c r="I3070">
        <v>0</v>
      </c>
      <c r="J3070">
        <v>1</v>
      </c>
      <c r="K3070" t="s">
        <v>166</v>
      </c>
      <c r="L3070" t="s">
        <v>183</v>
      </c>
      <c r="M3070" t="s">
        <v>184</v>
      </c>
      <c r="N3070" t="s">
        <v>107</v>
      </c>
      <c r="O3070" t="s">
        <v>97</v>
      </c>
    </row>
    <row r="3071" spans="1:15" x14ac:dyDescent="0.2">
      <c r="A3071">
        <v>410</v>
      </c>
      <c r="B3071">
        <v>411</v>
      </c>
      <c r="C3071">
        <v>410</v>
      </c>
      <c r="D3071">
        <v>409</v>
      </c>
      <c r="E3071" t="s">
        <v>57</v>
      </c>
      <c r="F3071" t="s">
        <v>78</v>
      </c>
      <c r="G3071">
        <v>45</v>
      </c>
      <c r="H3071" t="s">
        <v>185</v>
      </c>
      <c r="I3071">
        <v>0</v>
      </c>
      <c r="J3071">
        <v>1</v>
      </c>
      <c r="K3071" t="s">
        <v>166</v>
      </c>
      <c r="L3071" t="s">
        <v>186</v>
      </c>
      <c r="M3071" t="s">
        <v>139</v>
      </c>
      <c r="N3071" t="s">
        <v>107</v>
      </c>
      <c r="O3071" t="s">
        <v>97</v>
      </c>
    </row>
    <row r="3072" spans="1:15" x14ac:dyDescent="0.2">
      <c r="A3072">
        <v>410</v>
      </c>
      <c r="B3072">
        <v>411</v>
      </c>
      <c r="C3072">
        <v>410</v>
      </c>
      <c r="D3072">
        <v>409</v>
      </c>
      <c r="E3072" t="s">
        <v>57</v>
      </c>
      <c r="F3072" t="s">
        <v>78</v>
      </c>
      <c r="G3072">
        <v>47</v>
      </c>
      <c r="H3072" t="s">
        <v>187</v>
      </c>
      <c r="I3072">
        <v>0.2</v>
      </c>
      <c r="J3072">
        <v>0.2</v>
      </c>
      <c r="K3072" t="s">
        <v>93</v>
      </c>
      <c r="L3072" t="s">
        <v>188</v>
      </c>
      <c r="M3072" t="s">
        <v>95</v>
      </c>
      <c r="N3072" t="s">
        <v>96</v>
      </c>
      <c r="O3072" t="s">
        <v>97</v>
      </c>
    </row>
    <row r="3073" spans="1:15" x14ac:dyDescent="0.2">
      <c r="A3073">
        <v>410</v>
      </c>
      <c r="B3073">
        <v>411</v>
      </c>
      <c r="C3073">
        <v>410</v>
      </c>
      <c r="D3073">
        <v>409</v>
      </c>
      <c r="E3073" t="s">
        <v>57</v>
      </c>
      <c r="F3073" t="s">
        <v>78</v>
      </c>
      <c r="G3073">
        <v>48</v>
      </c>
      <c r="H3073" t="s">
        <v>189</v>
      </c>
      <c r="I3073">
        <v>0.2</v>
      </c>
      <c r="J3073">
        <v>0.2</v>
      </c>
      <c r="K3073" t="s">
        <v>93</v>
      </c>
      <c r="L3073" t="s">
        <v>190</v>
      </c>
      <c r="M3073" t="s">
        <v>95</v>
      </c>
      <c r="N3073" t="s">
        <v>96</v>
      </c>
      <c r="O3073" t="s">
        <v>97</v>
      </c>
    </row>
    <row r="3074" spans="1:15" x14ac:dyDescent="0.2">
      <c r="A3074">
        <v>410</v>
      </c>
      <c r="B3074">
        <v>411</v>
      </c>
      <c r="C3074">
        <v>410</v>
      </c>
      <c r="D3074">
        <v>409</v>
      </c>
      <c r="E3074" t="s">
        <v>57</v>
      </c>
      <c r="F3074" t="s">
        <v>78</v>
      </c>
      <c r="G3074">
        <v>49</v>
      </c>
      <c r="H3074" t="s">
        <v>191</v>
      </c>
      <c r="I3074">
        <v>0.2</v>
      </c>
      <c r="J3074">
        <v>0.2</v>
      </c>
      <c r="K3074" t="s">
        <v>93</v>
      </c>
      <c r="L3074" t="s">
        <v>192</v>
      </c>
      <c r="M3074" t="s">
        <v>95</v>
      </c>
      <c r="N3074" t="s">
        <v>96</v>
      </c>
      <c r="O3074" t="s">
        <v>97</v>
      </c>
    </row>
    <row r="3075" spans="1:15" x14ac:dyDescent="0.2">
      <c r="A3075">
        <v>410</v>
      </c>
      <c r="B3075">
        <v>411</v>
      </c>
      <c r="C3075">
        <v>410</v>
      </c>
      <c r="D3075">
        <v>409</v>
      </c>
      <c r="E3075" t="s">
        <v>57</v>
      </c>
      <c r="F3075" t="s">
        <v>78</v>
      </c>
      <c r="G3075">
        <v>50</v>
      </c>
      <c r="H3075" t="s">
        <v>193</v>
      </c>
      <c r="I3075">
        <v>0.1</v>
      </c>
      <c r="J3075">
        <v>0.1</v>
      </c>
      <c r="K3075" t="s">
        <v>93</v>
      </c>
      <c r="L3075" t="s">
        <v>194</v>
      </c>
      <c r="M3075" t="s">
        <v>95</v>
      </c>
      <c r="N3075" t="s">
        <v>96</v>
      </c>
      <c r="O3075" t="s">
        <v>97</v>
      </c>
    </row>
    <row r="3076" spans="1:15" x14ac:dyDescent="0.2">
      <c r="A3076">
        <v>410</v>
      </c>
      <c r="B3076">
        <v>411</v>
      </c>
      <c r="C3076">
        <v>410</v>
      </c>
      <c r="D3076">
        <v>409</v>
      </c>
      <c r="E3076" t="s">
        <v>57</v>
      </c>
      <c r="F3076" t="s">
        <v>78</v>
      </c>
      <c r="G3076">
        <v>51</v>
      </c>
      <c r="H3076" t="s">
        <v>193</v>
      </c>
      <c r="I3076">
        <v>0</v>
      </c>
      <c r="J3076">
        <v>0</v>
      </c>
      <c r="K3076" t="s">
        <v>93</v>
      </c>
      <c r="L3076" t="s">
        <v>194</v>
      </c>
      <c r="M3076" t="s">
        <v>95</v>
      </c>
      <c r="N3076" t="s">
        <v>96</v>
      </c>
      <c r="O3076" t="s">
        <v>97</v>
      </c>
    </row>
    <row r="3077" spans="1:15" x14ac:dyDescent="0.2">
      <c r="A3077">
        <v>410</v>
      </c>
      <c r="B3077">
        <v>411</v>
      </c>
      <c r="C3077">
        <v>410</v>
      </c>
      <c r="D3077">
        <v>409</v>
      </c>
      <c r="E3077" t="s">
        <v>57</v>
      </c>
      <c r="F3077" t="s">
        <v>78</v>
      </c>
      <c r="G3077">
        <v>97</v>
      </c>
      <c r="H3077" t="s">
        <v>152</v>
      </c>
      <c r="I3077">
        <v>0.25</v>
      </c>
      <c r="J3077">
        <v>0.25</v>
      </c>
      <c r="K3077" t="s">
        <v>153</v>
      </c>
      <c r="L3077" t="s">
        <v>154</v>
      </c>
      <c r="M3077" t="s">
        <v>155</v>
      </c>
      <c r="N3077" t="s">
        <v>107</v>
      </c>
      <c r="O3077" t="s">
        <v>97</v>
      </c>
    </row>
    <row r="3078" spans="1:15" x14ac:dyDescent="0.2">
      <c r="A3078">
        <v>410</v>
      </c>
      <c r="B3078">
        <v>411</v>
      </c>
      <c r="C3078">
        <v>410</v>
      </c>
      <c r="D3078">
        <v>409</v>
      </c>
      <c r="E3078" t="s">
        <v>57</v>
      </c>
      <c r="F3078" t="s">
        <v>78</v>
      </c>
      <c r="G3078">
        <v>96</v>
      </c>
      <c r="H3078" t="s">
        <v>152</v>
      </c>
      <c r="I3078">
        <v>0</v>
      </c>
      <c r="J3078">
        <v>0</v>
      </c>
      <c r="K3078" t="s">
        <v>153</v>
      </c>
      <c r="L3078" t="s">
        <v>154</v>
      </c>
      <c r="M3078" t="s">
        <v>155</v>
      </c>
      <c r="N3078" t="s">
        <v>107</v>
      </c>
      <c r="O3078" t="s">
        <v>97</v>
      </c>
    </row>
    <row r="3079" spans="1:15" x14ac:dyDescent="0.2">
      <c r="A3079">
        <v>410</v>
      </c>
      <c r="B3079">
        <v>411</v>
      </c>
      <c r="C3079">
        <v>410</v>
      </c>
      <c r="D3079">
        <v>409</v>
      </c>
      <c r="E3079" t="s">
        <v>57</v>
      </c>
      <c r="F3079" t="s">
        <v>78</v>
      </c>
      <c r="G3079">
        <v>99</v>
      </c>
      <c r="H3079" t="s">
        <v>152</v>
      </c>
      <c r="I3079">
        <v>0</v>
      </c>
      <c r="J3079">
        <v>0</v>
      </c>
      <c r="K3079" t="s">
        <v>153</v>
      </c>
      <c r="L3079" t="s">
        <v>154</v>
      </c>
      <c r="M3079" t="s">
        <v>155</v>
      </c>
      <c r="N3079" t="s">
        <v>107</v>
      </c>
      <c r="O3079" t="s">
        <v>97</v>
      </c>
    </row>
    <row r="3080" spans="1:15" x14ac:dyDescent="0.2">
      <c r="A3080">
        <v>410</v>
      </c>
      <c r="B3080">
        <v>411</v>
      </c>
      <c r="C3080">
        <v>410</v>
      </c>
      <c r="D3080">
        <v>409</v>
      </c>
      <c r="E3080" t="s">
        <v>57</v>
      </c>
      <c r="F3080" t="s">
        <v>78</v>
      </c>
      <c r="G3080">
        <v>98</v>
      </c>
      <c r="H3080" t="s">
        <v>204</v>
      </c>
      <c r="I3080">
        <v>0</v>
      </c>
      <c r="J3080">
        <v>1</v>
      </c>
      <c r="K3080" t="s">
        <v>122</v>
      </c>
      <c r="L3080" t="s">
        <v>205</v>
      </c>
      <c r="M3080" t="s">
        <v>206</v>
      </c>
      <c r="N3080" t="s">
        <v>207</v>
      </c>
      <c r="O3080" t="s">
        <v>97</v>
      </c>
    </row>
    <row r="3081" spans="1:15" x14ac:dyDescent="0.2">
      <c r="A3081">
        <v>410</v>
      </c>
      <c r="B3081">
        <v>411</v>
      </c>
      <c r="C3081">
        <v>410</v>
      </c>
      <c r="D3081">
        <v>409</v>
      </c>
      <c r="E3081" t="s">
        <v>57</v>
      </c>
      <c r="F3081" t="s">
        <v>78</v>
      </c>
      <c r="G3081">
        <v>54</v>
      </c>
      <c r="H3081" t="s">
        <v>203</v>
      </c>
      <c r="I3081">
        <v>0</v>
      </c>
      <c r="J3081" t="s">
        <v>309</v>
      </c>
      <c r="K3081" t="e">
        <v>#N/A</v>
      </c>
      <c r="L3081" t="e">
        <v>#N/A</v>
      </c>
      <c r="M3081" t="e">
        <v>#N/A</v>
      </c>
      <c r="N3081" t="e">
        <v>#N/A</v>
      </c>
      <c r="O3081" t="s">
        <v>97</v>
      </c>
    </row>
    <row r="3082" spans="1:15" x14ac:dyDescent="0.2">
      <c r="A3082">
        <v>410</v>
      </c>
      <c r="B3082">
        <v>411</v>
      </c>
      <c r="C3082">
        <v>410</v>
      </c>
      <c r="D3082">
        <v>409</v>
      </c>
      <c r="E3082" t="s">
        <v>57</v>
      </c>
      <c r="F3082" t="s">
        <v>78</v>
      </c>
      <c r="G3082">
        <v>52</v>
      </c>
      <c r="H3082" t="s">
        <v>200</v>
      </c>
      <c r="I3082">
        <v>0</v>
      </c>
      <c r="J3082" t="s">
        <v>310</v>
      </c>
      <c r="K3082" t="e">
        <v>#N/A</v>
      </c>
      <c r="L3082" t="e">
        <v>#N/A</v>
      </c>
      <c r="M3082" t="e">
        <v>#N/A</v>
      </c>
      <c r="N3082" t="e">
        <v>#N/A</v>
      </c>
      <c r="O3082" t="s">
        <v>97</v>
      </c>
    </row>
    <row r="3083" spans="1:15" x14ac:dyDescent="0.2">
      <c r="A3083">
        <v>410</v>
      </c>
      <c r="B3083">
        <v>411</v>
      </c>
      <c r="C3083">
        <v>410</v>
      </c>
      <c r="D3083">
        <v>409</v>
      </c>
      <c r="E3083" t="s">
        <v>57</v>
      </c>
      <c r="F3083" t="s">
        <v>78</v>
      </c>
      <c r="G3083">
        <v>53</v>
      </c>
      <c r="H3083" t="s">
        <v>201</v>
      </c>
      <c r="I3083">
        <v>0</v>
      </c>
      <c r="J3083">
        <v>0</v>
      </c>
      <c r="K3083" t="e">
        <v>#N/A</v>
      </c>
      <c r="L3083" t="e">
        <v>#N/A</v>
      </c>
      <c r="M3083" t="e">
        <v>#N/A</v>
      </c>
      <c r="N3083" t="e">
        <v>#N/A</v>
      </c>
      <c r="O3083" t="s">
        <v>97</v>
      </c>
    </row>
    <row r="3084" spans="1:15" x14ac:dyDescent="0.2">
      <c r="A3084">
        <v>14</v>
      </c>
      <c r="B3084">
        <v>15</v>
      </c>
      <c r="C3084">
        <v>14</v>
      </c>
      <c r="D3084">
        <v>13</v>
      </c>
      <c r="E3084" t="s">
        <v>30</v>
      </c>
      <c r="F3084" t="s">
        <v>31</v>
      </c>
      <c r="G3084">
        <v>1</v>
      </c>
      <c r="H3084" t="s">
        <v>92</v>
      </c>
      <c r="I3084">
        <v>0.2</v>
      </c>
      <c r="J3084">
        <v>0.2</v>
      </c>
      <c r="K3084" t="s">
        <v>93</v>
      </c>
      <c r="L3084" t="s">
        <v>94</v>
      </c>
      <c r="M3084" t="s">
        <v>95</v>
      </c>
      <c r="N3084" t="s">
        <v>96</v>
      </c>
      <c r="O3084" t="s">
        <v>97</v>
      </c>
    </row>
    <row r="3085" spans="1:15" x14ac:dyDescent="0.2">
      <c r="A3085">
        <v>14</v>
      </c>
      <c r="B3085">
        <v>15</v>
      </c>
      <c r="C3085">
        <v>14</v>
      </c>
      <c r="D3085">
        <v>13</v>
      </c>
      <c r="E3085" t="s">
        <v>30</v>
      </c>
      <c r="F3085" t="s">
        <v>31</v>
      </c>
      <c r="G3085">
        <v>2</v>
      </c>
      <c r="H3085" t="s">
        <v>98</v>
      </c>
      <c r="I3085">
        <v>0.5</v>
      </c>
      <c r="J3085">
        <v>0.5</v>
      </c>
      <c r="K3085" t="s">
        <v>93</v>
      </c>
      <c r="L3085" t="s">
        <v>99</v>
      </c>
      <c r="M3085" t="s">
        <v>95</v>
      </c>
      <c r="N3085" t="s">
        <v>96</v>
      </c>
      <c r="O3085" t="s">
        <v>97</v>
      </c>
    </row>
    <row r="3086" spans="1:15" x14ac:dyDescent="0.2">
      <c r="A3086">
        <v>14</v>
      </c>
      <c r="B3086">
        <v>15</v>
      </c>
      <c r="C3086">
        <v>14</v>
      </c>
      <c r="D3086">
        <v>13</v>
      </c>
      <c r="E3086" t="s">
        <v>30</v>
      </c>
      <c r="F3086" t="s">
        <v>31</v>
      </c>
      <c r="G3086">
        <v>3</v>
      </c>
      <c r="H3086" t="s">
        <v>100</v>
      </c>
      <c r="I3086">
        <v>0</v>
      </c>
      <c r="J3086">
        <v>1</v>
      </c>
      <c r="K3086" t="s">
        <v>101</v>
      </c>
      <c r="L3086" t="s">
        <v>102</v>
      </c>
      <c r="M3086" t="s">
        <v>103</v>
      </c>
      <c r="N3086" t="s">
        <v>96</v>
      </c>
      <c r="O3086" t="s">
        <v>97</v>
      </c>
    </row>
    <row r="3087" spans="1:15" x14ac:dyDescent="0.2">
      <c r="A3087">
        <v>14</v>
      </c>
      <c r="B3087">
        <v>15</v>
      </c>
      <c r="C3087">
        <v>14</v>
      </c>
      <c r="D3087">
        <v>13</v>
      </c>
      <c r="E3087" t="s">
        <v>30</v>
      </c>
      <c r="F3087" t="s">
        <v>31</v>
      </c>
      <c r="G3087">
        <v>4</v>
      </c>
      <c r="H3087" t="s">
        <v>104</v>
      </c>
      <c r="I3087">
        <v>0</v>
      </c>
      <c r="J3087">
        <v>1</v>
      </c>
      <c r="K3087" t="s">
        <v>101</v>
      </c>
      <c r="L3087" t="s">
        <v>105</v>
      </c>
      <c r="M3087" t="s">
        <v>106</v>
      </c>
      <c r="N3087" t="s">
        <v>107</v>
      </c>
      <c r="O3087" t="s">
        <v>97</v>
      </c>
    </row>
    <row r="3088" spans="1:15" x14ac:dyDescent="0.2">
      <c r="A3088">
        <v>14</v>
      </c>
      <c r="B3088">
        <v>15</v>
      </c>
      <c r="C3088">
        <v>14</v>
      </c>
      <c r="D3088">
        <v>13</v>
      </c>
      <c r="E3088" t="s">
        <v>30</v>
      </c>
      <c r="F3088" t="s">
        <v>31</v>
      </c>
      <c r="G3088">
        <v>5</v>
      </c>
      <c r="H3088" t="s">
        <v>108</v>
      </c>
      <c r="I3088">
        <v>0</v>
      </c>
      <c r="J3088">
        <v>1</v>
      </c>
      <c r="K3088" t="s">
        <v>101</v>
      </c>
      <c r="L3088" t="s">
        <v>109</v>
      </c>
      <c r="M3088" t="s">
        <v>110</v>
      </c>
      <c r="N3088" t="s">
        <v>107</v>
      </c>
      <c r="O3088" t="s">
        <v>97</v>
      </c>
    </row>
    <row r="3089" spans="1:15" x14ac:dyDescent="0.2">
      <c r="A3089">
        <v>14</v>
      </c>
      <c r="B3089">
        <v>15</v>
      </c>
      <c r="C3089">
        <v>14</v>
      </c>
      <c r="D3089">
        <v>13</v>
      </c>
      <c r="E3089" t="s">
        <v>30</v>
      </c>
      <c r="F3089" t="s">
        <v>31</v>
      </c>
      <c r="G3089">
        <v>9</v>
      </c>
      <c r="H3089" t="s">
        <v>111</v>
      </c>
      <c r="I3089">
        <v>0.5</v>
      </c>
      <c r="J3089">
        <v>0.5</v>
      </c>
      <c r="K3089" t="s">
        <v>112</v>
      </c>
      <c r="L3089" t="s">
        <v>113</v>
      </c>
      <c r="M3089" t="s">
        <v>114</v>
      </c>
      <c r="N3089" t="s">
        <v>96</v>
      </c>
      <c r="O3089" t="s">
        <v>97</v>
      </c>
    </row>
    <row r="3090" spans="1:15" x14ac:dyDescent="0.2">
      <c r="A3090">
        <v>14</v>
      </c>
      <c r="B3090">
        <v>15</v>
      </c>
      <c r="C3090">
        <v>14</v>
      </c>
      <c r="D3090">
        <v>13</v>
      </c>
      <c r="E3090" t="s">
        <v>30</v>
      </c>
      <c r="F3090" t="s">
        <v>31</v>
      </c>
      <c r="G3090">
        <v>10</v>
      </c>
      <c r="H3090" t="s">
        <v>115</v>
      </c>
      <c r="I3090">
        <v>0</v>
      </c>
      <c r="J3090">
        <v>0.5</v>
      </c>
      <c r="K3090" t="s">
        <v>112</v>
      </c>
      <c r="L3090" t="s">
        <v>116</v>
      </c>
      <c r="M3090" t="s">
        <v>117</v>
      </c>
      <c r="N3090" t="s">
        <v>96</v>
      </c>
      <c r="O3090" t="s">
        <v>97</v>
      </c>
    </row>
    <row r="3091" spans="1:15" x14ac:dyDescent="0.2">
      <c r="A3091">
        <v>14</v>
      </c>
      <c r="B3091">
        <v>15</v>
      </c>
      <c r="C3091">
        <v>14</v>
      </c>
      <c r="D3091">
        <v>13</v>
      </c>
      <c r="E3091" t="s">
        <v>30</v>
      </c>
      <c r="F3091" t="s">
        <v>31</v>
      </c>
      <c r="G3091">
        <v>11</v>
      </c>
      <c r="H3091" t="s">
        <v>118</v>
      </c>
      <c r="I3091">
        <v>1</v>
      </c>
      <c r="J3091">
        <v>1</v>
      </c>
      <c r="K3091" t="s">
        <v>112</v>
      </c>
      <c r="L3091" t="s">
        <v>119</v>
      </c>
      <c r="M3091" t="s">
        <v>120</v>
      </c>
      <c r="N3091" t="s">
        <v>107</v>
      </c>
      <c r="O3091" t="s">
        <v>97</v>
      </c>
    </row>
    <row r="3092" spans="1:15" x14ac:dyDescent="0.2">
      <c r="A3092">
        <v>14</v>
      </c>
      <c r="B3092">
        <v>15</v>
      </c>
      <c r="C3092">
        <v>14</v>
      </c>
      <c r="D3092">
        <v>13</v>
      </c>
      <c r="E3092" t="s">
        <v>30</v>
      </c>
      <c r="F3092" t="s">
        <v>31</v>
      </c>
      <c r="G3092">
        <v>12</v>
      </c>
      <c r="H3092" t="s">
        <v>121</v>
      </c>
      <c r="I3092">
        <v>0</v>
      </c>
      <c r="J3092">
        <v>0.5</v>
      </c>
      <c r="K3092" t="s">
        <v>122</v>
      </c>
      <c r="L3092" t="s">
        <v>113</v>
      </c>
      <c r="M3092" t="s">
        <v>123</v>
      </c>
      <c r="N3092" t="s">
        <v>96</v>
      </c>
      <c r="O3092" t="s">
        <v>97</v>
      </c>
    </row>
    <row r="3093" spans="1:15" x14ac:dyDescent="0.2">
      <c r="A3093">
        <v>14</v>
      </c>
      <c r="B3093">
        <v>15</v>
      </c>
      <c r="C3093">
        <v>14</v>
      </c>
      <c r="D3093">
        <v>13</v>
      </c>
      <c r="E3093" t="s">
        <v>30</v>
      </c>
      <c r="F3093" t="s">
        <v>31</v>
      </c>
      <c r="G3093">
        <v>13</v>
      </c>
      <c r="H3093" t="s">
        <v>124</v>
      </c>
      <c r="I3093">
        <v>0</v>
      </c>
      <c r="J3093">
        <v>0.5</v>
      </c>
      <c r="K3093" t="s">
        <v>122</v>
      </c>
      <c r="L3093" t="s">
        <v>125</v>
      </c>
      <c r="M3093" t="s">
        <v>126</v>
      </c>
      <c r="N3093" t="s">
        <v>96</v>
      </c>
      <c r="O3093" t="s">
        <v>97</v>
      </c>
    </row>
    <row r="3094" spans="1:15" x14ac:dyDescent="0.2">
      <c r="A3094">
        <v>360</v>
      </c>
      <c r="B3094">
        <v>361</v>
      </c>
      <c r="C3094">
        <v>360</v>
      </c>
      <c r="D3094">
        <v>359</v>
      </c>
      <c r="E3094" t="s">
        <v>57</v>
      </c>
      <c r="F3094" t="s">
        <v>64</v>
      </c>
      <c r="G3094">
        <v>1</v>
      </c>
      <c r="H3094" t="s">
        <v>92</v>
      </c>
      <c r="I3094">
        <v>0</v>
      </c>
      <c r="J3094">
        <v>0.2</v>
      </c>
      <c r="K3094" t="s">
        <v>93</v>
      </c>
      <c r="L3094" t="s">
        <v>94</v>
      </c>
      <c r="M3094" t="s">
        <v>95</v>
      </c>
      <c r="N3094" t="s">
        <v>96</v>
      </c>
      <c r="O3094" t="s">
        <v>97</v>
      </c>
    </row>
    <row r="3095" spans="1:15" x14ac:dyDescent="0.2">
      <c r="A3095">
        <v>360</v>
      </c>
      <c r="B3095">
        <v>361</v>
      </c>
      <c r="C3095">
        <v>360</v>
      </c>
      <c r="D3095">
        <v>359</v>
      </c>
      <c r="E3095" t="s">
        <v>57</v>
      </c>
      <c r="F3095" t="s">
        <v>64</v>
      </c>
      <c r="G3095">
        <v>2</v>
      </c>
      <c r="H3095" t="s">
        <v>98</v>
      </c>
      <c r="I3095">
        <v>0.25</v>
      </c>
      <c r="J3095">
        <v>0.5</v>
      </c>
      <c r="K3095" t="s">
        <v>93</v>
      </c>
      <c r="L3095" t="s">
        <v>99</v>
      </c>
      <c r="M3095" t="s">
        <v>95</v>
      </c>
      <c r="N3095" t="s">
        <v>96</v>
      </c>
      <c r="O3095" t="s">
        <v>97</v>
      </c>
    </row>
    <row r="3096" spans="1:15" x14ac:dyDescent="0.2">
      <c r="A3096">
        <v>360</v>
      </c>
      <c r="B3096">
        <v>361</v>
      </c>
      <c r="C3096">
        <v>360</v>
      </c>
      <c r="D3096">
        <v>359</v>
      </c>
      <c r="E3096" t="s">
        <v>57</v>
      </c>
      <c r="F3096" t="s">
        <v>64</v>
      </c>
      <c r="G3096">
        <v>3</v>
      </c>
      <c r="H3096" t="s">
        <v>100</v>
      </c>
      <c r="I3096">
        <v>0</v>
      </c>
      <c r="J3096">
        <v>1</v>
      </c>
      <c r="K3096" t="s">
        <v>101</v>
      </c>
      <c r="L3096" t="s">
        <v>102</v>
      </c>
      <c r="M3096" t="s">
        <v>103</v>
      </c>
      <c r="N3096" t="s">
        <v>96</v>
      </c>
      <c r="O3096" t="s">
        <v>97</v>
      </c>
    </row>
    <row r="3097" spans="1:15" x14ac:dyDescent="0.2">
      <c r="A3097">
        <v>360</v>
      </c>
      <c r="B3097">
        <v>361</v>
      </c>
      <c r="C3097">
        <v>360</v>
      </c>
      <c r="D3097">
        <v>359</v>
      </c>
      <c r="E3097" t="s">
        <v>57</v>
      </c>
      <c r="F3097" t="s">
        <v>64</v>
      </c>
      <c r="G3097">
        <v>4</v>
      </c>
      <c r="H3097" t="s">
        <v>104</v>
      </c>
      <c r="I3097">
        <v>0</v>
      </c>
      <c r="J3097">
        <v>1</v>
      </c>
      <c r="K3097" t="s">
        <v>101</v>
      </c>
      <c r="L3097" t="s">
        <v>105</v>
      </c>
      <c r="M3097" t="s">
        <v>106</v>
      </c>
      <c r="N3097" t="s">
        <v>107</v>
      </c>
      <c r="O3097" t="s">
        <v>97</v>
      </c>
    </row>
    <row r="3098" spans="1:15" x14ac:dyDescent="0.2">
      <c r="A3098">
        <v>360</v>
      </c>
      <c r="B3098">
        <v>361</v>
      </c>
      <c r="C3098">
        <v>360</v>
      </c>
      <c r="D3098">
        <v>359</v>
      </c>
      <c r="E3098" t="s">
        <v>57</v>
      </c>
      <c r="F3098" t="s">
        <v>64</v>
      </c>
      <c r="G3098">
        <v>5</v>
      </c>
      <c r="H3098" t="s">
        <v>108</v>
      </c>
      <c r="I3098">
        <v>0</v>
      </c>
      <c r="J3098">
        <v>1</v>
      </c>
      <c r="K3098" t="s">
        <v>101</v>
      </c>
      <c r="L3098" t="s">
        <v>109</v>
      </c>
      <c r="M3098" t="s">
        <v>110</v>
      </c>
      <c r="N3098" t="s">
        <v>107</v>
      </c>
      <c r="O3098" t="s">
        <v>97</v>
      </c>
    </row>
    <row r="3099" spans="1:15" x14ac:dyDescent="0.2">
      <c r="A3099">
        <v>360</v>
      </c>
      <c r="B3099">
        <v>361</v>
      </c>
      <c r="C3099">
        <v>360</v>
      </c>
      <c r="D3099">
        <v>359</v>
      </c>
      <c r="E3099" t="s">
        <v>57</v>
      </c>
      <c r="F3099" t="s">
        <v>64</v>
      </c>
      <c r="G3099">
        <v>9</v>
      </c>
      <c r="H3099" t="s">
        <v>111</v>
      </c>
      <c r="I3099">
        <v>0.25</v>
      </c>
      <c r="J3099">
        <v>0.5</v>
      </c>
      <c r="K3099" t="s">
        <v>112</v>
      </c>
      <c r="L3099" t="s">
        <v>113</v>
      </c>
      <c r="M3099" t="s">
        <v>114</v>
      </c>
      <c r="N3099" t="s">
        <v>96</v>
      </c>
      <c r="O3099" t="s">
        <v>97</v>
      </c>
    </row>
    <row r="3100" spans="1:15" x14ac:dyDescent="0.2">
      <c r="A3100">
        <v>360</v>
      </c>
      <c r="B3100">
        <v>361</v>
      </c>
      <c r="C3100">
        <v>360</v>
      </c>
      <c r="D3100">
        <v>359</v>
      </c>
      <c r="E3100" t="s">
        <v>57</v>
      </c>
      <c r="F3100" t="s">
        <v>64</v>
      </c>
      <c r="G3100">
        <v>10</v>
      </c>
      <c r="H3100" t="s">
        <v>115</v>
      </c>
      <c r="I3100">
        <v>0</v>
      </c>
      <c r="J3100">
        <v>0.5</v>
      </c>
      <c r="K3100" t="s">
        <v>112</v>
      </c>
      <c r="L3100" t="s">
        <v>116</v>
      </c>
      <c r="M3100" t="s">
        <v>117</v>
      </c>
      <c r="N3100" t="s">
        <v>96</v>
      </c>
      <c r="O3100" t="s">
        <v>97</v>
      </c>
    </row>
    <row r="3101" spans="1:15" x14ac:dyDescent="0.2">
      <c r="A3101">
        <v>360</v>
      </c>
      <c r="B3101">
        <v>361</v>
      </c>
      <c r="C3101">
        <v>360</v>
      </c>
      <c r="D3101">
        <v>359</v>
      </c>
      <c r="E3101" t="s">
        <v>57</v>
      </c>
      <c r="F3101" t="s">
        <v>64</v>
      </c>
      <c r="G3101">
        <v>11</v>
      </c>
      <c r="H3101" t="s">
        <v>118</v>
      </c>
      <c r="I3101">
        <v>0.5</v>
      </c>
      <c r="J3101">
        <v>1</v>
      </c>
      <c r="K3101" t="s">
        <v>112</v>
      </c>
      <c r="L3101" t="s">
        <v>119</v>
      </c>
      <c r="M3101" t="s">
        <v>120</v>
      </c>
      <c r="N3101" t="s">
        <v>107</v>
      </c>
      <c r="O3101" t="s">
        <v>97</v>
      </c>
    </row>
    <row r="3102" spans="1:15" x14ac:dyDescent="0.2">
      <c r="A3102">
        <v>360</v>
      </c>
      <c r="B3102">
        <v>361</v>
      </c>
      <c r="C3102">
        <v>360</v>
      </c>
      <c r="D3102">
        <v>359</v>
      </c>
      <c r="E3102" t="s">
        <v>57</v>
      </c>
      <c r="F3102" t="s">
        <v>64</v>
      </c>
      <c r="G3102">
        <v>12</v>
      </c>
      <c r="H3102" t="s">
        <v>121</v>
      </c>
      <c r="I3102">
        <v>0.5</v>
      </c>
      <c r="J3102">
        <v>0.5</v>
      </c>
      <c r="K3102" t="s">
        <v>122</v>
      </c>
      <c r="L3102" t="s">
        <v>113</v>
      </c>
      <c r="M3102" t="s">
        <v>123</v>
      </c>
      <c r="N3102" t="s">
        <v>96</v>
      </c>
      <c r="O3102" t="s">
        <v>97</v>
      </c>
    </row>
    <row r="3103" spans="1:15" x14ac:dyDescent="0.2">
      <c r="A3103">
        <v>360</v>
      </c>
      <c r="B3103">
        <v>361</v>
      </c>
      <c r="C3103">
        <v>360</v>
      </c>
      <c r="D3103">
        <v>359</v>
      </c>
      <c r="E3103" t="s">
        <v>57</v>
      </c>
      <c r="F3103" t="s">
        <v>64</v>
      </c>
      <c r="G3103">
        <v>13</v>
      </c>
      <c r="H3103" t="s">
        <v>124</v>
      </c>
      <c r="I3103">
        <v>0.25</v>
      </c>
      <c r="J3103">
        <v>0.5</v>
      </c>
      <c r="K3103" t="s">
        <v>122</v>
      </c>
      <c r="L3103" t="s">
        <v>125</v>
      </c>
      <c r="M3103" t="s">
        <v>126</v>
      </c>
      <c r="N3103" t="s">
        <v>96</v>
      </c>
      <c r="O3103" t="s">
        <v>97</v>
      </c>
    </row>
    <row r="3104" spans="1:15" x14ac:dyDescent="0.2">
      <c r="A3104">
        <v>360</v>
      </c>
      <c r="B3104">
        <v>361</v>
      </c>
      <c r="C3104">
        <v>360</v>
      </c>
      <c r="D3104">
        <v>359</v>
      </c>
      <c r="E3104" t="s">
        <v>57</v>
      </c>
      <c r="F3104" t="s">
        <v>64</v>
      </c>
      <c r="G3104">
        <v>14</v>
      </c>
      <c r="H3104" t="s">
        <v>127</v>
      </c>
      <c r="I3104">
        <v>1</v>
      </c>
      <c r="J3104">
        <v>1</v>
      </c>
      <c r="K3104" t="s">
        <v>122</v>
      </c>
      <c r="L3104" t="s">
        <v>119</v>
      </c>
      <c r="M3104" t="s">
        <v>128</v>
      </c>
      <c r="N3104" t="s">
        <v>107</v>
      </c>
      <c r="O3104" t="s">
        <v>97</v>
      </c>
    </row>
    <row r="3105" spans="1:15" x14ac:dyDescent="0.2">
      <c r="A3105">
        <v>360</v>
      </c>
      <c r="B3105">
        <v>361</v>
      </c>
      <c r="C3105">
        <v>360</v>
      </c>
      <c r="D3105">
        <v>359</v>
      </c>
      <c r="E3105" t="s">
        <v>57</v>
      </c>
      <c r="F3105" t="s">
        <v>64</v>
      </c>
      <c r="G3105">
        <v>15</v>
      </c>
      <c r="H3105" t="s">
        <v>129</v>
      </c>
      <c r="I3105">
        <v>0</v>
      </c>
      <c r="J3105">
        <v>1</v>
      </c>
      <c r="K3105" t="s">
        <v>130</v>
      </c>
      <c r="L3105" t="s">
        <v>131</v>
      </c>
      <c r="M3105" t="s">
        <v>132</v>
      </c>
      <c r="N3105" t="s">
        <v>107</v>
      </c>
      <c r="O3105" t="s">
        <v>97</v>
      </c>
    </row>
    <row r="3106" spans="1:15" x14ac:dyDescent="0.2">
      <c r="A3106">
        <v>360</v>
      </c>
      <c r="B3106">
        <v>361</v>
      </c>
      <c r="C3106">
        <v>360</v>
      </c>
      <c r="D3106">
        <v>359</v>
      </c>
      <c r="E3106" t="s">
        <v>57</v>
      </c>
      <c r="F3106" t="s">
        <v>64</v>
      </c>
      <c r="G3106">
        <v>16</v>
      </c>
      <c r="H3106" t="s">
        <v>133</v>
      </c>
      <c r="I3106">
        <v>0</v>
      </c>
      <c r="J3106">
        <v>0</v>
      </c>
      <c r="K3106" t="e">
        <v>#N/A</v>
      </c>
      <c r="L3106" t="e">
        <v>#N/A</v>
      </c>
      <c r="M3106" t="e">
        <v>#N/A</v>
      </c>
      <c r="N3106" t="e">
        <v>#N/A</v>
      </c>
      <c r="O3106" t="s">
        <v>97</v>
      </c>
    </row>
    <row r="3107" spans="1:15" x14ac:dyDescent="0.2">
      <c r="A3107">
        <v>360</v>
      </c>
      <c r="B3107">
        <v>361</v>
      </c>
      <c r="C3107">
        <v>360</v>
      </c>
      <c r="D3107">
        <v>359</v>
      </c>
      <c r="E3107" t="s">
        <v>57</v>
      </c>
      <c r="F3107" t="s">
        <v>64</v>
      </c>
      <c r="G3107">
        <v>17</v>
      </c>
      <c r="H3107" t="s">
        <v>134</v>
      </c>
      <c r="I3107">
        <v>1</v>
      </c>
      <c r="J3107">
        <v>1</v>
      </c>
      <c r="K3107" t="s">
        <v>112</v>
      </c>
      <c r="L3107" t="s">
        <v>135</v>
      </c>
      <c r="M3107" t="s">
        <v>136</v>
      </c>
      <c r="N3107" t="s">
        <v>107</v>
      </c>
      <c r="O3107" t="s">
        <v>97</v>
      </c>
    </row>
    <row r="3108" spans="1:15" x14ac:dyDescent="0.2">
      <c r="A3108">
        <v>360</v>
      </c>
      <c r="B3108">
        <v>361</v>
      </c>
      <c r="C3108">
        <v>360</v>
      </c>
      <c r="D3108">
        <v>359</v>
      </c>
      <c r="E3108" t="s">
        <v>57</v>
      </c>
      <c r="F3108" t="s">
        <v>64</v>
      </c>
      <c r="G3108">
        <v>18</v>
      </c>
      <c r="H3108" t="s">
        <v>137</v>
      </c>
      <c r="I3108">
        <v>1</v>
      </c>
      <c r="J3108">
        <v>1</v>
      </c>
      <c r="K3108" t="s">
        <v>112</v>
      </c>
      <c r="L3108" t="s">
        <v>138</v>
      </c>
      <c r="M3108" t="s">
        <v>139</v>
      </c>
      <c r="N3108" t="s">
        <v>107</v>
      </c>
      <c r="O3108" t="s">
        <v>97</v>
      </c>
    </row>
    <row r="3109" spans="1:15" x14ac:dyDescent="0.2">
      <c r="A3109">
        <v>360</v>
      </c>
      <c r="B3109">
        <v>361</v>
      </c>
      <c r="C3109">
        <v>360</v>
      </c>
      <c r="D3109">
        <v>359</v>
      </c>
      <c r="E3109" t="s">
        <v>57</v>
      </c>
      <c r="F3109" t="s">
        <v>64</v>
      </c>
      <c r="G3109">
        <v>19</v>
      </c>
      <c r="H3109" t="s">
        <v>140</v>
      </c>
      <c r="I3109">
        <v>0.5</v>
      </c>
      <c r="J3109">
        <v>1</v>
      </c>
      <c r="K3109" t="s">
        <v>122</v>
      </c>
      <c r="L3109" t="s">
        <v>141</v>
      </c>
      <c r="M3109" t="s">
        <v>142</v>
      </c>
      <c r="N3109" t="s">
        <v>107</v>
      </c>
      <c r="O3109" t="s">
        <v>97</v>
      </c>
    </row>
    <row r="3110" spans="1:15" x14ac:dyDescent="0.2">
      <c r="A3110">
        <v>360</v>
      </c>
      <c r="B3110">
        <v>361</v>
      </c>
      <c r="C3110">
        <v>360</v>
      </c>
      <c r="D3110">
        <v>359</v>
      </c>
      <c r="E3110" t="s">
        <v>57</v>
      </c>
      <c r="F3110" t="s">
        <v>64</v>
      </c>
      <c r="G3110">
        <v>20</v>
      </c>
      <c r="H3110" t="s">
        <v>143</v>
      </c>
      <c r="I3110">
        <v>1</v>
      </c>
      <c r="J3110">
        <v>1</v>
      </c>
      <c r="K3110" t="s">
        <v>122</v>
      </c>
      <c r="L3110" t="s">
        <v>144</v>
      </c>
      <c r="M3110" t="s">
        <v>145</v>
      </c>
      <c r="N3110" t="s">
        <v>107</v>
      </c>
      <c r="O3110" t="s">
        <v>97</v>
      </c>
    </row>
    <row r="3111" spans="1:15" x14ac:dyDescent="0.2">
      <c r="A3111">
        <v>360</v>
      </c>
      <c r="B3111">
        <v>361</v>
      </c>
      <c r="C3111">
        <v>360</v>
      </c>
      <c r="D3111">
        <v>359</v>
      </c>
      <c r="E3111" t="s">
        <v>57</v>
      </c>
      <c r="F3111" t="s">
        <v>64</v>
      </c>
      <c r="G3111">
        <v>21</v>
      </c>
      <c r="H3111" t="s">
        <v>146</v>
      </c>
      <c r="I3111">
        <v>1</v>
      </c>
      <c r="J3111">
        <v>1</v>
      </c>
      <c r="K3111" t="s">
        <v>147</v>
      </c>
      <c r="L3111" t="s">
        <v>148</v>
      </c>
      <c r="M3111" t="s">
        <v>149</v>
      </c>
      <c r="N3111" t="s">
        <v>96</v>
      </c>
      <c r="O3111" t="s">
        <v>97</v>
      </c>
    </row>
    <row r="3112" spans="1:15" x14ac:dyDescent="0.2">
      <c r="A3112">
        <v>360</v>
      </c>
      <c r="B3112">
        <v>361</v>
      </c>
      <c r="C3112">
        <v>360</v>
      </c>
      <c r="D3112">
        <v>359</v>
      </c>
      <c r="E3112" t="s">
        <v>57</v>
      </c>
      <c r="F3112" t="s">
        <v>64</v>
      </c>
      <c r="G3112">
        <v>22</v>
      </c>
      <c r="H3112" t="s">
        <v>150</v>
      </c>
      <c r="I3112">
        <v>0</v>
      </c>
      <c r="J3112">
        <v>1</v>
      </c>
      <c r="K3112" t="s">
        <v>147</v>
      </c>
      <c r="L3112" t="s">
        <v>151</v>
      </c>
      <c r="M3112" t="s">
        <v>149</v>
      </c>
      <c r="N3112" t="s">
        <v>107</v>
      </c>
      <c r="O3112" t="s">
        <v>97</v>
      </c>
    </row>
    <row r="3113" spans="1:15" x14ac:dyDescent="0.2">
      <c r="A3113">
        <v>360</v>
      </c>
      <c r="B3113">
        <v>361</v>
      </c>
      <c r="C3113">
        <v>360</v>
      </c>
      <c r="D3113">
        <v>359</v>
      </c>
      <c r="E3113" t="s">
        <v>57</v>
      </c>
      <c r="F3113" t="s">
        <v>64</v>
      </c>
      <c r="G3113">
        <v>23</v>
      </c>
      <c r="H3113" t="s">
        <v>152</v>
      </c>
      <c r="I3113">
        <v>0</v>
      </c>
      <c r="J3113">
        <v>0</v>
      </c>
      <c r="K3113" t="s">
        <v>153</v>
      </c>
      <c r="L3113" t="s">
        <v>154</v>
      </c>
      <c r="M3113" t="s">
        <v>155</v>
      </c>
      <c r="N3113" t="s">
        <v>107</v>
      </c>
      <c r="O3113" t="s">
        <v>97</v>
      </c>
    </row>
    <row r="3114" spans="1:15" x14ac:dyDescent="0.2">
      <c r="A3114">
        <v>360</v>
      </c>
      <c r="B3114">
        <v>361</v>
      </c>
      <c r="C3114">
        <v>360</v>
      </c>
      <c r="D3114">
        <v>359</v>
      </c>
      <c r="E3114" t="s">
        <v>57</v>
      </c>
      <c r="F3114" t="s">
        <v>64</v>
      </c>
      <c r="G3114">
        <v>24</v>
      </c>
      <c r="H3114" t="s">
        <v>156</v>
      </c>
      <c r="I3114">
        <v>0.5</v>
      </c>
      <c r="J3114">
        <v>0.5</v>
      </c>
      <c r="K3114" t="s">
        <v>122</v>
      </c>
      <c r="L3114" t="s">
        <v>157</v>
      </c>
      <c r="M3114" t="s">
        <v>158</v>
      </c>
      <c r="N3114" t="s">
        <v>107</v>
      </c>
      <c r="O3114" t="s">
        <v>97</v>
      </c>
    </row>
    <row r="3115" spans="1:15" x14ac:dyDescent="0.2">
      <c r="A3115">
        <v>360</v>
      </c>
      <c r="B3115">
        <v>361</v>
      </c>
      <c r="C3115">
        <v>360</v>
      </c>
      <c r="D3115">
        <v>359</v>
      </c>
      <c r="E3115" t="s">
        <v>57</v>
      </c>
      <c r="F3115" t="s">
        <v>64</v>
      </c>
      <c r="G3115">
        <v>25</v>
      </c>
      <c r="H3115" t="s">
        <v>156</v>
      </c>
      <c r="I3115">
        <v>0.5</v>
      </c>
      <c r="J3115">
        <v>0.5</v>
      </c>
      <c r="K3115" t="s">
        <v>122</v>
      </c>
      <c r="L3115" t="s">
        <v>157</v>
      </c>
      <c r="M3115" t="s">
        <v>158</v>
      </c>
      <c r="N3115" t="s">
        <v>107</v>
      </c>
      <c r="O3115" t="s">
        <v>97</v>
      </c>
    </row>
    <row r="3116" spans="1:15" x14ac:dyDescent="0.2">
      <c r="A3116">
        <v>360</v>
      </c>
      <c r="B3116">
        <v>361</v>
      </c>
      <c r="C3116">
        <v>360</v>
      </c>
      <c r="D3116">
        <v>359</v>
      </c>
      <c r="E3116" t="s">
        <v>57</v>
      </c>
      <c r="F3116" t="s">
        <v>64</v>
      </c>
      <c r="G3116">
        <v>26</v>
      </c>
      <c r="H3116" t="s">
        <v>152</v>
      </c>
      <c r="I3116">
        <v>0</v>
      </c>
      <c r="J3116">
        <v>0</v>
      </c>
      <c r="K3116" t="s">
        <v>153</v>
      </c>
      <c r="L3116" t="s">
        <v>154</v>
      </c>
      <c r="M3116" t="s">
        <v>155</v>
      </c>
      <c r="N3116" t="s">
        <v>107</v>
      </c>
      <c r="O3116" t="s">
        <v>97</v>
      </c>
    </row>
    <row r="3117" spans="1:15" x14ac:dyDescent="0.2">
      <c r="A3117">
        <v>360</v>
      </c>
      <c r="B3117">
        <v>361</v>
      </c>
      <c r="C3117">
        <v>360</v>
      </c>
      <c r="D3117">
        <v>359</v>
      </c>
      <c r="E3117" t="s">
        <v>57</v>
      </c>
      <c r="F3117" t="s">
        <v>64</v>
      </c>
      <c r="G3117">
        <v>27</v>
      </c>
      <c r="H3117" t="s">
        <v>159</v>
      </c>
      <c r="I3117">
        <v>0</v>
      </c>
      <c r="J3117">
        <v>0.5</v>
      </c>
      <c r="K3117" t="s">
        <v>122</v>
      </c>
      <c r="L3117" t="s">
        <v>160</v>
      </c>
      <c r="M3117" t="s">
        <v>161</v>
      </c>
      <c r="N3117" t="s">
        <v>107</v>
      </c>
      <c r="O3117" t="s">
        <v>97</v>
      </c>
    </row>
    <row r="3118" spans="1:15" x14ac:dyDescent="0.2">
      <c r="A3118">
        <v>360</v>
      </c>
      <c r="B3118">
        <v>361</v>
      </c>
      <c r="C3118">
        <v>360</v>
      </c>
      <c r="D3118">
        <v>359</v>
      </c>
      <c r="E3118" t="s">
        <v>57</v>
      </c>
      <c r="F3118" t="s">
        <v>64</v>
      </c>
      <c r="G3118">
        <v>28</v>
      </c>
      <c r="H3118" t="s">
        <v>159</v>
      </c>
      <c r="I3118">
        <v>0</v>
      </c>
      <c r="J3118">
        <v>0.5</v>
      </c>
      <c r="K3118" t="s">
        <v>122</v>
      </c>
      <c r="L3118" t="s">
        <v>160</v>
      </c>
      <c r="M3118" t="s">
        <v>161</v>
      </c>
      <c r="N3118" t="s">
        <v>107</v>
      </c>
      <c r="O3118" t="s">
        <v>97</v>
      </c>
    </row>
    <row r="3119" spans="1:15" x14ac:dyDescent="0.2">
      <c r="A3119">
        <v>360</v>
      </c>
      <c r="B3119">
        <v>361</v>
      </c>
      <c r="C3119">
        <v>360</v>
      </c>
      <c r="D3119">
        <v>359</v>
      </c>
      <c r="E3119" t="s">
        <v>57</v>
      </c>
      <c r="F3119" t="s">
        <v>64</v>
      </c>
      <c r="G3119">
        <v>29</v>
      </c>
      <c r="H3119" t="s">
        <v>152</v>
      </c>
      <c r="I3119">
        <v>0</v>
      </c>
      <c r="J3119">
        <v>0</v>
      </c>
      <c r="K3119" t="s">
        <v>153</v>
      </c>
      <c r="L3119" t="s">
        <v>154</v>
      </c>
      <c r="M3119" t="s">
        <v>155</v>
      </c>
      <c r="N3119" t="s">
        <v>107</v>
      </c>
      <c r="O3119" t="s">
        <v>97</v>
      </c>
    </row>
    <row r="3120" spans="1:15" x14ac:dyDescent="0.2">
      <c r="A3120">
        <v>360</v>
      </c>
      <c r="B3120">
        <v>361</v>
      </c>
      <c r="C3120">
        <v>360</v>
      </c>
      <c r="D3120">
        <v>359</v>
      </c>
      <c r="E3120" t="s">
        <v>57</v>
      </c>
      <c r="F3120" t="s">
        <v>64</v>
      </c>
      <c r="G3120">
        <v>30</v>
      </c>
      <c r="H3120" t="s">
        <v>162</v>
      </c>
      <c r="I3120">
        <v>1</v>
      </c>
      <c r="J3120">
        <v>1</v>
      </c>
      <c r="K3120" t="s">
        <v>112</v>
      </c>
      <c r="L3120" t="s">
        <v>163</v>
      </c>
      <c r="M3120" t="s">
        <v>164</v>
      </c>
      <c r="N3120" t="s">
        <v>107</v>
      </c>
      <c r="O3120" t="s">
        <v>97</v>
      </c>
    </row>
    <row r="3121" spans="1:15" x14ac:dyDescent="0.2">
      <c r="A3121">
        <v>360</v>
      </c>
      <c r="B3121">
        <v>361</v>
      </c>
      <c r="C3121">
        <v>360</v>
      </c>
      <c r="D3121">
        <v>359</v>
      </c>
      <c r="E3121" t="s">
        <v>57</v>
      </c>
      <c r="F3121" t="s">
        <v>64</v>
      </c>
      <c r="G3121">
        <v>31</v>
      </c>
      <c r="H3121" t="s">
        <v>162</v>
      </c>
      <c r="I3121">
        <v>0</v>
      </c>
      <c r="J3121">
        <v>0</v>
      </c>
      <c r="K3121" t="s">
        <v>112</v>
      </c>
      <c r="L3121" t="s">
        <v>163</v>
      </c>
      <c r="M3121" t="s">
        <v>164</v>
      </c>
      <c r="N3121" t="s">
        <v>107</v>
      </c>
      <c r="O3121" t="s">
        <v>97</v>
      </c>
    </row>
    <row r="3122" spans="1:15" x14ac:dyDescent="0.2">
      <c r="A3122">
        <v>360</v>
      </c>
      <c r="B3122">
        <v>361</v>
      </c>
      <c r="C3122">
        <v>360</v>
      </c>
      <c r="D3122">
        <v>359</v>
      </c>
      <c r="E3122" t="s">
        <v>57</v>
      </c>
      <c r="F3122" t="s">
        <v>64</v>
      </c>
      <c r="G3122">
        <v>32</v>
      </c>
      <c r="H3122" t="s">
        <v>162</v>
      </c>
      <c r="I3122">
        <v>0</v>
      </c>
      <c r="J3122">
        <v>0</v>
      </c>
      <c r="K3122" t="s">
        <v>112</v>
      </c>
      <c r="L3122" t="s">
        <v>163</v>
      </c>
      <c r="M3122" t="s">
        <v>164</v>
      </c>
      <c r="N3122" t="s">
        <v>107</v>
      </c>
      <c r="O3122" t="s">
        <v>97</v>
      </c>
    </row>
    <row r="3123" spans="1:15" x14ac:dyDescent="0.2">
      <c r="A3123">
        <v>360</v>
      </c>
      <c r="B3123">
        <v>361</v>
      </c>
      <c r="C3123">
        <v>360</v>
      </c>
      <c r="D3123">
        <v>359</v>
      </c>
      <c r="E3123" t="s">
        <v>57</v>
      </c>
      <c r="F3123" t="s">
        <v>64</v>
      </c>
      <c r="G3123">
        <v>33</v>
      </c>
      <c r="H3123" t="s">
        <v>152</v>
      </c>
      <c r="I3123">
        <v>1</v>
      </c>
      <c r="J3123">
        <v>1</v>
      </c>
      <c r="K3123" t="s">
        <v>153</v>
      </c>
      <c r="L3123" t="s">
        <v>154</v>
      </c>
      <c r="M3123" t="s">
        <v>155</v>
      </c>
      <c r="N3123" t="s">
        <v>107</v>
      </c>
      <c r="O3123" t="s">
        <v>97</v>
      </c>
    </row>
    <row r="3124" spans="1:15" x14ac:dyDescent="0.2">
      <c r="A3124">
        <v>360</v>
      </c>
      <c r="B3124">
        <v>361</v>
      </c>
      <c r="C3124">
        <v>360</v>
      </c>
      <c r="D3124">
        <v>359</v>
      </c>
      <c r="E3124" t="s">
        <v>57</v>
      </c>
      <c r="F3124" t="s">
        <v>64</v>
      </c>
      <c r="G3124">
        <v>34</v>
      </c>
      <c r="H3124" t="s">
        <v>152</v>
      </c>
      <c r="I3124">
        <v>0</v>
      </c>
      <c r="J3124">
        <v>0</v>
      </c>
      <c r="K3124" t="s">
        <v>153</v>
      </c>
      <c r="L3124" t="s">
        <v>154</v>
      </c>
      <c r="M3124" t="s">
        <v>155</v>
      </c>
      <c r="N3124" t="s">
        <v>107</v>
      </c>
      <c r="O3124" t="s">
        <v>97</v>
      </c>
    </row>
    <row r="3125" spans="1:15" x14ac:dyDescent="0.2">
      <c r="A3125">
        <v>360</v>
      </c>
      <c r="B3125">
        <v>361</v>
      </c>
      <c r="C3125">
        <v>360</v>
      </c>
      <c r="D3125">
        <v>359</v>
      </c>
      <c r="E3125" t="s">
        <v>57</v>
      </c>
      <c r="F3125" t="s">
        <v>64</v>
      </c>
      <c r="G3125">
        <v>35</v>
      </c>
      <c r="H3125" t="s">
        <v>165</v>
      </c>
      <c r="I3125">
        <v>0</v>
      </c>
      <c r="J3125">
        <v>1</v>
      </c>
      <c r="K3125" t="s">
        <v>166</v>
      </c>
      <c r="L3125" t="s">
        <v>167</v>
      </c>
      <c r="M3125" t="s">
        <v>168</v>
      </c>
      <c r="N3125" t="s">
        <v>107</v>
      </c>
      <c r="O3125" t="s">
        <v>97</v>
      </c>
    </row>
    <row r="3126" spans="1:15" x14ac:dyDescent="0.2">
      <c r="A3126">
        <v>360</v>
      </c>
      <c r="B3126">
        <v>361</v>
      </c>
      <c r="C3126">
        <v>360</v>
      </c>
      <c r="D3126">
        <v>359</v>
      </c>
      <c r="E3126" t="s">
        <v>57</v>
      </c>
      <c r="F3126" t="s">
        <v>64</v>
      </c>
      <c r="G3126">
        <v>36</v>
      </c>
      <c r="H3126" t="s">
        <v>169</v>
      </c>
      <c r="I3126">
        <v>0</v>
      </c>
      <c r="J3126">
        <v>0</v>
      </c>
      <c r="K3126" t="e">
        <v>#N/A</v>
      </c>
      <c r="L3126" t="e">
        <v>#N/A</v>
      </c>
      <c r="M3126" t="e">
        <v>#N/A</v>
      </c>
      <c r="N3126" t="e">
        <v>#N/A</v>
      </c>
      <c r="O3126" t="s">
        <v>97</v>
      </c>
    </row>
    <row r="3127" spans="1:15" x14ac:dyDescent="0.2">
      <c r="A3127">
        <v>360</v>
      </c>
      <c r="B3127">
        <v>361</v>
      </c>
      <c r="C3127">
        <v>360</v>
      </c>
      <c r="D3127">
        <v>359</v>
      </c>
      <c r="E3127" t="s">
        <v>57</v>
      </c>
      <c r="F3127" t="s">
        <v>64</v>
      </c>
      <c r="G3127">
        <v>38</v>
      </c>
      <c r="H3127" t="s">
        <v>170</v>
      </c>
      <c r="I3127">
        <v>0.5</v>
      </c>
      <c r="J3127">
        <v>0.5</v>
      </c>
      <c r="K3127" t="s">
        <v>112</v>
      </c>
      <c r="L3127" t="s">
        <v>171</v>
      </c>
      <c r="M3127" t="s">
        <v>172</v>
      </c>
      <c r="N3127" t="s">
        <v>96</v>
      </c>
      <c r="O3127" t="s">
        <v>97</v>
      </c>
    </row>
    <row r="3128" spans="1:15" x14ac:dyDescent="0.2">
      <c r="A3128">
        <v>360</v>
      </c>
      <c r="B3128">
        <v>361</v>
      </c>
      <c r="C3128">
        <v>360</v>
      </c>
      <c r="D3128">
        <v>359</v>
      </c>
      <c r="E3128" t="s">
        <v>57</v>
      </c>
      <c r="F3128" t="s">
        <v>64</v>
      </c>
      <c r="G3128">
        <v>39</v>
      </c>
      <c r="H3128" t="s">
        <v>170</v>
      </c>
      <c r="I3128">
        <v>0</v>
      </c>
      <c r="J3128">
        <v>0.5</v>
      </c>
      <c r="K3128" t="s">
        <v>112</v>
      </c>
      <c r="L3128" t="s">
        <v>171</v>
      </c>
      <c r="M3128" t="s">
        <v>172</v>
      </c>
      <c r="N3128" t="s">
        <v>96</v>
      </c>
      <c r="O3128" t="s">
        <v>97</v>
      </c>
    </row>
    <row r="3129" spans="1:15" x14ac:dyDescent="0.2">
      <c r="A3129">
        <v>360</v>
      </c>
      <c r="B3129">
        <v>361</v>
      </c>
      <c r="C3129">
        <v>360</v>
      </c>
      <c r="D3129">
        <v>359</v>
      </c>
      <c r="E3129" t="s">
        <v>57</v>
      </c>
      <c r="F3129" t="s">
        <v>64</v>
      </c>
      <c r="G3129">
        <v>40</v>
      </c>
      <c r="H3129" t="s">
        <v>170</v>
      </c>
      <c r="I3129">
        <v>0.5</v>
      </c>
      <c r="J3129">
        <v>0.5</v>
      </c>
      <c r="K3129" t="s">
        <v>112</v>
      </c>
      <c r="L3129" t="s">
        <v>171</v>
      </c>
      <c r="M3129" t="s">
        <v>172</v>
      </c>
      <c r="N3129" t="s">
        <v>96</v>
      </c>
      <c r="O3129" t="s">
        <v>97</v>
      </c>
    </row>
    <row r="3130" spans="1:15" x14ac:dyDescent="0.2">
      <c r="A3130">
        <v>360</v>
      </c>
      <c r="B3130">
        <v>361</v>
      </c>
      <c r="C3130">
        <v>360</v>
      </c>
      <c r="D3130">
        <v>359</v>
      </c>
      <c r="E3130" t="s">
        <v>57</v>
      </c>
      <c r="F3130" t="s">
        <v>64</v>
      </c>
      <c r="G3130">
        <v>41</v>
      </c>
      <c r="H3130" t="s">
        <v>173</v>
      </c>
      <c r="I3130">
        <v>0</v>
      </c>
      <c r="J3130">
        <v>1</v>
      </c>
      <c r="K3130" t="s">
        <v>166</v>
      </c>
      <c r="L3130" t="s">
        <v>174</v>
      </c>
      <c r="M3130" t="s">
        <v>175</v>
      </c>
      <c r="N3130" t="s">
        <v>107</v>
      </c>
      <c r="O3130" t="s">
        <v>97</v>
      </c>
    </row>
    <row r="3131" spans="1:15" x14ac:dyDescent="0.2">
      <c r="A3131">
        <v>360</v>
      </c>
      <c r="B3131">
        <v>361</v>
      </c>
      <c r="C3131">
        <v>360</v>
      </c>
      <c r="D3131">
        <v>359</v>
      </c>
      <c r="E3131" t="s">
        <v>57</v>
      </c>
      <c r="F3131" t="s">
        <v>64</v>
      </c>
      <c r="G3131">
        <v>42</v>
      </c>
      <c r="H3131" t="s">
        <v>176</v>
      </c>
      <c r="I3131">
        <v>1</v>
      </c>
      <c r="J3131">
        <v>1</v>
      </c>
      <c r="K3131" t="s">
        <v>153</v>
      </c>
      <c r="L3131" t="s">
        <v>177</v>
      </c>
      <c r="M3131" t="s">
        <v>178</v>
      </c>
      <c r="N3131" t="s">
        <v>107</v>
      </c>
      <c r="O3131" t="s">
        <v>97</v>
      </c>
    </row>
    <row r="3132" spans="1:15" x14ac:dyDescent="0.2">
      <c r="A3132">
        <v>360</v>
      </c>
      <c r="B3132">
        <v>361</v>
      </c>
      <c r="C3132">
        <v>360</v>
      </c>
      <c r="D3132">
        <v>359</v>
      </c>
      <c r="E3132" t="s">
        <v>57</v>
      </c>
      <c r="F3132" t="s">
        <v>64</v>
      </c>
      <c r="G3132">
        <v>43</v>
      </c>
      <c r="H3132" t="s">
        <v>179</v>
      </c>
      <c r="I3132">
        <v>0</v>
      </c>
      <c r="J3132">
        <v>0</v>
      </c>
      <c r="K3132" t="s">
        <v>166</v>
      </c>
      <c r="L3132" t="s">
        <v>180</v>
      </c>
      <c r="M3132" t="s">
        <v>181</v>
      </c>
      <c r="N3132" t="s">
        <v>107</v>
      </c>
      <c r="O3132" t="s">
        <v>97</v>
      </c>
    </row>
    <row r="3133" spans="1:15" x14ac:dyDescent="0.2">
      <c r="A3133">
        <v>360</v>
      </c>
      <c r="B3133">
        <v>361</v>
      </c>
      <c r="C3133">
        <v>360</v>
      </c>
      <c r="D3133">
        <v>359</v>
      </c>
      <c r="E3133" t="s">
        <v>57</v>
      </c>
      <c r="F3133" t="s">
        <v>64</v>
      </c>
      <c r="G3133">
        <v>44</v>
      </c>
      <c r="H3133" t="s">
        <v>182</v>
      </c>
      <c r="I3133">
        <v>0</v>
      </c>
      <c r="J3133">
        <v>1</v>
      </c>
      <c r="K3133" t="s">
        <v>166</v>
      </c>
      <c r="L3133" t="s">
        <v>183</v>
      </c>
      <c r="M3133" t="s">
        <v>184</v>
      </c>
      <c r="N3133" t="s">
        <v>107</v>
      </c>
      <c r="O3133" t="s">
        <v>97</v>
      </c>
    </row>
    <row r="3134" spans="1:15" x14ac:dyDescent="0.2">
      <c r="A3134">
        <v>360</v>
      </c>
      <c r="B3134">
        <v>361</v>
      </c>
      <c r="C3134">
        <v>360</v>
      </c>
      <c r="D3134">
        <v>359</v>
      </c>
      <c r="E3134" t="s">
        <v>57</v>
      </c>
      <c r="F3134" t="s">
        <v>64</v>
      </c>
      <c r="G3134">
        <v>45</v>
      </c>
      <c r="H3134" t="s">
        <v>185</v>
      </c>
      <c r="I3134">
        <v>0</v>
      </c>
      <c r="J3134">
        <v>1</v>
      </c>
      <c r="K3134" t="s">
        <v>166</v>
      </c>
      <c r="L3134" t="s">
        <v>186</v>
      </c>
      <c r="M3134" t="s">
        <v>139</v>
      </c>
      <c r="N3134" t="s">
        <v>107</v>
      </c>
      <c r="O3134" t="s">
        <v>97</v>
      </c>
    </row>
    <row r="3135" spans="1:15" x14ac:dyDescent="0.2">
      <c r="A3135">
        <v>360</v>
      </c>
      <c r="B3135">
        <v>361</v>
      </c>
      <c r="C3135">
        <v>360</v>
      </c>
      <c r="D3135">
        <v>359</v>
      </c>
      <c r="E3135" t="s">
        <v>57</v>
      </c>
      <c r="F3135" t="s">
        <v>64</v>
      </c>
      <c r="G3135">
        <v>47</v>
      </c>
      <c r="H3135" t="s">
        <v>187</v>
      </c>
      <c r="I3135">
        <v>0</v>
      </c>
      <c r="J3135">
        <v>0.2</v>
      </c>
      <c r="K3135" t="s">
        <v>93</v>
      </c>
      <c r="L3135" t="s">
        <v>188</v>
      </c>
      <c r="M3135" t="s">
        <v>95</v>
      </c>
      <c r="N3135" t="s">
        <v>96</v>
      </c>
      <c r="O3135" t="s">
        <v>97</v>
      </c>
    </row>
    <row r="3136" spans="1:15" x14ac:dyDescent="0.2">
      <c r="A3136">
        <v>360</v>
      </c>
      <c r="B3136">
        <v>361</v>
      </c>
      <c r="C3136">
        <v>360</v>
      </c>
      <c r="D3136">
        <v>359</v>
      </c>
      <c r="E3136" t="s">
        <v>57</v>
      </c>
      <c r="F3136" t="s">
        <v>64</v>
      </c>
      <c r="G3136">
        <v>48</v>
      </c>
      <c r="H3136" t="s">
        <v>189</v>
      </c>
      <c r="I3136">
        <v>0.2</v>
      </c>
      <c r="J3136">
        <v>0.2</v>
      </c>
      <c r="K3136" t="s">
        <v>93</v>
      </c>
      <c r="L3136" t="s">
        <v>190</v>
      </c>
      <c r="M3136" t="s">
        <v>95</v>
      </c>
      <c r="N3136" t="s">
        <v>96</v>
      </c>
      <c r="O3136" t="s">
        <v>97</v>
      </c>
    </row>
    <row r="3137" spans="1:15" x14ac:dyDescent="0.2">
      <c r="A3137">
        <v>360</v>
      </c>
      <c r="B3137">
        <v>361</v>
      </c>
      <c r="C3137">
        <v>360</v>
      </c>
      <c r="D3137">
        <v>359</v>
      </c>
      <c r="E3137" t="s">
        <v>57</v>
      </c>
      <c r="F3137" t="s">
        <v>64</v>
      </c>
      <c r="G3137">
        <v>49</v>
      </c>
      <c r="H3137" t="s">
        <v>191</v>
      </c>
      <c r="I3137">
        <v>0.2</v>
      </c>
      <c r="J3137">
        <v>0.2</v>
      </c>
      <c r="K3137" t="s">
        <v>93</v>
      </c>
      <c r="L3137" t="s">
        <v>192</v>
      </c>
      <c r="M3137" t="s">
        <v>95</v>
      </c>
      <c r="N3137" t="s">
        <v>96</v>
      </c>
      <c r="O3137" t="s">
        <v>97</v>
      </c>
    </row>
    <row r="3138" spans="1:15" x14ac:dyDescent="0.2">
      <c r="A3138">
        <v>360</v>
      </c>
      <c r="B3138">
        <v>361</v>
      </c>
      <c r="C3138">
        <v>360</v>
      </c>
      <c r="D3138">
        <v>359</v>
      </c>
      <c r="E3138" t="s">
        <v>57</v>
      </c>
      <c r="F3138" t="s">
        <v>64</v>
      </c>
      <c r="G3138">
        <v>50</v>
      </c>
      <c r="H3138" t="s">
        <v>193</v>
      </c>
      <c r="I3138">
        <v>0.1</v>
      </c>
      <c r="J3138">
        <v>0.1</v>
      </c>
      <c r="K3138" t="s">
        <v>93</v>
      </c>
      <c r="L3138" t="s">
        <v>194</v>
      </c>
      <c r="M3138" t="s">
        <v>95</v>
      </c>
      <c r="N3138" t="s">
        <v>96</v>
      </c>
      <c r="O3138" t="s">
        <v>97</v>
      </c>
    </row>
    <row r="3139" spans="1:15" x14ac:dyDescent="0.2">
      <c r="A3139">
        <v>360</v>
      </c>
      <c r="B3139">
        <v>361</v>
      </c>
      <c r="C3139">
        <v>360</v>
      </c>
      <c r="D3139">
        <v>359</v>
      </c>
      <c r="E3139" t="s">
        <v>57</v>
      </c>
      <c r="F3139" t="s">
        <v>64</v>
      </c>
      <c r="G3139">
        <v>51</v>
      </c>
      <c r="H3139" t="s">
        <v>193</v>
      </c>
      <c r="I3139">
        <v>0.1</v>
      </c>
      <c r="J3139">
        <v>0.1</v>
      </c>
      <c r="K3139" t="s">
        <v>93</v>
      </c>
      <c r="L3139" t="s">
        <v>194</v>
      </c>
      <c r="M3139" t="s">
        <v>95</v>
      </c>
      <c r="N3139" t="s">
        <v>96</v>
      </c>
      <c r="O3139" t="s">
        <v>97</v>
      </c>
    </row>
    <row r="3140" spans="1:15" x14ac:dyDescent="0.2">
      <c r="A3140">
        <v>360</v>
      </c>
      <c r="B3140">
        <v>361</v>
      </c>
      <c r="C3140">
        <v>360</v>
      </c>
      <c r="D3140">
        <v>359</v>
      </c>
      <c r="E3140" t="s">
        <v>57</v>
      </c>
      <c r="F3140" t="s">
        <v>64</v>
      </c>
      <c r="G3140">
        <v>97</v>
      </c>
      <c r="H3140" t="s">
        <v>152</v>
      </c>
      <c r="I3140">
        <v>0.25</v>
      </c>
      <c r="J3140">
        <v>0.25</v>
      </c>
      <c r="K3140" t="s">
        <v>153</v>
      </c>
      <c r="L3140" t="s">
        <v>154</v>
      </c>
      <c r="M3140" t="s">
        <v>155</v>
      </c>
      <c r="N3140" t="s">
        <v>107</v>
      </c>
      <c r="O3140" t="s">
        <v>97</v>
      </c>
    </row>
    <row r="3141" spans="1:15" x14ac:dyDescent="0.2">
      <c r="A3141">
        <v>360</v>
      </c>
      <c r="B3141">
        <v>361</v>
      </c>
      <c r="C3141">
        <v>360</v>
      </c>
      <c r="D3141">
        <v>359</v>
      </c>
      <c r="E3141" t="s">
        <v>57</v>
      </c>
      <c r="F3141" t="s">
        <v>64</v>
      </c>
      <c r="G3141">
        <v>96</v>
      </c>
      <c r="H3141" t="s">
        <v>152</v>
      </c>
      <c r="I3141">
        <v>0</v>
      </c>
      <c r="J3141">
        <v>0</v>
      </c>
      <c r="K3141" t="s">
        <v>153</v>
      </c>
      <c r="L3141" t="s">
        <v>154</v>
      </c>
      <c r="M3141" t="s">
        <v>155</v>
      </c>
      <c r="N3141" t="s">
        <v>107</v>
      </c>
      <c r="O3141" t="s">
        <v>97</v>
      </c>
    </row>
    <row r="3142" spans="1:15" x14ac:dyDescent="0.2">
      <c r="A3142">
        <v>360</v>
      </c>
      <c r="B3142">
        <v>361</v>
      </c>
      <c r="C3142">
        <v>360</v>
      </c>
      <c r="D3142">
        <v>359</v>
      </c>
      <c r="E3142" t="s">
        <v>57</v>
      </c>
      <c r="F3142" t="s">
        <v>64</v>
      </c>
      <c r="G3142">
        <v>99</v>
      </c>
      <c r="H3142" t="s">
        <v>152</v>
      </c>
      <c r="I3142">
        <v>0</v>
      </c>
      <c r="J3142">
        <v>0</v>
      </c>
      <c r="K3142" t="s">
        <v>153</v>
      </c>
      <c r="L3142" t="s">
        <v>154</v>
      </c>
      <c r="M3142" t="s">
        <v>155</v>
      </c>
      <c r="N3142" t="s">
        <v>107</v>
      </c>
      <c r="O3142" t="s">
        <v>97</v>
      </c>
    </row>
    <row r="3143" spans="1:15" x14ac:dyDescent="0.2">
      <c r="A3143">
        <v>360</v>
      </c>
      <c r="B3143">
        <v>361</v>
      </c>
      <c r="C3143">
        <v>360</v>
      </c>
      <c r="D3143">
        <v>359</v>
      </c>
      <c r="E3143" t="s">
        <v>57</v>
      </c>
      <c r="F3143" t="s">
        <v>64</v>
      </c>
      <c r="G3143">
        <v>98</v>
      </c>
      <c r="H3143" t="s">
        <v>204</v>
      </c>
      <c r="I3143">
        <v>0</v>
      </c>
      <c r="J3143">
        <v>1</v>
      </c>
      <c r="K3143" t="s">
        <v>122</v>
      </c>
      <c r="L3143" t="s">
        <v>205</v>
      </c>
      <c r="M3143" t="s">
        <v>206</v>
      </c>
      <c r="N3143" t="s">
        <v>207</v>
      </c>
      <c r="O3143" t="s">
        <v>97</v>
      </c>
    </row>
    <row r="3144" spans="1:15" x14ac:dyDescent="0.2">
      <c r="A3144">
        <v>360</v>
      </c>
      <c r="B3144">
        <v>361</v>
      </c>
      <c r="C3144">
        <v>360</v>
      </c>
      <c r="D3144">
        <v>359</v>
      </c>
      <c r="E3144" t="s">
        <v>57</v>
      </c>
      <c r="F3144" t="s">
        <v>64</v>
      </c>
      <c r="G3144">
        <v>54</v>
      </c>
      <c r="H3144" t="s">
        <v>203</v>
      </c>
      <c r="I3144">
        <v>0</v>
      </c>
      <c r="J3144">
        <v>0</v>
      </c>
      <c r="K3144" t="e">
        <v>#N/A</v>
      </c>
      <c r="L3144" t="e">
        <v>#N/A</v>
      </c>
      <c r="M3144" t="e">
        <v>#N/A</v>
      </c>
      <c r="N3144" t="e">
        <v>#N/A</v>
      </c>
      <c r="O3144" t="s">
        <v>97</v>
      </c>
    </row>
    <row r="3145" spans="1:15" x14ac:dyDescent="0.2">
      <c r="A3145">
        <v>360</v>
      </c>
      <c r="B3145">
        <v>361</v>
      </c>
      <c r="C3145">
        <v>360</v>
      </c>
      <c r="D3145">
        <v>359</v>
      </c>
      <c r="E3145" t="s">
        <v>57</v>
      </c>
      <c r="F3145" t="s">
        <v>64</v>
      </c>
      <c r="G3145">
        <v>52</v>
      </c>
      <c r="H3145" t="s">
        <v>200</v>
      </c>
      <c r="I3145">
        <v>0</v>
      </c>
      <c r="J3145" t="s">
        <v>311</v>
      </c>
      <c r="K3145" t="e">
        <v>#N/A</v>
      </c>
      <c r="L3145" t="e">
        <v>#N/A</v>
      </c>
      <c r="M3145" t="e">
        <v>#N/A</v>
      </c>
      <c r="N3145" t="e">
        <v>#N/A</v>
      </c>
      <c r="O3145" t="s">
        <v>97</v>
      </c>
    </row>
    <row r="3146" spans="1:15" x14ac:dyDescent="0.2">
      <c r="A3146">
        <v>360</v>
      </c>
      <c r="B3146">
        <v>361</v>
      </c>
      <c r="C3146">
        <v>360</v>
      </c>
      <c r="D3146">
        <v>359</v>
      </c>
      <c r="E3146" t="s">
        <v>57</v>
      </c>
      <c r="F3146" t="s">
        <v>64</v>
      </c>
      <c r="G3146">
        <v>53</v>
      </c>
      <c r="H3146" t="s">
        <v>201</v>
      </c>
      <c r="I3146">
        <v>0</v>
      </c>
      <c r="J3146" t="s">
        <v>312</v>
      </c>
      <c r="K3146" t="e">
        <v>#N/A</v>
      </c>
      <c r="L3146" t="e">
        <v>#N/A</v>
      </c>
      <c r="M3146" t="e">
        <v>#N/A</v>
      </c>
      <c r="N3146" t="e">
        <v>#N/A</v>
      </c>
      <c r="O3146" t="s">
        <v>97</v>
      </c>
    </row>
    <row r="3147" spans="1:15" x14ac:dyDescent="0.2">
      <c r="A3147">
        <v>355</v>
      </c>
      <c r="B3147">
        <v>356</v>
      </c>
      <c r="C3147">
        <v>355</v>
      </c>
      <c r="D3147">
        <v>354</v>
      </c>
      <c r="E3147" t="s">
        <v>57</v>
      </c>
      <c r="F3147" t="s">
        <v>71</v>
      </c>
      <c r="G3147">
        <v>1</v>
      </c>
      <c r="H3147" t="s">
        <v>92</v>
      </c>
      <c r="I3147">
        <v>0.2</v>
      </c>
      <c r="J3147">
        <v>0.2</v>
      </c>
      <c r="K3147" t="s">
        <v>93</v>
      </c>
      <c r="L3147" t="s">
        <v>94</v>
      </c>
      <c r="M3147" t="s">
        <v>95</v>
      </c>
      <c r="N3147" t="s">
        <v>96</v>
      </c>
      <c r="O3147" t="s">
        <v>97</v>
      </c>
    </row>
    <row r="3148" spans="1:15" x14ac:dyDescent="0.2">
      <c r="A3148">
        <v>355</v>
      </c>
      <c r="B3148">
        <v>356</v>
      </c>
      <c r="C3148">
        <v>355</v>
      </c>
      <c r="D3148">
        <v>354</v>
      </c>
      <c r="E3148" t="s">
        <v>57</v>
      </c>
      <c r="F3148" t="s">
        <v>71</v>
      </c>
      <c r="G3148">
        <v>2</v>
      </c>
      <c r="H3148" t="s">
        <v>98</v>
      </c>
      <c r="I3148">
        <v>0.5</v>
      </c>
      <c r="J3148">
        <v>0.5</v>
      </c>
      <c r="K3148" t="s">
        <v>93</v>
      </c>
      <c r="L3148" t="s">
        <v>99</v>
      </c>
      <c r="M3148" t="s">
        <v>95</v>
      </c>
      <c r="N3148" t="s">
        <v>96</v>
      </c>
      <c r="O3148" t="s">
        <v>97</v>
      </c>
    </row>
    <row r="3149" spans="1:15" x14ac:dyDescent="0.2">
      <c r="A3149">
        <v>355</v>
      </c>
      <c r="B3149">
        <v>356</v>
      </c>
      <c r="C3149">
        <v>355</v>
      </c>
      <c r="D3149">
        <v>354</v>
      </c>
      <c r="E3149" t="s">
        <v>57</v>
      </c>
      <c r="F3149" t="s">
        <v>71</v>
      </c>
      <c r="G3149">
        <v>3</v>
      </c>
      <c r="H3149" t="s">
        <v>100</v>
      </c>
      <c r="I3149">
        <v>0</v>
      </c>
      <c r="J3149">
        <v>1</v>
      </c>
      <c r="K3149" t="s">
        <v>101</v>
      </c>
      <c r="L3149" t="s">
        <v>102</v>
      </c>
      <c r="M3149" t="s">
        <v>103</v>
      </c>
      <c r="N3149" t="s">
        <v>96</v>
      </c>
      <c r="O3149" t="s">
        <v>97</v>
      </c>
    </row>
    <row r="3150" spans="1:15" x14ac:dyDescent="0.2">
      <c r="A3150">
        <v>355</v>
      </c>
      <c r="B3150">
        <v>356</v>
      </c>
      <c r="C3150">
        <v>355</v>
      </c>
      <c r="D3150">
        <v>354</v>
      </c>
      <c r="E3150" t="s">
        <v>57</v>
      </c>
      <c r="F3150" t="s">
        <v>71</v>
      </c>
      <c r="G3150">
        <v>4</v>
      </c>
      <c r="H3150" t="s">
        <v>104</v>
      </c>
      <c r="I3150">
        <v>0</v>
      </c>
      <c r="J3150">
        <v>1</v>
      </c>
      <c r="K3150" t="s">
        <v>101</v>
      </c>
      <c r="L3150" t="s">
        <v>105</v>
      </c>
      <c r="M3150" t="s">
        <v>106</v>
      </c>
      <c r="N3150" t="s">
        <v>107</v>
      </c>
      <c r="O3150" t="s">
        <v>97</v>
      </c>
    </row>
    <row r="3151" spans="1:15" x14ac:dyDescent="0.2">
      <c r="A3151">
        <v>355</v>
      </c>
      <c r="B3151">
        <v>356</v>
      </c>
      <c r="C3151">
        <v>355</v>
      </c>
      <c r="D3151">
        <v>354</v>
      </c>
      <c r="E3151" t="s">
        <v>57</v>
      </c>
      <c r="F3151" t="s">
        <v>71</v>
      </c>
      <c r="G3151">
        <v>5</v>
      </c>
      <c r="H3151" t="s">
        <v>108</v>
      </c>
      <c r="I3151">
        <v>0</v>
      </c>
      <c r="J3151">
        <v>1</v>
      </c>
      <c r="K3151" t="s">
        <v>101</v>
      </c>
      <c r="L3151" t="s">
        <v>109</v>
      </c>
      <c r="M3151" t="s">
        <v>110</v>
      </c>
      <c r="N3151" t="s">
        <v>107</v>
      </c>
      <c r="O3151" t="s">
        <v>97</v>
      </c>
    </row>
    <row r="3152" spans="1:15" x14ac:dyDescent="0.2">
      <c r="A3152">
        <v>355</v>
      </c>
      <c r="B3152">
        <v>356</v>
      </c>
      <c r="C3152">
        <v>355</v>
      </c>
      <c r="D3152">
        <v>354</v>
      </c>
      <c r="E3152" t="s">
        <v>57</v>
      </c>
      <c r="F3152" t="s">
        <v>71</v>
      </c>
      <c r="G3152">
        <v>9</v>
      </c>
      <c r="H3152" t="s">
        <v>111</v>
      </c>
      <c r="I3152">
        <v>0.5</v>
      </c>
      <c r="J3152">
        <v>0.5</v>
      </c>
      <c r="K3152" t="s">
        <v>112</v>
      </c>
      <c r="L3152" t="s">
        <v>113</v>
      </c>
      <c r="M3152" t="s">
        <v>114</v>
      </c>
      <c r="N3152" t="s">
        <v>96</v>
      </c>
      <c r="O3152" t="s">
        <v>97</v>
      </c>
    </row>
    <row r="3153" spans="1:15" x14ac:dyDescent="0.2">
      <c r="A3153">
        <v>355</v>
      </c>
      <c r="B3153">
        <v>356</v>
      </c>
      <c r="C3153">
        <v>355</v>
      </c>
      <c r="D3153">
        <v>354</v>
      </c>
      <c r="E3153" t="s">
        <v>57</v>
      </c>
      <c r="F3153" t="s">
        <v>71</v>
      </c>
      <c r="G3153">
        <v>10</v>
      </c>
      <c r="H3153" t="s">
        <v>115</v>
      </c>
      <c r="I3153">
        <v>0.5</v>
      </c>
      <c r="J3153">
        <v>0.5</v>
      </c>
      <c r="K3153" t="s">
        <v>112</v>
      </c>
      <c r="L3153" t="s">
        <v>116</v>
      </c>
      <c r="M3153" t="s">
        <v>117</v>
      </c>
      <c r="N3153" t="s">
        <v>96</v>
      </c>
      <c r="O3153" t="s">
        <v>97</v>
      </c>
    </row>
    <row r="3154" spans="1:15" x14ac:dyDescent="0.2">
      <c r="A3154">
        <v>355</v>
      </c>
      <c r="B3154">
        <v>356</v>
      </c>
      <c r="C3154">
        <v>355</v>
      </c>
      <c r="D3154">
        <v>354</v>
      </c>
      <c r="E3154" t="s">
        <v>57</v>
      </c>
      <c r="F3154" t="s">
        <v>71</v>
      </c>
      <c r="G3154">
        <v>11</v>
      </c>
      <c r="H3154" t="s">
        <v>118</v>
      </c>
      <c r="I3154">
        <v>1</v>
      </c>
      <c r="J3154">
        <v>1</v>
      </c>
      <c r="K3154" t="s">
        <v>112</v>
      </c>
      <c r="L3154" t="s">
        <v>119</v>
      </c>
      <c r="M3154" t="s">
        <v>120</v>
      </c>
      <c r="N3154" t="s">
        <v>107</v>
      </c>
      <c r="O3154" t="s">
        <v>97</v>
      </c>
    </row>
    <row r="3155" spans="1:15" x14ac:dyDescent="0.2">
      <c r="A3155">
        <v>355</v>
      </c>
      <c r="B3155">
        <v>356</v>
      </c>
      <c r="C3155">
        <v>355</v>
      </c>
      <c r="D3155">
        <v>354</v>
      </c>
      <c r="E3155" t="s">
        <v>57</v>
      </c>
      <c r="F3155" t="s">
        <v>71</v>
      </c>
      <c r="G3155">
        <v>12</v>
      </c>
      <c r="H3155" t="s">
        <v>121</v>
      </c>
      <c r="I3155">
        <v>0</v>
      </c>
      <c r="J3155" t="s">
        <v>195</v>
      </c>
      <c r="K3155" t="s">
        <v>122</v>
      </c>
      <c r="L3155" t="s">
        <v>113</v>
      </c>
      <c r="M3155" t="s">
        <v>123</v>
      </c>
      <c r="N3155" t="s">
        <v>96</v>
      </c>
      <c r="O3155" t="s">
        <v>97</v>
      </c>
    </row>
    <row r="3156" spans="1:15" x14ac:dyDescent="0.2">
      <c r="A3156">
        <v>355</v>
      </c>
      <c r="B3156">
        <v>356</v>
      </c>
      <c r="C3156">
        <v>355</v>
      </c>
      <c r="D3156">
        <v>354</v>
      </c>
      <c r="E3156" t="s">
        <v>57</v>
      </c>
      <c r="F3156" t="s">
        <v>71</v>
      </c>
      <c r="G3156">
        <v>13</v>
      </c>
      <c r="H3156" t="s">
        <v>124</v>
      </c>
      <c r="I3156">
        <v>0</v>
      </c>
      <c r="J3156">
        <v>0.5</v>
      </c>
      <c r="K3156" t="s">
        <v>122</v>
      </c>
      <c r="L3156" t="s">
        <v>125</v>
      </c>
      <c r="M3156" t="s">
        <v>126</v>
      </c>
      <c r="N3156" t="s">
        <v>96</v>
      </c>
      <c r="O3156" t="s">
        <v>97</v>
      </c>
    </row>
    <row r="3157" spans="1:15" x14ac:dyDescent="0.2">
      <c r="A3157">
        <v>355</v>
      </c>
      <c r="B3157">
        <v>356</v>
      </c>
      <c r="C3157">
        <v>355</v>
      </c>
      <c r="D3157">
        <v>354</v>
      </c>
      <c r="E3157" t="s">
        <v>57</v>
      </c>
      <c r="F3157" t="s">
        <v>71</v>
      </c>
      <c r="G3157">
        <v>14</v>
      </c>
      <c r="H3157" t="s">
        <v>127</v>
      </c>
      <c r="I3157">
        <v>0.5</v>
      </c>
      <c r="J3157">
        <v>1</v>
      </c>
      <c r="K3157" t="s">
        <v>122</v>
      </c>
      <c r="L3157" t="s">
        <v>119</v>
      </c>
      <c r="M3157" t="s">
        <v>128</v>
      </c>
      <c r="N3157" t="s">
        <v>107</v>
      </c>
      <c r="O3157" t="s">
        <v>97</v>
      </c>
    </row>
    <row r="3158" spans="1:15" x14ac:dyDescent="0.2">
      <c r="A3158">
        <v>355</v>
      </c>
      <c r="B3158">
        <v>356</v>
      </c>
      <c r="C3158">
        <v>355</v>
      </c>
      <c r="D3158">
        <v>354</v>
      </c>
      <c r="E3158" t="s">
        <v>57</v>
      </c>
      <c r="F3158" t="s">
        <v>71</v>
      </c>
      <c r="G3158">
        <v>15</v>
      </c>
      <c r="H3158" t="s">
        <v>129</v>
      </c>
      <c r="I3158">
        <v>0</v>
      </c>
      <c r="J3158">
        <v>1</v>
      </c>
      <c r="K3158" t="s">
        <v>130</v>
      </c>
      <c r="L3158" t="s">
        <v>131</v>
      </c>
      <c r="M3158" t="s">
        <v>132</v>
      </c>
      <c r="N3158" t="s">
        <v>107</v>
      </c>
      <c r="O3158" t="s">
        <v>97</v>
      </c>
    </row>
    <row r="3159" spans="1:15" x14ac:dyDescent="0.2">
      <c r="A3159">
        <v>355</v>
      </c>
      <c r="B3159">
        <v>356</v>
      </c>
      <c r="C3159">
        <v>355</v>
      </c>
      <c r="D3159">
        <v>354</v>
      </c>
      <c r="E3159" t="s">
        <v>57</v>
      </c>
      <c r="F3159" t="s">
        <v>71</v>
      </c>
      <c r="G3159">
        <v>16</v>
      </c>
      <c r="H3159" t="s">
        <v>133</v>
      </c>
      <c r="I3159">
        <v>0</v>
      </c>
      <c r="J3159">
        <v>0</v>
      </c>
      <c r="K3159" t="e">
        <v>#N/A</v>
      </c>
      <c r="L3159" t="e">
        <v>#N/A</v>
      </c>
      <c r="M3159" t="e">
        <v>#N/A</v>
      </c>
      <c r="N3159" t="e">
        <v>#N/A</v>
      </c>
      <c r="O3159" t="s">
        <v>97</v>
      </c>
    </row>
    <row r="3160" spans="1:15" x14ac:dyDescent="0.2">
      <c r="A3160">
        <v>355</v>
      </c>
      <c r="B3160">
        <v>356</v>
      </c>
      <c r="C3160">
        <v>355</v>
      </c>
      <c r="D3160">
        <v>354</v>
      </c>
      <c r="E3160" t="s">
        <v>57</v>
      </c>
      <c r="F3160" t="s">
        <v>71</v>
      </c>
      <c r="G3160">
        <v>17</v>
      </c>
      <c r="H3160" t="s">
        <v>134</v>
      </c>
      <c r="I3160">
        <v>0.5</v>
      </c>
      <c r="J3160">
        <v>1</v>
      </c>
      <c r="K3160" t="s">
        <v>112</v>
      </c>
      <c r="L3160" t="s">
        <v>135</v>
      </c>
      <c r="M3160" t="s">
        <v>136</v>
      </c>
      <c r="N3160" t="s">
        <v>107</v>
      </c>
      <c r="O3160" t="s">
        <v>97</v>
      </c>
    </row>
    <row r="3161" spans="1:15" x14ac:dyDescent="0.2">
      <c r="A3161">
        <v>355</v>
      </c>
      <c r="B3161">
        <v>356</v>
      </c>
      <c r="C3161">
        <v>355</v>
      </c>
      <c r="D3161">
        <v>354</v>
      </c>
      <c r="E3161" t="s">
        <v>57</v>
      </c>
      <c r="F3161" t="s">
        <v>71</v>
      </c>
      <c r="G3161">
        <v>18</v>
      </c>
      <c r="H3161" t="s">
        <v>137</v>
      </c>
      <c r="I3161">
        <v>1</v>
      </c>
      <c r="J3161">
        <v>1</v>
      </c>
      <c r="K3161" t="s">
        <v>112</v>
      </c>
      <c r="L3161" t="s">
        <v>138</v>
      </c>
      <c r="M3161" t="s">
        <v>139</v>
      </c>
      <c r="N3161" t="s">
        <v>107</v>
      </c>
      <c r="O3161" t="s">
        <v>97</v>
      </c>
    </row>
    <row r="3162" spans="1:15" x14ac:dyDescent="0.2">
      <c r="A3162">
        <v>355</v>
      </c>
      <c r="B3162">
        <v>356</v>
      </c>
      <c r="C3162">
        <v>355</v>
      </c>
      <c r="D3162">
        <v>354</v>
      </c>
      <c r="E3162" t="s">
        <v>57</v>
      </c>
      <c r="F3162" t="s">
        <v>71</v>
      </c>
      <c r="G3162">
        <v>19</v>
      </c>
      <c r="H3162" t="s">
        <v>140</v>
      </c>
      <c r="I3162">
        <v>0.5</v>
      </c>
      <c r="J3162">
        <v>1</v>
      </c>
      <c r="K3162" t="s">
        <v>122</v>
      </c>
      <c r="L3162" t="s">
        <v>141</v>
      </c>
      <c r="M3162" t="s">
        <v>142</v>
      </c>
      <c r="N3162" t="s">
        <v>107</v>
      </c>
      <c r="O3162" t="s">
        <v>97</v>
      </c>
    </row>
    <row r="3163" spans="1:15" x14ac:dyDescent="0.2">
      <c r="A3163">
        <v>355</v>
      </c>
      <c r="B3163">
        <v>356</v>
      </c>
      <c r="C3163">
        <v>355</v>
      </c>
      <c r="D3163">
        <v>354</v>
      </c>
      <c r="E3163" t="s">
        <v>57</v>
      </c>
      <c r="F3163" t="s">
        <v>71</v>
      </c>
      <c r="G3163">
        <v>20</v>
      </c>
      <c r="H3163" t="s">
        <v>143</v>
      </c>
      <c r="I3163">
        <v>0</v>
      </c>
      <c r="J3163">
        <v>1</v>
      </c>
      <c r="K3163" t="s">
        <v>122</v>
      </c>
      <c r="L3163" t="s">
        <v>144</v>
      </c>
      <c r="M3163" t="s">
        <v>145</v>
      </c>
      <c r="N3163" t="s">
        <v>107</v>
      </c>
      <c r="O3163" t="s">
        <v>97</v>
      </c>
    </row>
    <row r="3164" spans="1:15" x14ac:dyDescent="0.2">
      <c r="A3164">
        <v>355</v>
      </c>
      <c r="B3164">
        <v>356</v>
      </c>
      <c r="C3164">
        <v>355</v>
      </c>
      <c r="D3164">
        <v>354</v>
      </c>
      <c r="E3164" t="s">
        <v>57</v>
      </c>
      <c r="F3164" t="s">
        <v>71</v>
      </c>
      <c r="G3164">
        <v>21</v>
      </c>
      <c r="H3164" t="s">
        <v>146</v>
      </c>
      <c r="I3164">
        <v>1</v>
      </c>
      <c r="J3164">
        <v>1</v>
      </c>
      <c r="K3164" t="s">
        <v>147</v>
      </c>
      <c r="L3164" t="s">
        <v>148</v>
      </c>
      <c r="M3164" t="s">
        <v>149</v>
      </c>
      <c r="N3164" t="s">
        <v>96</v>
      </c>
      <c r="O3164" t="s">
        <v>97</v>
      </c>
    </row>
    <row r="3165" spans="1:15" x14ac:dyDescent="0.2">
      <c r="A3165">
        <v>355</v>
      </c>
      <c r="B3165">
        <v>356</v>
      </c>
      <c r="C3165">
        <v>355</v>
      </c>
      <c r="D3165">
        <v>354</v>
      </c>
      <c r="E3165" t="s">
        <v>57</v>
      </c>
      <c r="F3165" t="s">
        <v>71</v>
      </c>
      <c r="G3165">
        <v>22</v>
      </c>
      <c r="H3165" t="s">
        <v>150</v>
      </c>
      <c r="I3165">
        <v>0.5</v>
      </c>
      <c r="J3165">
        <v>1</v>
      </c>
      <c r="K3165" t="s">
        <v>147</v>
      </c>
      <c r="L3165" t="s">
        <v>151</v>
      </c>
      <c r="M3165" t="s">
        <v>149</v>
      </c>
      <c r="N3165" t="s">
        <v>107</v>
      </c>
      <c r="O3165" t="s">
        <v>97</v>
      </c>
    </row>
    <row r="3166" spans="1:15" x14ac:dyDescent="0.2">
      <c r="A3166">
        <v>355</v>
      </c>
      <c r="B3166">
        <v>356</v>
      </c>
      <c r="C3166">
        <v>355</v>
      </c>
      <c r="D3166">
        <v>354</v>
      </c>
      <c r="E3166" t="s">
        <v>57</v>
      </c>
      <c r="F3166" t="s">
        <v>71</v>
      </c>
      <c r="G3166">
        <v>23</v>
      </c>
      <c r="H3166" t="s">
        <v>152</v>
      </c>
      <c r="I3166">
        <v>0</v>
      </c>
      <c r="J3166">
        <v>0</v>
      </c>
      <c r="K3166" t="s">
        <v>153</v>
      </c>
      <c r="L3166" t="s">
        <v>154</v>
      </c>
      <c r="M3166" t="s">
        <v>155</v>
      </c>
      <c r="N3166" t="s">
        <v>107</v>
      </c>
      <c r="O3166" t="s">
        <v>97</v>
      </c>
    </row>
    <row r="3167" spans="1:15" x14ac:dyDescent="0.2">
      <c r="A3167">
        <v>355</v>
      </c>
      <c r="B3167">
        <v>356</v>
      </c>
      <c r="C3167">
        <v>355</v>
      </c>
      <c r="D3167">
        <v>354</v>
      </c>
      <c r="E3167" t="s">
        <v>57</v>
      </c>
      <c r="F3167" t="s">
        <v>71</v>
      </c>
      <c r="G3167">
        <v>24</v>
      </c>
      <c r="H3167" t="s">
        <v>156</v>
      </c>
      <c r="I3167">
        <v>0</v>
      </c>
      <c r="J3167">
        <v>0.5</v>
      </c>
      <c r="K3167" t="s">
        <v>122</v>
      </c>
      <c r="L3167" t="s">
        <v>157</v>
      </c>
      <c r="M3167" t="s">
        <v>158</v>
      </c>
      <c r="N3167" t="s">
        <v>107</v>
      </c>
      <c r="O3167" t="s">
        <v>97</v>
      </c>
    </row>
    <row r="3168" spans="1:15" x14ac:dyDescent="0.2">
      <c r="A3168">
        <v>355</v>
      </c>
      <c r="B3168">
        <v>356</v>
      </c>
      <c r="C3168">
        <v>355</v>
      </c>
      <c r="D3168">
        <v>354</v>
      </c>
      <c r="E3168" t="s">
        <v>57</v>
      </c>
      <c r="F3168" t="s">
        <v>71</v>
      </c>
      <c r="G3168">
        <v>25</v>
      </c>
      <c r="H3168" t="s">
        <v>156</v>
      </c>
      <c r="I3168">
        <v>0</v>
      </c>
      <c r="J3168">
        <v>0.5</v>
      </c>
      <c r="K3168" t="s">
        <v>122</v>
      </c>
      <c r="L3168" t="s">
        <v>157</v>
      </c>
      <c r="M3168" t="s">
        <v>158</v>
      </c>
      <c r="N3168" t="s">
        <v>107</v>
      </c>
      <c r="O3168" t="s">
        <v>97</v>
      </c>
    </row>
    <row r="3169" spans="1:15" x14ac:dyDescent="0.2">
      <c r="A3169">
        <v>355</v>
      </c>
      <c r="B3169">
        <v>356</v>
      </c>
      <c r="C3169">
        <v>355</v>
      </c>
      <c r="D3169">
        <v>354</v>
      </c>
      <c r="E3169" t="s">
        <v>57</v>
      </c>
      <c r="F3169" t="s">
        <v>71</v>
      </c>
      <c r="G3169">
        <v>26</v>
      </c>
      <c r="H3169" t="s">
        <v>152</v>
      </c>
      <c r="I3169">
        <v>0</v>
      </c>
      <c r="J3169">
        <v>0</v>
      </c>
      <c r="K3169" t="s">
        <v>153</v>
      </c>
      <c r="L3169" t="s">
        <v>154</v>
      </c>
      <c r="M3169" t="s">
        <v>155</v>
      </c>
      <c r="N3169" t="s">
        <v>107</v>
      </c>
      <c r="O3169" t="s">
        <v>97</v>
      </c>
    </row>
    <row r="3170" spans="1:15" x14ac:dyDescent="0.2">
      <c r="A3170">
        <v>355</v>
      </c>
      <c r="B3170">
        <v>356</v>
      </c>
      <c r="C3170">
        <v>355</v>
      </c>
      <c r="D3170">
        <v>354</v>
      </c>
      <c r="E3170" t="s">
        <v>57</v>
      </c>
      <c r="F3170" t="s">
        <v>71</v>
      </c>
      <c r="G3170">
        <v>27</v>
      </c>
      <c r="H3170" t="s">
        <v>159</v>
      </c>
      <c r="I3170">
        <v>0</v>
      </c>
      <c r="J3170">
        <v>0.5</v>
      </c>
      <c r="K3170" t="s">
        <v>122</v>
      </c>
      <c r="L3170" t="s">
        <v>160</v>
      </c>
      <c r="M3170" t="s">
        <v>161</v>
      </c>
      <c r="N3170" t="s">
        <v>107</v>
      </c>
      <c r="O3170" t="s">
        <v>97</v>
      </c>
    </row>
    <row r="3171" spans="1:15" x14ac:dyDescent="0.2">
      <c r="A3171">
        <v>355</v>
      </c>
      <c r="B3171">
        <v>356</v>
      </c>
      <c r="C3171">
        <v>355</v>
      </c>
      <c r="D3171">
        <v>354</v>
      </c>
      <c r="E3171" t="s">
        <v>57</v>
      </c>
      <c r="F3171" t="s">
        <v>71</v>
      </c>
      <c r="G3171">
        <v>28</v>
      </c>
      <c r="H3171" t="s">
        <v>159</v>
      </c>
      <c r="I3171">
        <v>0</v>
      </c>
      <c r="J3171">
        <v>0.5</v>
      </c>
      <c r="K3171" t="s">
        <v>122</v>
      </c>
      <c r="L3171" t="s">
        <v>160</v>
      </c>
      <c r="M3171" t="s">
        <v>161</v>
      </c>
      <c r="N3171" t="s">
        <v>107</v>
      </c>
      <c r="O3171" t="s">
        <v>97</v>
      </c>
    </row>
    <row r="3172" spans="1:15" x14ac:dyDescent="0.2">
      <c r="A3172">
        <v>355</v>
      </c>
      <c r="B3172">
        <v>356</v>
      </c>
      <c r="C3172">
        <v>355</v>
      </c>
      <c r="D3172">
        <v>354</v>
      </c>
      <c r="E3172" t="s">
        <v>57</v>
      </c>
      <c r="F3172" t="s">
        <v>71</v>
      </c>
      <c r="G3172">
        <v>29</v>
      </c>
      <c r="H3172" t="s">
        <v>152</v>
      </c>
      <c r="I3172">
        <v>0</v>
      </c>
      <c r="J3172">
        <v>0</v>
      </c>
      <c r="K3172" t="s">
        <v>153</v>
      </c>
      <c r="L3172" t="s">
        <v>154</v>
      </c>
      <c r="M3172" t="s">
        <v>155</v>
      </c>
      <c r="N3172" t="s">
        <v>107</v>
      </c>
      <c r="O3172" t="s">
        <v>97</v>
      </c>
    </row>
    <row r="3173" spans="1:15" x14ac:dyDescent="0.2">
      <c r="A3173">
        <v>355</v>
      </c>
      <c r="B3173">
        <v>356</v>
      </c>
      <c r="C3173">
        <v>355</v>
      </c>
      <c r="D3173">
        <v>354</v>
      </c>
      <c r="E3173" t="s">
        <v>57</v>
      </c>
      <c r="F3173" t="s">
        <v>71</v>
      </c>
      <c r="G3173">
        <v>30</v>
      </c>
      <c r="H3173" t="s">
        <v>162</v>
      </c>
      <c r="I3173">
        <v>0.5</v>
      </c>
      <c r="J3173">
        <v>1</v>
      </c>
      <c r="K3173" t="s">
        <v>112</v>
      </c>
      <c r="L3173" t="s">
        <v>163</v>
      </c>
      <c r="M3173" t="s">
        <v>164</v>
      </c>
      <c r="N3173" t="s">
        <v>107</v>
      </c>
      <c r="O3173" t="s">
        <v>97</v>
      </c>
    </row>
    <row r="3174" spans="1:15" x14ac:dyDescent="0.2">
      <c r="A3174">
        <v>355</v>
      </c>
      <c r="B3174">
        <v>356</v>
      </c>
      <c r="C3174">
        <v>355</v>
      </c>
      <c r="D3174">
        <v>354</v>
      </c>
      <c r="E3174" t="s">
        <v>57</v>
      </c>
      <c r="F3174" t="s">
        <v>71</v>
      </c>
      <c r="G3174">
        <v>31</v>
      </c>
      <c r="H3174" t="s">
        <v>162</v>
      </c>
      <c r="I3174">
        <v>0</v>
      </c>
      <c r="J3174">
        <v>0</v>
      </c>
      <c r="K3174" t="s">
        <v>112</v>
      </c>
      <c r="L3174" t="s">
        <v>163</v>
      </c>
      <c r="M3174" t="s">
        <v>164</v>
      </c>
      <c r="N3174" t="s">
        <v>107</v>
      </c>
      <c r="O3174" t="s">
        <v>97</v>
      </c>
    </row>
    <row r="3175" spans="1:15" x14ac:dyDescent="0.2">
      <c r="A3175">
        <v>355</v>
      </c>
      <c r="B3175">
        <v>356</v>
      </c>
      <c r="C3175">
        <v>355</v>
      </c>
      <c r="D3175">
        <v>354</v>
      </c>
      <c r="E3175" t="s">
        <v>57</v>
      </c>
      <c r="F3175" t="s">
        <v>71</v>
      </c>
      <c r="G3175">
        <v>32</v>
      </c>
      <c r="H3175" t="s">
        <v>162</v>
      </c>
      <c r="I3175">
        <v>0</v>
      </c>
      <c r="J3175">
        <v>0</v>
      </c>
      <c r="K3175" t="s">
        <v>112</v>
      </c>
      <c r="L3175" t="s">
        <v>163</v>
      </c>
      <c r="M3175" t="s">
        <v>164</v>
      </c>
      <c r="N3175" t="s">
        <v>107</v>
      </c>
      <c r="O3175" t="s">
        <v>97</v>
      </c>
    </row>
    <row r="3176" spans="1:15" x14ac:dyDescent="0.2">
      <c r="A3176">
        <v>355</v>
      </c>
      <c r="B3176">
        <v>356</v>
      </c>
      <c r="C3176">
        <v>355</v>
      </c>
      <c r="D3176">
        <v>354</v>
      </c>
      <c r="E3176" t="s">
        <v>57</v>
      </c>
      <c r="F3176" t="s">
        <v>71</v>
      </c>
      <c r="G3176">
        <v>33</v>
      </c>
      <c r="H3176" t="s">
        <v>152</v>
      </c>
      <c r="I3176">
        <v>0</v>
      </c>
      <c r="J3176">
        <v>1</v>
      </c>
      <c r="K3176" t="s">
        <v>153</v>
      </c>
      <c r="L3176" t="s">
        <v>154</v>
      </c>
      <c r="M3176" t="s">
        <v>155</v>
      </c>
      <c r="N3176" t="s">
        <v>107</v>
      </c>
      <c r="O3176" t="s">
        <v>97</v>
      </c>
    </row>
    <row r="3177" spans="1:15" x14ac:dyDescent="0.2">
      <c r="A3177">
        <v>355</v>
      </c>
      <c r="B3177">
        <v>356</v>
      </c>
      <c r="C3177">
        <v>355</v>
      </c>
      <c r="D3177">
        <v>354</v>
      </c>
      <c r="E3177" t="s">
        <v>57</v>
      </c>
      <c r="F3177" t="s">
        <v>71</v>
      </c>
      <c r="G3177">
        <v>34</v>
      </c>
      <c r="H3177" t="s">
        <v>152</v>
      </c>
      <c r="I3177">
        <v>0</v>
      </c>
      <c r="J3177">
        <v>0</v>
      </c>
      <c r="K3177" t="s">
        <v>153</v>
      </c>
      <c r="L3177" t="s">
        <v>154</v>
      </c>
      <c r="M3177" t="s">
        <v>155</v>
      </c>
      <c r="N3177" t="s">
        <v>107</v>
      </c>
      <c r="O3177" t="s">
        <v>97</v>
      </c>
    </row>
    <row r="3178" spans="1:15" x14ac:dyDescent="0.2">
      <c r="A3178">
        <v>355</v>
      </c>
      <c r="B3178">
        <v>356</v>
      </c>
      <c r="C3178">
        <v>355</v>
      </c>
      <c r="D3178">
        <v>354</v>
      </c>
      <c r="E3178" t="s">
        <v>57</v>
      </c>
      <c r="F3178" t="s">
        <v>71</v>
      </c>
      <c r="G3178">
        <v>35</v>
      </c>
      <c r="H3178" t="s">
        <v>165</v>
      </c>
      <c r="I3178">
        <v>0</v>
      </c>
      <c r="J3178">
        <v>1</v>
      </c>
      <c r="K3178" t="s">
        <v>166</v>
      </c>
      <c r="L3178" t="s">
        <v>167</v>
      </c>
      <c r="M3178" t="s">
        <v>168</v>
      </c>
      <c r="N3178" t="s">
        <v>107</v>
      </c>
      <c r="O3178" t="s">
        <v>97</v>
      </c>
    </row>
    <row r="3179" spans="1:15" x14ac:dyDescent="0.2">
      <c r="A3179">
        <v>355</v>
      </c>
      <c r="B3179">
        <v>356</v>
      </c>
      <c r="C3179">
        <v>355</v>
      </c>
      <c r="D3179">
        <v>354</v>
      </c>
      <c r="E3179" t="s">
        <v>57</v>
      </c>
      <c r="F3179" t="s">
        <v>71</v>
      </c>
      <c r="G3179">
        <v>36</v>
      </c>
      <c r="H3179" t="s">
        <v>169</v>
      </c>
      <c r="I3179">
        <v>0</v>
      </c>
      <c r="J3179">
        <v>0</v>
      </c>
      <c r="K3179" t="e">
        <v>#N/A</v>
      </c>
      <c r="L3179" t="e">
        <v>#N/A</v>
      </c>
      <c r="M3179" t="e">
        <v>#N/A</v>
      </c>
      <c r="N3179" t="e">
        <v>#N/A</v>
      </c>
      <c r="O3179" t="s">
        <v>97</v>
      </c>
    </row>
    <row r="3180" spans="1:15" x14ac:dyDescent="0.2">
      <c r="A3180">
        <v>355</v>
      </c>
      <c r="B3180">
        <v>356</v>
      </c>
      <c r="C3180">
        <v>355</v>
      </c>
      <c r="D3180">
        <v>354</v>
      </c>
      <c r="E3180" t="s">
        <v>57</v>
      </c>
      <c r="F3180" t="s">
        <v>71</v>
      </c>
      <c r="G3180">
        <v>38</v>
      </c>
      <c r="H3180" t="s">
        <v>170</v>
      </c>
      <c r="I3180">
        <v>0.5</v>
      </c>
      <c r="J3180">
        <v>0.5</v>
      </c>
      <c r="K3180" t="s">
        <v>112</v>
      </c>
      <c r="L3180" t="s">
        <v>171</v>
      </c>
      <c r="M3180" t="s">
        <v>172</v>
      </c>
      <c r="N3180" t="s">
        <v>96</v>
      </c>
      <c r="O3180" t="s">
        <v>97</v>
      </c>
    </row>
    <row r="3181" spans="1:15" x14ac:dyDescent="0.2">
      <c r="A3181">
        <v>355</v>
      </c>
      <c r="B3181">
        <v>356</v>
      </c>
      <c r="C3181">
        <v>355</v>
      </c>
      <c r="D3181">
        <v>354</v>
      </c>
      <c r="E3181" t="s">
        <v>57</v>
      </c>
      <c r="F3181" t="s">
        <v>71</v>
      </c>
      <c r="G3181">
        <v>39</v>
      </c>
      <c r="H3181" t="s">
        <v>170</v>
      </c>
      <c r="I3181">
        <v>0</v>
      </c>
      <c r="J3181">
        <v>0.5</v>
      </c>
      <c r="K3181" t="s">
        <v>112</v>
      </c>
      <c r="L3181" t="s">
        <v>171</v>
      </c>
      <c r="M3181" t="s">
        <v>172</v>
      </c>
      <c r="N3181" t="s">
        <v>96</v>
      </c>
      <c r="O3181" t="s">
        <v>97</v>
      </c>
    </row>
    <row r="3182" spans="1:15" x14ac:dyDescent="0.2">
      <c r="A3182">
        <v>355</v>
      </c>
      <c r="B3182">
        <v>356</v>
      </c>
      <c r="C3182">
        <v>355</v>
      </c>
      <c r="D3182">
        <v>354</v>
      </c>
      <c r="E3182" t="s">
        <v>57</v>
      </c>
      <c r="F3182" t="s">
        <v>71</v>
      </c>
      <c r="G3182">
        <v>40</v>
      </c>
      <c r="H3182" t="s">
        <v>170</v>
      </c>
      <c r="I3182">
        <v>0</v>
      </c>
      <c r="J3182">
        <v>0.5</v>
      </c>
      <c r="K3182" t="s">
        <v>112</v>
      </c>
      <c r="L3182" t="s">
        <v>171</v>
      </c>
      <c r="M3182" t="s">
        <v>172</v>
      </c>
      <c r="N3182" t="s">
        <v>96</v>
      </c>
      <c r="O3182" t="s">
        <v>97</v>
      </c>
    </row>
    <row r="3183" spans="1:15" x14ac:dyDescent="0.2">
      <c r="A3183">
        <v>355</v>
      </c>
      <c r="B3183">
        <v>356</v>
      </c>
      <c r="C3183">
        <v>355</v>
      </c>
      <c r="D3183">
        <v>354</v>
      </c>
      <c r="E3183" t="s">
        <v>57</v>
      </c>
      <c r="F3183" t="s">
        <v>71</v>
      </c>
      <c r="G3183">
        <v>41</v>
      </c>
      <c r="H3183" t="s">
        <v>173</v>
      </c>
      <c r="I3183">
        <v>0</v>
      </c>
      <c r="J3183">
        <v>1</v>
      </c>
      <c r="K3183" t="s">
        <v>166</v>
      </c>
      <c r="L3183" t="s">
        <v>174</v>
      </c>
      <c r="M3183" t="s">
        <v>175</v>
      </c>
      <c r="N3183" t="s">
        <v>107</v>
      </c>
      <c r="O3183" t="s">
        <v>97</v>
      </c>
    </row>
    <row r="3184" spans="1:15" x14ac:dyDescent="0.2">
      <c r="A3184">
        <v>355</v>
      </c>
      <c r="B3184">
        <v>356</v>
      </c>
      <c r="C3184">
        <v>355</v>
      </c>
      <c r="D3184">
        <v>354</v>
      </c>
      <c r="E3184" t="s">
        <v>57</v>
      </c>
      <c r="F3184" t="s">
        <v>71</v>
      </c>
      <c r="G3184">
        <v>42</v>
      </c>
      <c r="H3184" t="s">
        <v>176</v>
      </c>
      <c r="I3184">
        <v>0.5</v>
      </c>
      <c r="J3184">
        <v>1</v>
      </c>
      <c r="K3184" t="s">
        <v>153</v>
      </c>
      <c r="L3184" t="s">
        <v>177</v>
      </c>
      <c r="M3184" t="s">
        <v>178</v>
      </c>
      <c r="N3184" t="s">
        <v>107</v>
      </c>
      <c r="O3184" t="s">
        <v>97</v>
      </c>
    </row>
    <row r="3185" spans="1:15" x14ac:dyDescent="0.2">
      <c r="A3185">
        <v>355</v>
      </c>
      <c r="B3185">
        <v>356</v>
      </c>
      <c r="C3185">
        <v>355</v>
      </c>
      <c r="D3185">
        <v>354</v>
      </c>
      <c r="E3185" t="s">
        <v>57</v>
      </c>
      <c r="F3185" t="s">
        <v>71</v>
      </c>
      <c r="G3185">
        <v>43</v>
      </c>
      <c r="H3185" t="s">
        <v>179</v>
      </c>
      <c r="I3185">
        <v>0</v>
      </c>
      <c r="J3185">
        <v>0</v>
      </c>
      <c r="K3185" t="s">
        <v>166</v>
      </c>
      <c r="L3185" t="s">
        <v>180</v>
      </c>
      <c r="M3185" t="s">
        <v>181</v>
      </c>
      <c r="N3185" t="s">
        <v>107</v>
      </c>
      <c r="O3185" t="s">
        <v>97</v>
      </c>
    </row>
    <row r="3186" spans="1:15" x14ac:dyDescent="0.2">
      <c r="A3186">
        <v>355</v>
      </c>
      <c r="B3186">
        <v>356</v>
      </c>
      <c r="C3186">
        <v>355</v>
      </c>
      <c r="D3186">
        <v>354</v>
      </c>
      <c r="E3186" t="s">
        <v>57</v>
      </c>
      <c r="F3186" t="s">
        <v>71</v>
      </c>
      <c r="G3186">
        <v>44</v>
      </c>
      <c r="H3186" t="s">
        <v>182</v>
      </c>
      <c r="I3186">
        <v>0</v>
      </c>
      <c r="J3186">
        <v>1</v>
      </c>
      <c r="K3186" t="s">
        <v>166</v>
      </c>
      <c r="L3186" t="s">
        <v>183</v>
      </c>
      <c r="M3186" t="s">
        <v>184</v>
      </c>
      <c r="N3186" t="s">
        <v>107</v>
      </c>
      <c r="O3186" t="s">
        <v>97</v>
      </c>
    </row>
    <row r="3187" spans="1:15" x14ac:dyDescent="0.2">
      <c r="A3187">
        <v>355</v>
      </c>
      <c r="B3187">
        <v>356</v>
      </c>
      <c r="C3187">
        <v>355</v>
      </c>
      <c r="D3187">
        <v>354</v>
      </c>
      <c r="E3187" t="s">
        <v>57</v>
      </c>
      <c r="F3187" t="s">
        <v>71</v>
      </c>
      <c r="G3187">
        <v>45</v>
      </c>
      <c r="H3187" t="s">
        <v>185</v>
      </c>
      <c r="I3187">
        <v>0</v>
      </c>
      <c r="J3187">
        <v>1</v>
      </c>
      <c r="K3187" t="s">
        <v>166</v>
      </c>
      <c r="L3187" t="s">
        <v>186</v>
      </c>
      <c r="M3187" t="s">
        <v>139</v>
      </c>
      <c r="N3187" t="s">
        <v>107</v>
      </c>
      <c r="O3187" t="s">
        <v>97</v>
      </c>
    </row>
    <row r="3188" spans="1:15" x14ac:dyDescent="0.2">
      <c r="A3188">
        <v>355</v>
      </c>
      <c r="B3188">
        <v>356</v>
      </c>
      <c r="C3188">
        <v>355</v>
      </c>
      <c r="D3188">
        <v>354</v>
      </c>
      <c r="E3188" t="s">
        <v>57</v>
      </c>
      <c r="F3188" t="s">
        <v>71</v>
      </c>
      <c r="G3188">
        <v>47</v>
      </c>
      <c r="H3188" t="s">
        <v>187</v>
      </c>
      <c r="I3188">
        <v>0.2</v>
      </c>
      <c r="J3188">
        <v>0.2</v>
      </c>
      <c r="K3188" t="s">
        <v>93</v>
      </c>
      <c r="L3188" t="s">
        <v>188</v>
      </c>
      <c r="M3188" t="s">
        <v>95</v>
      </c>
      <c r="N3188" t="s">
        <v>96</v>
      </c>
      <c r="O3188" t="s">
        <v>97</v>
      </c>
    </row>
    <row r="3189" spans="1:15" x14ac:dyDescent="0.2">
      <c r="A3189">
        <v>355</v>
      </c>
      <c r="B3189">
        <v>356</v>
      </c>
      <c r="C3189">
        <v>355</v>
      </c>
      <c r="D3189">
        <v>354</v>
      </c>
      <c r="E3189" t="s">
        <v>57</v>
      </c>
      <c r="F3189" t="s">
        <v>71</v>
      </c>
      <c r="G3189">
        <v>48</v>
      </c>
      <c r="H3189" t="s">
        <v>189</v>
      </c>
      <c r="I3189">
        <v>0.2</v>
      </c>
      <c r="J3189">
        <v>0.2</v>
      </c>
      <c r="K3189" t="s">
        <v>93</v>
      </c>
      <c r="L3189" t="s">
        <v>190</v>
      </c>
      <c r="M3189" t="s">
        <v>95</v>
      </c>
      <c r="N3189" t="s">
        <v>96</v>
      </c>
      <c r="O3189" t="s">
        <v>97</v>
      </c>
    </row>
    <row r="3190" spans="1:15" x14ac:dyDescent="0.2">
      <c r="A3190">
        <v>355</v>
      </c>
      <c r="B3190">
        <v>356</v>
      </c>
      <c r="C3190">
        <v>355</v>
      </c>
      <c r="D3190">
        <v>354</v>
      </c>
      <c r="E3190" t="s">
        <v>57</v>
      </c>
      <c r="F3190" t="s">
        <v>71</v>
      </c>
      <c r="G3190">
        <v>49</v>
      </c>
      <c r="H3190" t="s">
        <v>191</v>
      </c>
      <c r="I3190">
        <v>0.2</v>
      </c>
      <c r="J3190">
        <v>0.2</v>
      </c>
      <c r="K3190" t="s">
        <v>93</v>
      </c>
      <c r="L3190" t="s">
        <v>192</v>
      </c>
      <c r="M3190" t="s">
        <v>95</v>
      </c>
      <c r="N3190" t="s">
        <v>96</v>
      </c>
      <c r="O3190" t="s">
        <v>97</v>
      </c>
    </row>
    <row r="3191" spans="1:15" x14ac:dyDescent="0.2">
      <c r="A3191">
        <v>355</v>
      </c>
      <c r="B3191">
        <v>356</v>
      </c>
      <c r="C3191">
        <v>355</v>
      </c>
      <c r="D3191">
        <v>354</v>
      </c>
      <c r="E3191" t="s">
        <v>57</v>
      </c>
      <c r="F3191" t="s">
        <v>71</v>
      </c>
      <c r="G3191">
        <v>50</v>
      </c>
      <c r="H3191" t="s">
        <v>193</v>
      </c>
      <c r="I3191">
        <v>0.1</v>
      </c>
      <c r="J3191">
        <v>0.1</v>
      </c>
      <c r="K3191" t="s">
        <v>93</v>
      </c>
      <c r="L3191" t="s">
        <v>194</v>
      </c>
      <c r="M3191" t="s">
        <v>95</v>
      </c>
      <c r="N3191" t="s">
        <v>96</v>
      </c>
      <c r="O3191" t="s">
        <v>97</v>
      </c>
    </row>
    <row r="3192" spans="1:15" x14ac:dyDescent="0.2">
      <c r="A3192">
        <v>355</v>
      </c>
      <c r="B3192">
        <v>356</v>
      </c>
      <c r="C3192">
        <v>355</v>
      </c>
      <c r="D3192">
        <v>354</v>
      </c>
      <c r="E3192" t="s">
        <v>57</v>
      </c>
      <c r="F3192" t="s">
        <v>71</v>
      </c>
      <c r="G3192">
        <v>51</v>
      </c>
      <c r="H3192" t="s">
        <v>193</v>
      </c>
      <c r="I3192">
        <v>0.1</v>
      </c>
      <c r="J3192">
        <v>0.1</v>
      </c>
      <c r="K3192" t="s">
        <v>93</v>
      </c>
      <c r="L3192" t="s">
        <v>194</v>
      </c>
      <c r="M3192" t="s">
        <v>95</v>
      </c>
      <c r="N3192" t="s">
        <v>96</v>
      </c>
      <c r="O3192" t="s">
        <v>97</v>
      </c>
    </row>
    <row r="3193" spans="1:15" x14ac:dyDescent="0.2">
      <c r="A3193">
        <v>355</v>
      </c>
      <c r="B3193">
        <v>356</v>
      </c>
      <c r="C3193">
        <v>355</v>
      </c>
      <c r="D3193">
        <v>354</v>
      </c>
      <c r="E3193" t="s">
        <v>57</v>
      </c>
      <c r="F3193" t="s">
        <v>71</v>
      </c>
      <c r="G3193">
        <v>97</v>
      </c>
      <c r="H3193" t="s">
        <v>152</v>
      </c>
      <c r="I3193">
        <v>0.25</v>
      </c>
      <c r="J3193">
        <v>0.25</v>
      </c>
      <c r="K3193" t="s">
        <v>153</v>
      </c>
      <c r="L3193" t="s">
        <v>154</v>
      </c>
      <c r="M3193" t="s">
        <v>155</v>
      </c>
      <c r="N3193" t="s">
        <v>107</v>
      </c>
      <c r="O3193" t="s">
        <v>97</v>
      </c>
    </row>
    <row r="3194" spans="1:15" x14ac:dyDescent="0.2">
      <c r="A3194">
        <v>355</v>
      </c>
      <c r="B3194">
        <v>356</v>
      </c>
      <c r="C3194">
        <v>355</v>
      </c>
      <c r="D3194">
        <v>354</v>
      </c>
      <c r="E3194" t="s">
        <v>57</v>
      </c>
      <c r="F3194" t="s">
        <v>71</v>
      </c>
      <c r="G3194">
        <v>96</v>
      </c>
      <c r="H3194" t="s">
        <v>152</v>
      </c>
      <c r="I3194">
        <v>0</v>
      </c>
      <c r="J3194">
        <v>0</v>
      </c>
      <c r="K3194" t="s">
        <v>153</v>
      </c>
      <c r="L3194" t="s">
        <v>154</v>
      </c>
      <c r="M3194" t="s">
        <v>155</v>
      </c>
      <c r="N3194" t="s">
        <v>107</v>
      </c>
      <c r="O3194" t="s">
        <v>97</v>
      </c>
    </row>
    <row r="3195" spans="1:15" x14ac:dyDescent="0.2">
      <c r="A3195">
        <v>355</v>
      </c>
      <c r="B3195">
        <v>356</v>
      </c>
      <c r="C3195">
        <v>355</v>
      </c>
      <c r="D3195">
        <v>354</v>
      </c>
      <c r="E3195" t="s">
        <v>57</v>
      </c>
      <c r="F3195" t="s">
        <v>71</v>
      </c>
      <c r="G3195">
        <v>99</v>
      </c>
      <c r="H3195" t="s">
        <v>152</v>
      </c>
      <c r="I3195">
        <v>0</v>
      </c>
      <c r="J3195">
        <v>0</v>
      </c>
      <c r="K3195" t="s">
        <v>153</v>
      </c>
      <c r="L3195" t="s">
        <v>154</v>
      </c>
      <c r="M3195" t="s">
        <v>155</v>
      </c>
      <c r="N3195" t="s">
        <v>107</v>
      </c>
      <c r="O3195" t="s">
        <v>97</v>
      </c>
    </row>
    <row r="3196" spans="1:15" x14ac:dyDescent="0.2">
      <c r="A3196">
        <v>355</v>
      </c>
      <c r="B3196">
        <v>356</v>
      </c>
      <c r="C3196">
        <v>355</v>
      </c>
      <c r="D3196">
        <v>354</v>
      </c>
      <c r="E3196" t="s">
        <v>57</v>
      </c>
      <c r="F3196" t="s">
        <v>71</v>
      </c>
      <c r="G3196">
        <v>98</v>
      </c>
      <c r="H3196" t="s">
        <v>204</v>
      </c>
      <c r="I3196">
        <v>0.5</v>
      </c>
      <c r="J3196">
        <v>1</v>
      </c>
      <c r="K3196" t="s">
        <v>122</v>
      </c>
      <c r="L3196" t="s">
        <v>205</v>
      </c>
      <c r="M3196" t="s">
        <v>206</v>
      </c>
      <c r="N3196" t="s">
        <v>207</v>
      </c>
      <c r="O3196" t="s">
        <v>97</v>
      </c>
    </row>
    <row r="3197" spans="1:15" x14ac:dyDescent="0.2">
      <c r="A3197">
        <v>355</v>
      </c>
      <c r="B3197">
        <v>356</v>
      </c>
      <c r="C3197">
        <v>355</v>
      </c>
      <c r="D3197">
        <v>354</v>
      </c>
      <c r="E3197" t="s">
        <v>57</v>
      </c>
      <c r="F3197" t="s">
        <v>71</v>
      </c>
      <c r="G3197">
        <v>54</v>
      </c>
      <c r="H3197" t="s">
        <v>203</v>
      </c>
      <c r="I3197">
        <v>0</v>
      </c>
      <c r="J3197">
        <v>0</v>
      </c>
      <c r="K3197" t="e">
        <v>#N/A</v>
      </c>
      <c r="L3197" t="e">
        <v>#N/A</v>
      </c>
      <c r="M3197" t="e">
        <v>#N/A</v>
      </c>
      <c r="N3197" t="e">
        <v>#N/A</v>
      </c>
      <c r="O3197" t="s">
        <v>97</v>
      </c>
    </row>
    <row r="3198" spans="1:15" x14ac:dyDescent="0.2">
      <c r="A3198">
        <v>355</v>
      </c>
      <c r="B3198">
        <v>356</v>
      </c>
      <c r="C3198">
        <v>355</v>
      </c>
      <c r="D3198">
        <v>354</v>
      </c>
      <c r="E3198" t="s">
        <v>57</v>
      </c>
      <c r="F3198" t="s">
        <v>71</v>
      </c>
      <c r="G3198">
        <v>52</v>
      </c>
      <c r="H3198" t="s">
        <v>200</v>
      </c>
      <c r="I3198">
        <v>0</v>
      </c>
      <c r="J3198" t="s">
        <v>313</v>
      </c>
      <c r="K3198" t="e">
        <v>#N/A</v>
      </c>
      <c r="L3198" t="e">
        <v>#N/A</v>
      </c>
      <c r="M3198" t="e">
        <v>#N/A</v>
      </c>
      <c r="N3198" t="e">
        <v>#N/A</v>
      </c>
      <c r="O3198" t="s">
        <v>97</v>
      </c>
    </row>
    <row r="3199" spans="1:15" x14ac:dyDescent="0.2">
      <c r="A3199">
        <v>355</v>
      </c>
      <c r="B3199">
        <v>356</v>
      </c>
      <c r="C3199">
        <v>355</v>
      </c>
      <c r="D3199">
        <v>354</v>
      </c>
      <c r="E3199" t="s">
        <v>57</v>
      </c>
      <c r="F3199" t="s">
        <v>71</v>
      </c>
      <c r="G3199">
        <v>53</v>
      </c>
      <c r="H3199" t="s">
        <v>201</v>
      </c>
      <c r="I3199">
        <v>0</v>
      </c>
      <c r="J3199">
        <v>0</v>
      </c>
      <c r="K3199" t="e">
        <v>#N/A</v>
      </c>
      <c r="L3199" t="e">
        <v>#N/A</v>
      </c>
      <c r="M3199" t="e">
        <v>#N/A</v>
      </c>
      <c r="N3199" t="e">
        <v>#N/A</v>
      </c>
      <c r="O3199" t="s">
        <v>97</v>
      </c>
    </row>
    <row r="3200" spans="1:15" x14ac:dyDescent="0.2">
      <c r="A3200">
        <v>75</v>
      </c>
      <c r="B3200">
        <v>76</v>
      </c>
      <c r="C3200">
        <v>75</v>
      </c>
      <c r="D3200">
        <v>74</v>
      </c>
      <c r="E3200" t="s">
        <v>5</v>
      </c>
      <c r="F3200" t="s">
        <v>6</v>
      </c>
      <c r="G3200">
        <v>101</v>
      </c>
      <c r="H3200" t="s">
        <v>208</v>
      </c>
      <c r="I3200">
        <v>1</v>
      </c>
      <c r="J3200">
        <v>1</v>
      </c>
      <c r="K3200" t="e">
        <v>#N/A</v>
      </c>
      <c r="L3200" t="e">
        <v>#N/A</v>
      </c>
      <c r="M3200" t="e">
        <v>#N/A</v>
      </c>
      <c r="N3200" t="e">
        <v>#N/A</v>
      </c>
      <c r="O3200" t="s">
        <v>97</v>
      </c>
    </row>
    <row r="3201" spans="1:15" x14ac:dyDescent="0.2">
      <c r="A3201">
        <v>80</v>
      </c>
      <c r="B3201">
        <v>81</v>
      </c>
      <c r="C3201">
        <v>80</v>
      </c>
      <c r="D3201">
        <v>79</v>
      </c>
      <c r="E3201" t="s">
        <v>5</v>
      </c>
      <c r="F3201" t="s">
        <v>9</v>
      </c>
      <c r="G3201">
        <v>101</v>
      </c>
      <c r="H3201" t="s">
        <v>208</v>
      </c>
      <c r="I3201">
        <v>1</v>
      </c>
      <c r="J3201">
        <v>1</v>
      </c>
      <c r="K3201" t="e">
        <v>#N/A</v>
      </c>
      <c r="L3201" t="e">
        <v>#N/A</v>
      </c>
      <c r="M3201" t="e">
        <v>#N/A</v>
      </c>
      <c r="N3201" t="e">
        <v>#N/A</v>
      </c>
      <c r="O3201" t="s">
        <v>97</v>
      </c>
    </row>
    <row r="3202" spans="1:15" x14ac:dyDescent="0.2">
      <c r="A3202">
        <v>14</v>
      </c>
      <c r="B3202">
        <v>15</v>
      </c>
      <c r="C3202">
        <v>14</v>
      </c>
      <c r="D3202">
        <v>13</v>
      </c>
      <c r="E3202" t="s">
        <v>30</v>
      </c>
      <c r="F3202" t="s">
        <v>31</v>
      </c>
      <c r="G3202">
        <v>14</v>
      </c>
      <c r="H3202" t="s">
        <v>127</v>
      </c>
      <c r="I3202">
        <v>0.5</v>
      </c>
      <c r="J3202">
        <v>1</v>
      </c>
      <c r="K3202" t="s">
        <v>122</v>
      </c>
      <c r="L3202" t="s">
        <v>119</v>
      </c>
      <c r="M3202" t="s">
        <v>128</v>
      </c>
      <c r="N3202" t="s">
        <v>107</v>
      </c>
      <c r="O3202" t="s">
        <v>97</v>
      </c>
    </row>
    <row r="3203" spans="1:15" x14ac:dyDescent="0.2">
      <c r="A3203">
        <v>90</v>
      </c>
      <c r="B3203">
        <v>91</v>
      </c>
      <c r="C3203">
        <v>90</v>
      </c>
      <c r="D3203">
        <v>89</v>
      </c>
      <c r="E3203" t="s">
        <v>5</v>
      </c>
      <c r="F3203" t="s">
        <v>11</v>
      </c>
      <c r="G3203">
        <v>101</v>
      </c>
      <c r="H3203" t="s">
        <v>208</v>
      </c>
      <c r="I3203">
        <v>0</v>
      </c>
      <c r="J3203">
        <v>1</v>
      </c>
      <c r="K3203" t="e">
        <v>#N/A</v>
      </c>
      <c r="L3203" t="e">
        <v>#N/A</v>
      </c>
      <c r="M3203" t="e">
        <v>#N/A</v>
      </c>
      <c r="N3203" t="e">
        <v>#N/A</v>
      </c>
      <c r="O3203" t="s">
        <v>97</v>
      </c>
    </row>
    <row r="3204" spans="1:15" x14ac:dyDescent="0.2">
      <c r="A3204">
        <v>95</v>
      </c>
      <c r="B3204">
        <v>96</v>
      </c>
      <c r="C3204">
        <v>95</v>
      </c>
      <c r="D3204">
        <v>94</v>
      </c>
      <c r="E3204" t="s">
        <v>5</v>
      </c>
      <c r="F3204" t="s">
        <v>12</v>
      </c>
      <c r="G3204">
        <v>101</v>
      </c>
      <c r="H3204" t="s">
        <v>208</v>
      </c>
      <c r="I3204">
        <v>1</v>
      </c>
      <c r="J3204">
        <v>1</v>
      </c>
      <c r="K3204" t="e">
        <v>#N/A</v>
      </c>
      <c r="L3204" t="e">
        <v>#N/A</v>
      </c>
      <c r="M3204" t="e">
        <v>#N/A</v>
      </c>
      <c r="N3204" t="e">
        <v>#N/A</v>
      </c>
      <c r="O3204" t="s">
        <v>97</v>
      </c>
    </row>
    <row r="3205" spans="1:15" x14ac:dyDescent="0.2">
      <c r="A3205">
        <v>100</v>
      </c>
      <c r="B3205">
        <v>101</v>
      </c>
      <c r="C3205">
        <v>100</v>
      </c>
      <c r="D3205">
        <v>99</v>
      </c>
      <c r="E3205" t="s">
        <v>5</v>
      </c>
      <c r="F3205" t="s">
        <v>14</v>
      </c>
      <c r="G3205">
        <v>101</v>
      </c>
      <c r="H3205" t="s">
        <v>208</v>
      </c>
      <c r="I3205">
        <v>1</v>
      </c>
      <c r="J3205">
        <v>1</v>
      </c>
      <c r="K3205" t="e">
        <v>#N/A</v>
      </c>
      <c r="L3205" t="e">
        <v>#N/A</v>
      </c>
      <c r="M3205" t="e">
        <v>#N/A</v>
      </c>
      <c r="N3205" t="e">
        <v>#N/A</v>
      </c>
      <c r="O3205" t="s">
        <v>97</v>
      </c>
    </row>
    <row r="3206" spans="1:15" x14ac:dyDescent="0.2">
      <c r="A3206">
        <v>105</v>
      </c>
      <c r="B3206">
        <v>106</v>
      </c>
      <c r="C3206">
        <v>105</v>
      </c>
      <c r="D3206">
        <v>104</v>
      </c>
      <c r="E3206" t="s">
        <v>5</v>
      </c>
      <c r="F3206" t="s">
        <v>15</v>
      </c>
      <c r="G3206">
        <v>101</v>
      </c>
      <c r="H3206" t="s">
        <v>208</v>
      </c>
      <c r="I3206">
        <v>1</v>
      </c>
      <c r="J3206">
        <v>1</v>
      </c>
      <c r="K3206" t="e">
        <v>#N/A</v>
      </c>
      <c r="L3206" t="e">
        <v>#N/A</v>
      </c>
      <c r="M3206" t="e">
        <v>#N/A</v>
      </c>
      <c r="N3206" t="e">
        <v>#N/A</v>
      </c>
      <c r="O3206" t="s">
        <v>97</v>
      </c>
    </row>
    <row r="3207" spans="1:15" x14ac:dyDescent="0.2">
      <c r="A3207">
        <v>110</v>
      </c>
      <c r="B3207">
        <v>111</v>
      </c>
      <c r="C3207">
        <v>110</v>
      </c>
      <c r="D3207">
        <v>109</v>
      </c>
      <c r="E3207" t="s">
        <v>5</v>
      </c>
      <c r="F3207" t="s">
        <v>16</v>
      </c>
      <c r="G3207">
        <v>101</v>
      </c>
      <c r="H3207" t="s">
        <v>208</v>
      </c>
      <c r="I3207">
        <v>1</v>
      </c>
      <c r="J3207">
        <v>1</v>
      </c>
      <c r="K3207" t="e">
        <v>#N/A</v>
      </c>
      <c r="L3207" t="e">
        <v>#N/A</v>
      </c>
      <c r="M3207" t="e">
        <v>#N/A</v>
      </c>
      <c r="N3207" t="e">
        <v>#N/A</v>
      </c>
      <c r="O3207" t="s">
        <v>97</v>
      </c>
    </row>
    <row r="3208" spans="1:15" x14ac:dyDescent="0.2">
      <c r="A3208">
        <v>115</v>
      </c>
      <c r="B3208">
        <v>116</v>
      </c>
      <c r="C3208">
        <v>115</v>
      </c>
      <c r="D3208">
        <v>114</v>
      </c>
      <c r="E3208" t="s">
        <v>5</v>
      </c>
      <c r="F3208" t="s">
        <v>17</v>
      </c>
      <c r="G3208">
        <v>101</v>
      </c>
      <c r="H3208" t="s">
        <v>208</v>
      </c>
      <c r="I3208">
        <v>1</v>
      </c>
      <c r="J3208">
        <v>1</v>
      </c>
      <c r="K3208" t="e">
        <v>#N/A</v>
      </c>
      <c r="L3208" t="e">
        <v>#N/A</v>
      </c>
      <c r="M3208" t="e">
        <v>#N/A</v>
      </c>
      <c r="N3208" t="e">
        <v>#N/A</v>
      </c>
      <c r="O3208" t="s">
        <v>97</v>
      </c>
    </row>
    <row r="3209" spans="1:15" x14ac:dyDescent="0.2">
      <c r="A3209">
        <v>120</v>
      </c>
      <c r="B3209">
        <v>121</v>
      </c>
      <c r="C3209">
        <v>120</v>
      </c>
      <c r="D3209">
        <v>119</v>
      </c>
      <c r="E3209" t="s">
        <v>5</v>
      </c>
      <c r="F3209" t="s">
        <v>18</v>
      </c>
      <c r="G3209">
        <v>101</v>
      </c>
      <c r="H3209" t="s">
        <v>208</v>
      </c>
      <c r="I3209">
        <v>1</v>
      </c>
      <c r="J3209">
        <v>1</v>
      </c>
      <c r="K3209" t="e">
        <v>#N/A</v>
      </c>
      <c r="L3209" t="e">
        <v>#N/A</v>
      </c>
      <c r="M3209" t="e">
        <v>#N/A</v>
      </c>
      <c r="N3209" t="e">
        <v>#N/A</v>
      </c>
      <c r="O3209" t="s">
        <v>97</v>
      </c>
    </row>
    <row r="3210" spans="1:15" x14ac:dyDescent="0.2">
      <c r="A3210">
        <v>125</v>
      </c>
      <c r="B3210">
        <v>126</v>
      </c>
      <c r="C3210">
        <v>125</v>
      </c>
      <c r="D3210">
        <v>124</v>
      </c>
      <c r="E3210" t="s">
        <v>5</v>
      </c>
      <c r="F3210" t="s">
        <v>19</v>
      </c>
      <c r="G3210">
        <v>101</v>
      </c>
      <c r="H3210" t="s">
        <v>208</v>
      </c>
      <c r="I3210">
        <v>1</v>
      </c>
      <c r="J3210">
        <v>1</v>
      </c>
      <c r="K3210" t="e">
        <v>#N/A</v>
      </c>
      <c r="L3210" t="e">
        <v>#N/A</v>
      </c>
      <c r="M3210" t="e">
        <v>#N/A</v>
      </c>
      <c r="N3210" t="e">
        <v>#N/A</v>
      </c>
      <c r="O3210" t="s">
        <v>97</v>
      </c>
    </row>
    <row r="3211" spans="1:15" x14ac:dyDescent="0.2">
      <c r="A3211">
        <v>130</v>
      </c>
      <c r="B3211">
        <v>131</v>
      </c>
      <c r="C3211">
        <v>130</v>
      </c>
      <c r="D3211">
        <v>129</v>
      </c>
      <c r="E3211" t="s">
        <v>5</v>
      </c>
      <c r="F3211" t="s">
        <v>20</v>
      </c>
      <c r="G3211">
        <v>101</v>
      </c>
      <c r="H3211" t="s">
        <v>208</v>
      </c>
      <c r="I3211">
        <v>1</v>
      </c>
      <c r="J3211">
        <v>1</v>
      </c>
      <c r="K3211" t="e">
        <v>#N/A</v>
      </c>
      <c r="L3211" t="e">
        <v>#N/A</v>
      </c>
      <c r="M3211" t="e">
        <v>#N/A</v>
      </c>
      <c r="N3211" t="e">
        <v>#N/A</v>
      </c>
      <c r="O3211" t="s">
        <v>97</v>
      </c>
    </row>
    <row r="3212" spans="1:15" x14ac:dyDescent="0.2">
      <c r="A3212">
        <v>135</v>
      </c>
      <c r="B3212">
        <v>136</v>
      </c>
      <c r="C3212">
        <v>135</v>
      </c>
      <c r="D3212">
        <v>134</v>
      </c>
      <c r="E3212" t="s">
        <v>5</v>
      </c>
      <c r="F3212" t="s">
        <v>21</v>
      </c>
      <c r="G3212">
        <v>101</v>
      </c>
      <c r="H3212" t="s">
        <v>208</v>
      </c>
      <c r="I3212">
        <v>1</v>
      </c>
      <c r="J3212">
        <v>1</v>
      </c>
      <c r="K3212" t="e">
        <v>#N/A</v>
      </c>
      <c r="L3212" t="e">
        <v>#N/A</v>
      </c>
      <c r="M3212" t="e">
        <v>#N/A</v>
      </c>
      <c r="N3212" t="e">
        <v>#N/A</v>
      </c>
      <c r="O3212" t="s">
        <v>97</v>
      </c>
    </row>
    <row r="3213" spans="1:15" x14ac:dyDescent="0.2">
      <c r="A3213">
        <v>140</v>
      </c>
      <c r="B3213">
        <v>141</v>
      </c>
      <c r="C3213">
        <v>140</v>
      </c>
      <c r="D3213">
        <v>139</v>
      </c>
      <c r="E3213" t="s">
        <v>5</v>
      </c>
      <c r="F3213" t="s">
        <v>22</v>
      </c>
      <c r="G3213">
        <v>101</v>
      </c>
      <c r="H3213" t="s">
        <v>208</v>
      </c>
      <c r="I3213">
        <v>1</v>
      </c>
      <c r="J3213">
        <v>1</v>
      </c>
      <c r="K3213" t="e">
        <v>#N/A</v>
      </c>
      <c r="L3213" t="e">
        <v>#N/A</v>
      </c>
      <c r="M3213" t="e">
        <v>#N/A</v>
      </c>
      <c r="N3213" t="e">
        <v>#N/A</v>
      </c>
      <c r="O3213" t="s">
        <v>97</v>
      </c>
    </row>
    <row r="3214" spans="1:15" x14ac:dyDescent="0.2">
      <c r="A3214">
        <v>145</v>
      </c>
      <c r="B3214">
        <v>146</v>
      </c>
      <c r="C3214">
        <v>145</v>
      </c>
      <c r="D3214">
        <v>144</v>
      </c>
      <c r="E3214" t="s">
        <v>5</v>
      </c>
      <c r="F3214" t="s">
        <v>23</v>
      </c>
      <c r="G3214">
        <v>101</v>
      </c>
      <c r="H3214" t="s">
        <v>208</v>
      </c>
      <c r="I3214">
        <v>1</v>
      </c>
      <c r="J3214">
        <v>1</v>
      </c>
      <c r="K3214" t="e">
        <v>#N/A</v>
      </c>
      <c r="L3214" t="e">
        <v>#N/A</v>
      </c>
      <c r="M3214" t="e">
        <v>#N/A</v>
      </c>
      <c r="N3214" t="e">
        <v>#N/A</v>
      </c>
      <c r="O3214" t="s">
        <v>97</v>
      </c>
    </row>
    <row r="3215" spans="1:15" x14ac:dyDescent="0.2">
      <c r="A3215">
        <v>14</v>
      </c>
      <c r="B3215">
        <v>15</v>
      </c>
      <c r="C3215">
        <v>14</v>
      </c>
      <c r="D3215">
        <v>13</v>
      </c>
      <c r="E3215" t="s">
        <v>30</v>
      </c>
      <c r="F3215" t="s">
        <v>31</v>
      </c>
      <c r="G3215">
        <v>15</v>
      </c>
      <c r="H3215" t="s">
        <v>129</v>
      </c>
      <c r="I3215">
        <v>0</v>
      </c>
      <c r="J3215">
        <v>1</v>
      </c>
      <c r="K3215" t="s">
        <v>130</v>
      </c>
      <c r="L3215" t="s">
        <v>131</v>
      </c>
      <c r="M3215" t="s">
        <v>132</v>
      </c>
      <c r="N3215" t="s">
        <v>107</v>
      </c>
      <c r="O3215" t="s">
        <v>97</v>
      </c>
    </row>
    <row r="3216" spans="1:15" x14ac:dyDescent="0.2">
      <c r="A3216">
        <v>155</v>
      </c>
      <c r="B3216">
        <v>156</v>
      </c>
      <c r="C3216">
        <v>155</v>
      </c>
      <c r="D3216">
        <v>154</v>
      </c>
      <c r="E3216" t="s">
        <v>5</v>
      </c>
      <c r="F3216" t="s">
        <v>25</v>
      </c>
      <c r="G3216">
        <v>101</v>
      </c>
      <c r="H3216" t="s">
        <v>208</v>
      </c>
      <c r="I3216">
        <v>1</v>
      </c>
      <c r="J3216">
        <v>1</v>
      </c>
      <c r="K3216" t="e">
        <v>#N/A</v>
      </c>
      <c r="L3216" t="e">
        <v>#N/A</v>
      </c>
      <c r="M3216" t="e">
        <v>#N/A</v>
      </c>
      <c r="N3216" t="e">
        <v>#N/A</v>
      </c>
      <c r="O3216" t="s">
        <v>97</v>
      </c>
    </row>
    <row r="3217" spans="1:15" x14ac:dyDescent="0.2">
      <c r="A3217">
        <v>14</v>
      </c>
      <c r="B3217">
        <v>15</v>
      </c>
      <c r="C3217">
        <v>14</v>
      </c>
      <c r="D3217">
        <v>13</v>
      </c>
      <c r="E3217" t="s">
        <v>30</v>
      </c>
      <c r="F3217" t="s">
        <v>31</v>
      </c>
      <c r="G3217">
        <v>16</v>
      </c>
      <c r="H3217" t="s">
        <v>133</v>
      </c>
      <c r="I3217">
        <v>0</v>
      </c>
      <c r="J3217">
        <v>0</v>
      </c>
      <c r="K3217" t="e">
        <v>#N/A</v>
      </c>
      <c r="L3217" t="e">
        <v>#N/A</v>
      </c>
      <c r="M3217" t="e">
        <v>#N/A</v>
      </c>
      <c r="N3217" t="e">
        <v>#N/A</v>
      </c>
      <c r="O3217" t="s">
        <v>97</v>
      </c>
    </row>
    <row r="3218" spans="1:15" x14ac:dyDescent="0.2">
      <c r="A3218">
        <v>165</v>
      </c>
      <c r="B3218">
        <v>166</v>
      </c>
      <c r="C3218">
        <v>165</v>
      </c>
      <c r="D3218">
        <v>164</v>
      </c>
      <c r="E3218" t="s">
        <v>5</v>
      </c>
      <c r="F3218" t="s">
        <v>27</v>
      </c>
      <c r="G3218">
        <v>101</v>
      </c>
      <c r="H3218" t="s">
        <v>208</v>
      </c>
      <c r="I3218">
        <v>1</v>
      </c>
      <c r="J3218">
        <v>1</v>
      </c>
      <c r="K3218" t="e">
        <v>#N/A</v>
      </c>
      <c r="L3218" t="e">
        <v>#N/A</v>
      </c>
      <c r="M3218" t="e">
        <v>#N/A</v>
      </c>
      <c r="N3218" t="e">
        <v>#N/A</v>
      </c>
      <c r="O3218" t="s">
        <v>97</v>
      </c>
    </row>
    <row r="3219" spans="1:15" x14ac:dyDescent="0.2">
      <c r="A3219">
        <v>170</v>
      </c>
      <c r="B3219">
        <v>171</v>
      </c>
      <c r="C3219">
        <v>170</v>
      </c>
      <c r="D3219">
        <v>169</v>
      </c>
      <c r="E3219" t="s">
        <v>5</v>
      </c>
      <c r="F3219" t="s">
        <v>28</v>
      </c>
      <c r="G3219">
        <v>101</v>
      </c>
      <c r="H3219" t="s">
        <v>208</v>
      </c>
      <c r="I3219">
        <v>1</v>
      </c>
      <c r="J3219">
        <v>1</v>
      </c>
      <c r="K3219" t="e">
        <v>#N/A</v>
      </c>
      <c r="L3219" t="e">
        <v>#N/A</v>
      </c>
      <c r="M3219" t="e">
        <v>#N/A</v>
      </c>
      <c r="N3219" t="e">
        <v>#N/A</v>
      </c>
      <c r="O3219" t="s">
        <v>97</v>
      </c>
    </row>
    <row r="3220" spans="1:15" x14ac:dyDescent="0.2">
      <c r="A3220">
        <v>175</v>
      </c>
      <c r="B3220">
        <v>176</v>
      </c>
      <c r="C3220">
        <v>175</v>
      </c>
      <c r="D3220">
        <v>174</v>
      </c>
      <c r="E3220" t="s">
        <v>5</v>
      </c>
      <c r="F3220" t="s">
        <v>29</v>
      </c>
      <c r="G3220">
        <v>101</v>
      </c>
      <c r="H3220" t="s">
        <v>208</v>
      </c>
      <c r="I3220">
        <v>0</v>
      </c>
      <c r="J3220">
        <v>1</v>
      </c>
      <c r="K3220" t="e">
        <v>#N/A</v>
      </c>
      <c r="L3220" t="e">
        <v>#N/A</v>
      </c>
      <c r="M3220" t="e">
        <v>#N/A</v>
      </c>
      <c r="N3220" t="e">
        <v>#N/A</v>
      </c>
      <c r="O3220" t="s">
        <v>97</v>
      </c>
    </row>
    <row r="3221" spans="1:15" x14ac:dyDescent="0.2">
      <c r="A3221">
        <v>14</v>
      </c>
      <c r="B3221">
        <v>15</v>
      </c>
      <c r="C3221">
        <v>14</v>
      </c>
      <c r="D3221">
        <v>13</v>
      </c>
      <c r="E3221" t="s">
        <v>30</v>
      </c>
      <c r="F3221" t="s">
        <v>31</v>
      </c>
      <c r="G3221">
        <v>17</v>
      </c>
      <c r="H3221" t="s">
        <v>134</v>
      </c>
      <c r="I3221">
        <v>0.5</v>
      </c>
      <c r="J3221">
        <v>1</v>
      </c>
      <c r="K3221" t="s">
        <v>112</v>
      </c>
      <c r="L3221" t="s">
        <v>135</v>
      </c>
      <c r="M3221" t="s">
        <v>136</v>
      </c>
      <c r="N3221" t="s">
        <v>107</v>
      </c>
      <c r="O3221" t="s">
        <v>97</v>
      </c>
    </row>
    <row r="3222" spans="1:15" x14ac:dyDescent="0.2">
      <c r="A3222">
        <v>14</v>
      </c>
      <c r="B3222">
        <v>15</v>
      </c>
      <c r="C3222">
        <v>14</v>
      </c>
      <c r="D3222">
        <v>13</v>
      </c>
      <c r="E3222" t="s">
        <v>30</v>
      </c>
      <c r="F3222" t="s">
        <v>31</v>
      </c>
      <c r="G3222">
        <v>18</v>
      </c>
      <c r="H3222" t="s">
        <v>137</v>
      </c>
      <c r="I3222">
        <v>1</v>
      </c>
      <c r="J3222">
        <v>1</v>
      </c>
      <c r="K3222" t="s">
        <v>112</v>
      </c>
      <c r="L3222" t="s">
        <v>138</v>
      </c>
      <c r="M3222" t="s">
        <v>139</v>
      </c>
      <c r="N3222" t="s">
        <v>107</v>
      </c>
      <c r="O3222" t="s">
        <v>97</v>
      </c>
    </row>
    <row r="3223" spans="1:15" x14ac:dyDescent="0.2">
      <c r="A3223">
        <v>24</v>
      </c>
      <c r="B3223">
        <v>25</v>
      </c>
      <c r="C3223">
        <v>24</v>
      </c>
      <c r="D3223">
        <v>23</v>
      </c>
      <c r="E3223" t="s">
        <v>30</v>
      </c>
      <c r="F3223" t="s">
        <v>33</v>
      </c>
      <c r="G3223">
        <v>101</v>
      </c>
      <c r="H3223" t="s">
        <v>208</v>
      </c>
      <c r="I3223">
        <v>0</v>
      </c>
      <c r="J3223">
        <v>1</v>
      </c>
      <c r="K3223" t="e">
        <v>#N/A</v>
      </c>
      <c r="L3223" t="e">
        <v>#N/A</v>
      </c>
      <c r="M3223" t="e">
        <v>#N/A</v>
      </c>
      <c r="N3223" t="e">
        <v>#N/A</v>
      </c>
      <c r="O3223" t="s">
        <v>97</v>
      </c>
    </row>
    <row r="3224" spans="1:15" x14ac:dyDescent="0.2">
      <c r="A3224">
        <v>29</v>
      </c>
      <c r="B3224">
        <v>30</v>
      </c>
      <c r="C3224">
        <v>29</v>
      </c>
      <c r="D3224">
        <v>28</v>
      </c>
      <c r="E3224" t="s">
        <v>30</v>
      </c>
      <c r="F3224" t="s">
        <v>211</v>
      </c>
      <c r="G3224">
        <v>101</v>
      </c>
      <c r="H3224" t="s">
        <v>208</v>
      </c>
      <c r="I3224">
        <v>0</v>
      </c>
      <c r="J3224">
        <v>1</v>
      </c>
      <c r="K3224" t="e">
        <v>#N/A</v>
      </c>
      <c r="L3224" t="e">
        <v>#N/A</v>
      </c>
      <c r="M3224" t="e">
        <v>#N/A</v>
      </c>
      <c r="N3224" t="e">
        <v>#N/A</v>
      </c>
      <c r="O3224" t="s">
        <v>97</v>
      </c>
    </row>
    <row r="3225" spans="1:15" x14ac:dyDescent="0.2">
      <c r="A3225">
        <v>34</v>
      </c>
      <c r="B3225">
        <v>35</v>
      </c>
      <c r="C3225">
        <v>34</v>
      </c>
      <c r="D3225">
        <v>33</v>
      </c>
      <c r="E3225" t="s">
        <v>30</v>
      </c>
      <c r="F3225" t="s">
        <v>35</v>
      </c>
      <c r="G3225">
        <v>101</v>
      </c>
      <c r="H3225" t="s">
        <v>208</v>
      </c>
      <c r="I3225">
        <v>0</v>
      </c>
      <c r="J3225">
        <v>1</v>
      </c>
      <c r="K3225" t="e">
        <v>#N/A</v>
      </c>
      <c r="L3225" t="e">
        <v>#N/A</v>
      </c>
      <c r="M3225" t="e">
        <v>#N/A</v>
      </c>
      <c r="N3225" t="e">
        <v>#N/A</v>
      </c>
      <c r="O3225" t="s">
        <v>97</v>
      </c>
    </row>
    <row r="3226" spans="1:15" x14ac:dyDescent="0.2">
      <c r="A3226">
        <v>39</v>
      </c>
      <c r="B3226">
        <v>40</v>
      </c>
      <c r="C3226">
        <v>39</v>
      </c>
      <c r="D3226">
        <v>38</v>
      </c>
      <c r="E3226" t="s">
        <v>30</v>
      </c>
      <c r="F3226" t="s">
        <v>36</v>
      </c>
      <c r="G3226">
        <v>101</v>
      </c>
      <c r="H3226" t="s">
        <v>208</v>
      </c>
      <c r="I3226">
        <v>0</v>
      </c>
      <c r="J3226">
        <v>1</v>
      </c>
      <c r="K3226" t="e">
        <v>#N/A</v>
      </c>
      <c r="L3226" t="e">
        <v>#N/A</v>
      </c>
      <c r="M3226" t="e">
        <v>#N/A</v>
      </c>
      <c r="N3226" t="e">
        <v>#N/A</v>
      </c>
      <c r="O3226" t="s">
        <v>97</v>
      </c>
    </row>
    <row r="3227" spans="1:15" x14ac:dyDescent="0.2">
      <c r="A3227">
        <v>223</v>
      </c>
      <c r="B3227">
        <v>224</v>
      </c>
      <c r="C3227">
        <v>223</v>
      </c>
      <c r="D3227">
        <v>222</v>
      </c>
      <c r="E3227" t="s">
        <v>30</v>
      </c>
      <c r="F3227" t="s">
        <v>37</v>
      </c>
      <c r="G3227">
        <v>101</v>
      </c>
      <c r="H3227" t="s">
        <v>208</v>
      </c>
      <c r="I3227">
        <v>0</v>
      </c>
      <c r="J3227">
        <v>1</v>
      </c>
      <c r="K3227" t="e">
        <v>#N/A</v>
      </c>
      <c r="L3227" t="e">
        <v>#N/A</v>
      </c>
      <c r="M3227" t="e">
        <v>#N/A</v>
      </c>
      <c r="N3227" t="e">
        <v>#N/A</v>
      </c>
      <c r="O3227" t="s">
        <v>97</v>
      </c>
    </row>
    <row r="3228" spans="1:15" x14ac:dyDescent="0.2">
      <c r="A3228">
        <v>14</v>
      </c>
      <c r="B3228">
        <v>15</v>
      </c>
      <c r="C3228">
        <v>14</v>
      </c>
      <c r="D3228">
        <v>13</v>
      </c>
      <c r="E3228" t="s">
        <v>30</v>
      </c>
      <c r="F3228" t="s">
        <v>31</v>
      </c>
      <c r="G3228">
        <v>19</v>
      </c>
      <c r="H3228" t="s">
        <v>140</v>
      </c>
      <c r="I3228">
        <v>0.5</v>
      </c>
      <c r="J3228">
        <v>1</v>
      </c>
      <c r="K3228" t="s">
        <v>122</v>
      </c>
      <c r="L3228" t="s">
        <v>141</v>
      </c>
      <c r="M3228" t="s">
        <v>142</v>
      </c>
      <c r="N3228" t="s">
        <v>107</v>
      </c>
      <c r="O3228" t="s">
        <v>97</v>
      </c>
    </row>
    <row r="3229" spans="1:15" x14ac:dyDescent="0.2">
      <c r="A3229">
        <v>54</v>
      </c>
      <c r="B3229">
        <v>55</v>
      </c>
      <c r="C3229">
        <v>54</v>
      </c>
      <c r="D3229">
        <v>53</v>
      </c>
      <c r="E3229" t="s">
        <v>30</v>
      </c>
      <c r="F3229" t="s">
        <v>39</v>
      </c>
      <c r="G3229">
        <v>101</v>
      </c>
      <c r="H3229" t="s">
        <v>208</v>
      </c>
      <c r="I3229">
        <v>0</v>
      </c>
      <c r="J3229">
        <v>1</v>
      </c>
      <c r="K3229" t="e">
        <v>#N/A</v>
      </c>
      <c r="L3229" t="e">
        <v>#N/A</v>
      </c>
      <c r="M3229" t="e">
        <v>#N/A</v>
      </c>
      <c r="N3229" t="e">
        <v>#N/A</v>
      </c>
      <c r="O3229" t="s">
        <v>97</v>
      </c>
    </row>
    <row r="3230" spans="1:15" x14ac:dyDescent="0.2">
      <c r="A3230">
        <v>14</v>
      </c>
      <c r="B3230">
        <v>15</v>
      </c>
      <c r="C3230">
        <v>14</v>
      </c>
      <c r="D3230">
        <v>13</v>
      </c>
      <c r="E3230" t="s">
        <v>30</v>
      </c>
      <c r="F3230" t="s">
        <v>31</v>
      </c>
      <c r="G3230">
        <v>20</v>
      </c>
      <c r="H3230" t="s">
        <v>143</v>
      </c>
      <c r="I3230">
        <v>0</v>
      </c>
      <c r="J3230">
        <v>1</v>
      </c>
      <c r="K3230" t="s">
        <v>122</v>
      </c>
      <c r="L3230" t="s">
        <v>144</v>
      </c>
      <c r="M3230" t="s">
        <v>145</v>
      </c>
      <c r="N3230" t="s">
        <v>107</v>
      </c>
      <c r="O3230" t="s">
        <v>97</v>
      </c>
    </row>
    <row r="3231" spans="1:15" x14ac:dyDescent="0.2">
      <c r="A3231">
        <v>14</v>
      </c>
      <c r="B3231">
        <v>15</v>
      </c>
      <c r="C3231">
        <v>14</v>
      </c>
      <c r="D3231">
        <v>13</v>
      </c>
      <c r="E3231" t="s">
        <v>30</v>
      </c>
      <c r="F3231" t="s">
        <v>31</v>
      </c>
      <c r="G3231">
        <v>21</v>
      </c>
      <c r="H3231" t="s">
        <v>146</v>
      </c>
      <c r="I3231">
        <v>1</v>
      </c>
      <c r="J3231">
        <v>1</v>
      </c>
      <c r="K3231" t="s">
        <v>147</v>
      </c>
      <c r="L3231" t="s">
        <v>148</v>
      </c>
      <c r="M3231" t="s">
        <v>149</v>
      </c>
      <c r="N3231" t="s">
        <v>96</v>
      </c>
      <c r="O3231" t="s">
        <v>97</v>
      </c>
    </row>
    <row r="3232" spans="1:15" x14ac:dyDescent="0.2">
      <c r="A3232">
        <v>14</v>
      </c>
      <c r="B3232">
        <v>15</v>
      </c>
      <c r="C3232">
        <v>14</v>
      </c>
      <c r="D3232">
        <v>13</v>
      </c>
      <c r="E3232" t="s">
        <v>30</v>
      </c>
      <c r="F3232" t="s">
        <v>31</v>
      </c>
      <c r="G3232">
        <v>22</v>
      </c>
      <c r="H3232" t="s">
        <v>150</v>
      </c>
      <c r="I3232">
        <v>0</v>
      </c>
      <c r="J3232">
        <v>1</v>
      </c>
      <c r="K3232" t="s">
        <v>147</v>
      </c>
      <c r="L3232" t="s">
        <v>151</v>
      </c>
      <c r="M3232" t="s">
        <v>149</v>
      </c>
      <c r="N3232" t="s">
        <v>107</v>
      </c>
      <c r="O3232" t="s">
        <v>97</v>
      </c>
    </row>
    <row r="3233" spans="1:15" x14ac:dyDescent="0.2">
      <c r="A3233">
        <v>181</v>
      </c>
      <c r="B3233">
        <v>182</v>
      </c>
      <c r="C3233">
        <v>181</v>
      </c>
      <c r="D3233">
        <v>180</v>
      </c>
      <c r="E3233" t="s">
        <v>40</v>
      </c>
      <c r="F3233" t="s">
        <v>41</v>
      </c>
      <c r="G3233">
        <v>101</v>
      </c>
      <c r="H3233" t="s">
        <v>208</v>
      </c>
      <c r="I3233">
        <v>0</v>
      </c>
      <c r="J3233">
        <v>1</v>
      </c>
      <c r="K3233" t="e">
        <v>#N/A</v>
      </c>
      <c r="L3233" t="e">
        <v>#N/A</v>
      </c>
      <c r="M3233" t="e">
        <v>#N/A</v>
      </c>
      <c r="N3233" t="e">
        <v>#N/A</v>
      </c>
      <c r="O3233" t="s">
        <v>97</v>
      </c>
    </row>
    <row r="3234" spans="1:15" x14ac:dyDescent="0.2">
      <c r="A3234">
        <v>186</v>
      </c>
      <c r="B3234">
        <v>187</v>
      </c>
      <c r="C3234">
        <v>186</v>
      </c>
      <c r="D3234">
        <v>185</v>
      </c>
      <c r="E3234" t="s">
        <v>40</v>
      </c>
      <c r="F3234" t="s">
        <v>42</v>
      </c>
      <c r="G3234">
        <v>101</v>
      </c>
      <c r="H3234" t="s">
        <v>208</v>
      </c>
      <c r="I3234">
        <v>0</v>
      </c>
      <c r="J3234">
        <v>1</v>
      </c>
      <c r="K3234" t="e">
        <v>#N/A</v>
      </c>
      <c r="L3234" t="e">
        <v>#N/A</v>
      </c>
      <c r="M3234" t="e">
        <v>#N/A</v>
      </c>
      <c r="N3234" t="e">
        <v>#N/A</v>
      </c>
      <c r="O3234" t="s">
        <v>97</v>
      </c>
    </row>
    <row r="3235" spans="1:15" x14ac:dyDescent="0.2">
      <c r="A3235">
        <v>14</v>
      </c>
      <c r="B3235">
        <v>15</v>
      </c>
      <c r="C3235">
        <v>14</v>
      </c>
      <c r="D3235">
        <v>13</v>
      </c>
      <c r="E3235" t="s">
        <v>30</v>
      </c>
      <c r="F3235" t="s">
        <v>31</v>
      </c>
      <c r="G3235">
        <v>23</v>
      </c>
      <c r="H3235" t="s">
        <v>152</v>
      </c>
      <c r="I3235">
        <v>0</v>
      </c>
      <c r="J3235">
        <v>0</v>
      </c>
      <c r="K3235" t="s">
        <v>153</v>
      </c>
      <c r="L3235" t="s">
        <v>154</v>
      </c>
      <c r="M3235" t="s">
        <v>155</v>
      </c>
      <c r="N3235" t="s">
        <v>107</v>
      </c>
      <c r="O3235" t="s">
        <v>97</v>
      </c>
    </row>
    <row r="3236" spans="1:15" x14ac:dyDescent="0.2">
      <c r="A3236">
        <v>14</v>
      </c>
      <c r="B3236">
        <v>15</v>
      </c>
      <c r="C3236">
        <v>14</v>
      </c>
      <c r="D3236">
        <v>13</v>
      </c>
      <c r="E3236" t="s">
        <v>30</v>
      </c>
      <c r="F3236" t="s">
        <v>31</v>
      </c>
      <c r="G3236">
        <v>24</v>
      </c>
      <c r="H3236" t="s">
        <v>156</v>
      </c>
      <c r="I3236">
        <v>0</v>
      </c>
      <c r="J3236">
        <v>0</v>
      </c>
      <c r="K3236" t="s">
        <v>122</v>
      </c>
      <c r="L3236" t="s">
        <v>157</v>
      </c>
      <c r="M3236" t="s">
        <v>158</v>
      </c>
      <c r="N3236" t="s">
        <v>107</v>
      </c>
      <c r="O3236" t="s">
        <v>97</v>
      </c>
    </row>
    <row r="3237" spans="1:15" x14ac:dyDescent="0.2">
      <c r="A3237">
        <v>14</v>
      </c>
      <c r="B3237">
        <v>15</v>
      </c>
      <c r="C3237">
        <v>14</v>
      </c>
      <c r="D3237">
        <v>13</v>
      </c>
      <c r="E3237" t="s">
        <v>30</v>
      </c>
      <c r="F3237" t="s">
        <v>31</v>
      </c>
      <c r="G3237">
        <v>25</v>
      </c>
      <c r="H3237" t="s">
        <v>156</v>
      </c>
      <c r="I3237">
        <v>1</v>
      </c>
      <c r="J3237">
        <v>1</v>
      </c>
      <c r="K3237" t="s">
        <v>122</v>
      </c>
      <c r="L3237" t="s">
        <v>157</v>
      </c>
      <c r="M3237" t="s">
        <v>158</v>
      </c>
      <c r="N3237" t="s">
        <v>107</v>
      </c>
      <c r="O3237" t="s">
        <v>97</v>
      </c>
    </row>
    <row r="3238" spans="1:15" x14ac:dyDescent="0.2">
      <c r="A3238">
        <v>206</v>
      </c>
      <c r="B3238">
        <v>207</v>
      </c>
      <c r="C3238">
        <v>206</v>
      </c>
      <c r="D3238">
        <v>205</v>
      </c>
      <c r="E3238" t="s">
        <v>40</v>
      </c>
      <c r="F3238" t="s">
        <v>43</v>
      </c>
      <c r="G3238">
        <v>101</v>
      </c>
      <c r="H3238" t="s">
        <v>208</v>
      </c>
      <c r="I3238">
        <v>1</v>
      </c>
      <c r="J3238">
        <v>1</v>
      </c>
      <c r="K3238" t="e">
        <v>#N/A</v>
      </c>
      <c r="L3238" t="e">
        <v>#N/A</v>
      </c>
      <c r="M3238" t="e">
        <v>#N/A</v>
      </c>
      <c r="N3238" t="e">
        <v>#N/A</v>
      </c>
      <c r="O3238" t="s">
        <v>97</v>
      </c>
    </row>
    <row r="3239" spans="1:15" x14ac:dyDescent="0.2">
      <c r="A3239">
        <v>14</v>
      </c>
      <c r="B3239">
        <v>15</v>
      </c>
      <c r="C3239">
        <v>14</v>
      </c>
      <c r="D3239">
        <v>13</v>
      </c>
      <c r="E3239" t="s">
        <v>30</v>
      </c>
      <c r="F3239" t="s">
        <v>31</v>
      </c>
      <c r="G3239">
        <v>26</v>
      </c>
      <c r="H3239" t="s">
        <v>152</v>
      </c>
      <c r="I3239">
        <v>0</v>
      </c>
      <c r="J3239">
        <v>0</v>
      </c>
      <c r="K3239" t="s">
        <v>153</v>
      </c>
      <c r="L3239" t="s">
        <v>154</v>
      </c>
      <c r="M3239" t="s">
        <v>155</v>
      </c>
      <c r="N3239" t="s">
        <v>107</v>
      </c>
      <c r="O3239" t="s">
        <v>97</v>
      </c>
    </row>
    <row r="3240" spans="1:15" x14ac:dyDescent="0.2">
      <c r="A3240">
        <v>217</v>
      </c>
      <c r="B3240">
        <v>218</v>
      </c>
      <c r="C3240">
        <v>217</v>
      </c>
      <c r="D3240">
        <v>216</v>
      </c>
      <c r="E3240" t="s">
        <v>44</v>
      </c>
      <c r="F3240" t="s">
        <v>45</v>
      </c>
      <c r="G3240">
        <v>101</v>
      </c>
      <c r="H3240" t="s">
        <v>208</v>
      </c>
      <c r="I3240">
        <v>0</v>
      </c>
      <c r="J3240">
        <v>1</v>
      </c>
      <c r="K3240" t="e">
        <v>#N/A</v>
      </c>
      <c r="L3240" t="e">
        <v>#N/A</v>
      </c>
      <c r="M3240" t="e">
        <v>#N/A</v>
      </c>
      <c r="N3240" t="e">
        <v>#N/A</v>
      </c>
      <c r="O3240" t="s">
        <v>97</v>
      </c>
    </row>
    <row r="3241" spans="1:15" x14ac:dyDescent="0.2">
      <c r="A3241">
        <v>405</v>
      </c>
      <c r="B3241">
        <v>406</v>
      </c>
      <c r="C3241">
        <v>405</v>
      </c>
      <c r="D3241">
        <v>404</v>
      </c>
      <c r="E3241" t="s">
        <v>57</v>
      </c>
      <c r="F3241" t="s">
        <v>77</v>
      </c>
      <c r="G3241">
        <v>101</v>
      </c>
      <c r="H3241" t="s">
        <v>208</v>
      </c>
      <c r="I3241">
        <v>0</v>
      </c>
      <c r="J3241">
        <v>1</v>
      </c>
      <c r="K3241" t="e">
        <v>#N/A</v>
      </c>
      <c r="L3241" t="e">
        <v>#N/A</v>
      </c>
      <c r="M3241" t="e">
        <v>#N/A</v>
      </c>
      <c r="N3241" t="e">
        <v>#N/A</v>
      </c>
      <c r="O3241" t="s">
        <v>97</v>
      </c>
    </row>
    <row r="3242" spans="1:15" x14ac:dyDescent="0.2">
      <c r="A3242">
        <v>14</v>
      </c>
      <c r="B3242">
        <v>15</v>
      </c>
      <c r="C3242">
        <v>14</v>
      </c>
      <c r="D3242">
        <v>13</v>
      </c>
      <c r="E3242" t="s">
        <v>30</v>
      </c>
      <c r="F3242" t="s">
        <v>31</v>
      </c>
      <c r="G3242">
        <v>27</v>
      </c>
      <c r="H3242" t="s">
        <v>159</v>
      </c>
      <c r="I3242">
        <v>0.5</v>
      </c>
      <c r="J3242">
        <v>0.5</v>
      </c>
      <c r="K3242" t="s">
        <v>122</v>
      </c>
      <c r="L3242" t="s">
        <v>160</v>
      </c>
      <c r="M3242" t="s">
        <v>161</v>
      </c>
      <c r="N3242" t="s">
        <v>107</v>
      </c>
      <c r="O3242" t="s">
        <v>97</v>
      </c>
    </row>
    <row r="3243" spans="1:15" x14ac:dyDescent="0.2">
      <c r="A3243">
        <v>14</v>
      </c>
      <c r="B3243">
        <v>15</v>
      </c>
      <c r="C3243">
        <v>14</v>
      </c>
      <c r="D3243">
        <v>13</v>
      </c>
      <c r="E3243" t="s">
        <v>30</v>
      </c>
      <c r="F3243" t="s">
        <v>31</v>
      </c>
      <c r="G3243">
        <v>28</v>
      </c>
      <c r="H3243" t="s">
        <v>159</v>
      </c>
      <c r="I3243">
        <v>0.5</v>
      </c>
      <c r="J3243">
        <v>0.5</v>
      </c>
      <c r="K3243" t="s">
        <v>122</v>
      </c>
      <c r="L3243" t="s">
        <v>160</v>
      </c>
      <c r="M3243" t="s">
        <v>161</v>
      </c>
      <c r="N3243" t="s">
        <v>107</v>
      </c>
      <c r="O3243" t="s">
        <v>97</v>
      </c>
    </row>
    <row r="3244" spans="1:15" x14ac:dyDescent="0.2">
      <c r="A3244">
        <v>390</v>
      </c>
      <c r="B3244">
        <v>391</v>
      </c>
      <c r="C3244">
        <v>390</v>
      </c>
      <c r="D3244">
        <v>389</v>
      </c>
      <c r="E3244" t="s">
        <v>57</v>
      </c>
      <c r="F3244" t="s">
        <v>76</v>
      </c>
      <c r="G3244">
        <v>101</v>
      </c>
      <c r="H3244" t="s">
        <v>208</v>
      </c>
      <c r="I3244">
        <v>0</v>
      </c>
      <c r="J3244">
        <v>1</v>
      </c>
      <c r="K3244" t="e">
        <v>#N/A</v>
      </c>
      <c r="L3244" t="e">
        <v>#N/A</v>
      </c>
      <c r="M3244" t="e">
        <v>#N/A</v>
      </c>
      <c r="N3244" t="e">
        <v>#N/A</v>
      </c>
      <c r="O3244" t="s">
        <v>97</v>
      </c>
    </row>
    <row r="3245" spans="1:15" x14ac:dyDescent="0.2">
      <c r="A3245">
        <v>380</v>
      </c>
      <c r="B3245">
        <v>381</v>
      </c>
      <c r="C3245">
        <v>380</v>
      </c>
      <c r="D3245">
        <v>379</v>
      </c>
      <c r="E3245" t="s">
        <v>57</v>
      </c>
      <c r="F3245" t="s">
        <v>75</v>
      </c>
      <c r="G3245">
        <v>101</v>
      </c>
      <c r="H3245" t="s">
        <v>208</v>
      </c>
      <c r="I3245">
        <v>0</v>
      </c>
      <c r="J3245">
        <v>1</v>
      </c>
      <c r="K3245" t="e">
        <v>#N/A</v>
      </c>
      <c r="L3245" t="e">
        <v>#N/A</v>
      </c>
      <c r="M3245" t="e">
        <v>#N/A</v>
      </c>
      <c r="N3245" t="e">
        <v>#N/A</v>
      </c>
      <c r="O3245" t="s">
        <v>97</v>
      </c>
    </row>
    <row r="3246" spans="1:15" x14ac:dyDescent="0.2">
      <c r="A3246">
        <v>375</v>
      </c>
      <c r="B3246">
        <v>376</v>
      </c>
      <c r="C3246">
        <v>375</v>
      </c>
      <c r="D3246">
        <v>374</v>
      </c>
      <c r="E3246" t="s">
        <v>57</v>
      </c>
      <c r="F3246" t="s">
        <v>74</v>
      </c>
      <c r="G3246">
        <v>101</v>
      </c>
      <c r="H3246" t="s">
        <v>208</v>
      </c>
      <c r="I3246">
        <v>0</v>
      </c>
      <c r="J3246">
        <v>1</v>
      </c>
      <c r="K3246" t="e">
        <v>#N/A</v>
      </c>
      <c r="L3246" t="e">
        <v>#N/A</v>
      </c>
      <c r="M3246" t="e">
        <v>#N/A</v>
      </c>
      <c r="N3246" t="e">
        <v>#N/A</v>
      </c>
      <c r="O3246" t="s">
        <v>97</v>
      </c>
    </row>
    <row r="3247" spans="1:15" x14ac:dyDescent="0.2">
      <c r="A3247">
        <v>370</v>
      </c>
      <c r="B3247">
        <v>371</v>
      </c>
      <c r="C3247">
        <v>370</v>
      </c>
      <c r="D3247">
        <v>369</v>
      </c>
      <c r="E3247" t="s">
        <v>57</v>
      </c>
      <c r="F3247" t="s">
        <v>73</v>
      </c>
      <c r="G3247">
        <v>101</v>
      </c>
      <c r="H3247" t="s">
        <v>208</v>
      </c>
      <c r="I3247">
        <v>0</v>
      </c>
      <c r="J3247">
        <v>1</v>
      </c>
      <c r="K3247" t="e">
        <v>#N/A</v>
      </c>
      <c r="L3247" t="e">
        <v>#N/A</v>
      </c>
      <c r="M3247" t="e">
        <v>#N/A</v>
      </c>
      <c r="N3247" t="e">
        <v>#N/A</v>
      </c>
      <c r="O3247" t="s">
        <v>97</v>
      </c>
    </row>
    <row r="3248" spans="1:15" x14ac:dyDescent="0.2">
      <c r="A3248">
        <v>365</v>
      </c>
      <c r="B3248">
        <v>366</v>
      </c>
      <c r="C3248">
        <v>365</v>
      </c>
      <c r="D3248">
        <v>364</v>
      </c>
      <c r="E3248" t="s">
        <v>57</v>
      </c>
      <c r="F3248" t="s">
        <v>72</v>
      </c>
      <c r="G3248">
        <v>101</v>
      </c>
      <c r="H3248" t="s">
        <v>208</v>
      </c>
      <c r="I3248">
        <v>0</v>
      </c>
      <c r="J3248">
        <v>1</v>
      </c>
      <c r="K3248" t="e">
        <v>#N/A</v>
      </c>
      <c r="L3248" t="e">
        <v>#N/A</v>
      </c>
      <c r="M3248" t="e">
        <v>#N/A</v>
      </c>
      <c r="N3248" t="e">
        <v>#N/A</v>
      </c>
      <c r="O3248" t="s">
        <v>97</v>
      </c>
    </row>
    <row r="3249" spans="1:15" x14ac:dyDescent="0.2">
      <c r="A3249">
        <v>350</v>
      </c>
      <c r="B3249">
        <v>351</v>
      </c>
      <c r="C3249">
        <v>350</v>
      </c>
      <c r="D3249">
        <v>349</v>
      </c>
      <c r="E3249" t="s">
        <v>57</v>
      </c>
      <c r="F3249" t="s">
        <v>70</v>
      </c>
      <c r="G3249">
        <v>101</v>
      </c>
      <c r="H3249" t="s">
        <v>208</v>
      </c>
      <c r="I3249">
        <v>0</v>
      </c>
      <c r="J3249">
        <v>1</v>
      </c>
      <c r="K3249" t="e">
        <v>#N/A</v>
      </c>
      <c r="L3249" t="e">
        <v>#N/A</v>
      </c>
      <c r="M3249" t="e">
        <v>#N/A</v>
      </c>
      <c r="N3249" t="e">
        <v>#N/A</v>
      </c>
      <c r="O3249" t="s">
        <v>97</v>
      </c>
    </row>
    <row r="3250" spans="1:15" x14ac:dyDescent="0.2">
      <c r="A3250">
        <v>345</v>
      </c>
      <c r="B3250">
        <v>346</v>
      </c>
      <c r="C3250">
        <v>345</v>
      </c>
      <c r="D3250">
        <v>344</v>
      </c>
      <c r="E3250" t="s">
        <v>57</v>
      </c>
      <c r="F3250" t="s">
        <v>69</v>
      </c>
      <c r="G3250">
        <v>101</v>
      </c>
      <c r="H3250" t="s">
        <v>208</v>
      </c>
      <c r="I3250">
        <v>0</v>
      </c>
      <c r="J3250">
        <v>1</v>
      </c>
      <c r="K3250" t="e">
        <v>#N/A</v>
      </c>
      <c r="L3250" t="e">
        <v>#N/A</v>
      </c>
      <c r="M3250" t="e">
        <v>#N/A</v>
      </c>
      <c r="N3250" t="e">
        <v>#N/A</v>
      </c>
      <c r="O3250" t="s">
        <v>97</v>
      </c>
    </row>
    <row r="3251" spans="1:15" x14ac:dyDescent="0.2">
      <c r="A3251">
        <v>340</v>
      </c>
      <c r="B3251">
        <v>341</v>
      </c>
      <c r="C3251">
        <v>340</v>
      </c>
      <c r="D3251">
        <v>339</v>
      </c>
      <c r="E3251" t="s">
        <v>57</v>
      </c>
      <c r="F3251" t="s">
        <v>68</v>
      </c>
      <c r="G3251">
        <v>101</v>
      </c>
      <c r="H3251" t="s">
        <v>208</v>
      </c>
      <c r="I3251">
        <v>0</v>
      </c>
      <c r="J3251">
        <v>1</v>
      </c>
      <c r="K3251" t="e">
        <v>#N/A</v>
      </c>
      <c r="L3251" t="e">
        <v>#N/A</v>
      </c>
      <c r="M3251" t="e">
        <v>#N/A</v>
      </c>
      <c r="N3251" t="e">
        <v>#N/A</v>
      </c>
      <c r="O3251" t="s">
        <v>97</v>
      </c>
    </row>
    <row r="3252" spans="1:15" x14ac:dyDescent="0.2">
      <c r="A3252">
        <v>335</v>
      </c>
      <c r="B3252">
        <v>336</v>
      </c>
      <c r="C3252">
        <v>335</v>
      </c>
      <c r="D3252">
        <v>334</v>
      </c>
      <c r="E3252" t="s">
        <v>57</v>
      </c>
      <c r="F3252" t="s">
        <v>67</v>
      </c>
      <c r="G3252">
        <v>101</v>
      </c>
      <c r="H3252" t="s">
        <v>208</v>
      </c>
      <c r="I3252">
        <v>0</v>
      </c>
      <c r="J3252">
        <v>1</v>
      </c>
      <c r="K3252" t="e">
        <v>#N/A</v>
      </c>
      <c r="L3252" t="e">
        <v>#N/A</v>
      </c>
      <c r="M3252" t="e">
        <v>#N/A</v>
      </c>
      <c r="N3252" t="e">
        <v>#N/A</v>
      </c>
      <c r="O3252" t="s">
        <v>97</v>
      </c>
    </row>
    <row r="3253" spans="1:15" x14ac:dyDescent="0.2">
      <c r="A3253">
        <v>330</v>
      </c>
      <c r="B3253">
        <v>331</v>
      </c>
      <c r="C3253">
        <v>330</v>
      </c>
      <c r="D3253">
        <v>329</v>
      </c>
      <c r="E3253" t="s">
        <v>57</v>
      </c>
      <c r="F3253" t="s">
        <v>66</v>
      </c>
      <c r="G3253">
        <v>101</v>
      </c>
      <c r="H3253" t="s">
        <v>208</v>
      </c>
      <c r="I3253">
        <v>0</v>
      </c>
      <c r="J3253">
        <v>1</v>
      </c>
      <c r="K3253" t="e">
        <v>#N/A</v>
      </c>
      <c r="L3253" t="e">
        <v>#N/A</v>
      </c>
      <c r="M3253" t="e">
        <v>#N/A</v>
      </c>
      <c r="N3253" t="e">
        <v>#N/A</v>
      </c>
      <c r="O3253" t="s">
        <v>97</v>
      </c>
    </row>
    <row r="3254" spans="1:15" x14ac:dyDescent="0.2">
      <c r="A3254">
        <v>325</v>
      </c>
      <c r="B3254">
        <v>326</v>
      </c>
      <c r="C3254">
        <v>325</v>
      </c>
      <c r="D3254">
        <v>324</v>
      </c>
      <c r="E3254" t="s">
        <v>57</v>
      </c>
      <c r="F3254" t="s">
        <v>65</v>
      </c>
      <c r="G3254">
        <v>101</v>
      </c>
      <c r="H3254" t="s">
        <v>208</v>
      </c>
      <c r="I3254">
        <v>0</v>
      </c>
      <c r="J3254">
        <v>1</v>
      </c>
      <c r="K3254" t="e">
        <v>#N/A</v>
      </c>
      <c r="L3254" t="e">
        <v>#N/A</v>
      </c>
      <c r="M3254" t="e">
        <v>#N/A</v>
      </c>
      <c r="N3254" t="e">
        <v>#N/A</v>
      </c>
      <c r="O3254" t="s">
        <v>97</v>
      </c>
    </row>
    <row r="3255" spans="1:15" x14ac:dyDescent="0.2">
      <c r="A3255">
        <v>14</v>
      </c>
      <c r="B3255">
        <v>15</v>
      </c>
      <c r="C3255">
        <v>14</v>
      </c>
      <c r="D3255">
        <v>13</v>
      </c>
      <c r="E3255" t="s">
        <v>30</v>
      </c>
      <c r="F3255" t="s">
        <v>31</v>
      </c>
      <c r="G3255">
        <v>29</v>
      </c>
      <c r="H3255" t="s">
        <v>152</v>
      </c>
      <c r="I3255">
        <v>0</v>
      </c>
      <c r="J3255">
        <v>0</v>
      </c>
      <c r="K3255" t="s">
        <v>153</v>
      </c>
      <c r="L3255" t="s">
        <v>154</v>
      </c>
      <c r="M3255" t="s">
        <v>155</v>
      </c>
      <c r="N3255" t="s">
        <v>107</v>
      </c>
      <c r="O3255" t="s">
        <v>97</v>
      </c>
    </row>
    <row r="3256" spans="1:15" x14ac:dyDescent="0.2">
      <c r="A3256">
        <v>315</v>
      </c>
      <c r="B3256">
        <v>316</v>
      </c>
      <c r="C3256">
        <v>315</v>
      </c>
      <c r="D3256">
        <v>314</v>
      </c>
      <c r="E3256" t="s">
        <v>57</v>
      </c>
      <c r="F3256" t="s">
        <v>63</v>
      </c>
      <c r="G3256">
        <v>101</v>
      </c>
      <c r="H3256" t="s">
        <v>208</v>
      </c>
      <c r="I3256">
        <v>0</v>
      </c>
      <c r="J3256">
        <v>1</v>
      </c>
      <c r="K3256" t="e">
        <v>#N/A</v>
      </c>
      <c r="L3256" t="e">
        <v>#N/A</v>
      </c>
      <c r="M3256" t="e">
        <v>#N/A</v>
      </c>
      <c r="N3256" t="e">
        <v>#N/A</v>
      </c>
      <c r="O3256" t="s">
        <v>97</v>
      </c>
    </row>
    <row r="3257" spans="1:15" x14ac:dyDescent="0.2">
      <c r="A3257">
        <v>300</v>
      </c>
      <c r="B3257">
        <v>301</v>
      </c>
      <c r="C3257">
        <v>300</v>
      </c>
      <c r="D3257">
        <v>299</v>
      </c>
      <c r="E3257" t="s">
        <v>57</v>
      </c>
      <c r="F3257" t="s">
        <v>62</v>
      </c>
      <c r="G3257">
        <v>101</v>
      </c>
      <c r="H3257" t="s">
        <v>208</v>
      </c>
      <c r="I3257">
        <v>0</v>
      </c>
      <c r="J3257">
        <v>1</v>
      </c>
      <c r="K3257" t="e">
        <v>#N/A</v>
      </c>
      <c r="L3257" t="e">
        <v>#N/A</v>
      </c>
      <c r="M3257" t="e">
        <v>#N/A</v>
      </c>
      <c r="N3257" t="e">
        <v>#N/A</v>
      </c>
      <c r="O3257" t="s">
        <v>97</v>
      </c>
    </row>
    <row r="3258" spans="1:15" x14ac:dyDescent="0.2">
      <c r="A3258">
        <v>14</v>
      </c>
      <c r="B3258">
        <v>15</v>
      </c>
      <c r="C3258">
        <v>14</v>
      </c>
      <c r="D3258">
        <v>13</v>
      </c>
      <c r="E3258" t="s">
        <v>30</v>
      </c>
      <c r="F3258" t="s">
        <v>31</v>
      </c>
      <c r="G3258">
        <v>30</v>
      </c>
      <c r="H3258" t="s">
        <v>162</v>
      </c>
      <c r="I3258">
        <v>0.5</v>
      </c>
      <c r="J3258">
        <v>1</v>
      </c>
      <c r="K3258" t="s">
        <v>112</v>
      </c>
      <c r="L3258" t="s">
        <v>163</v>
      </c>
      <c r="M3258" t="s">
        <v>164</v>
      </c>
      <c r="N3258" t="s">
        <v>107</v>
      </c>
      <c r="O3258" t="s">
        <v>97</v>
      </c>
    </row>
    <row r="3259" spans="1:15" x14ac:dyDescent="0.2">
      <c r="A3259">
        <v>290</v>
      </c>
      <c r="B3259">
        <v>291</v>
      </c>
      <c r="C3259">
        <v>290</v>
      </c>
      <c r="D3259">
        <v>289</v>
      </c>
      <c r="E3259" t="s">
        <v>57</v>
      </c>
      <c r="F3259" t="s">
        <v>61</v>
      </c>
      <c r="G3259">
        <v>101</v>
      </c>
      <c r="H3259" t="s">
        <v>208</v>
      </c>
      <c r="I3259">
        <v>0</v>
      </c>
      <c r="J3259">
        <v>1</v>
      </c>
      <c r="K3259" t="e">
        <v>#N/A</v>
      </c>
      <c r="L3259" t="e">
        <v>#N/A</v>
      </c>
      <c r="M3259" t="e">
        <v>#N/A</v>
      </c>
      <c r="N3259" t="e">
        <v>#N/A</v>
      </c>
      <c r="O3259" t="s">
        <v>97</v>
      </c>
    </row>
    <row r="3260" spans="1:15" x14ac:dyDescent="0.2">
      <c r="A3260">
        <v>285</v>
      </c>
      <c r="B3260">
        <v>286</v>
      </c>
      <c r="C3260">
        <v>285</v>
      </c>
      <c r="D3260">
        <v>284</v>
      </c>
      <c r="E3260" t="s">
        <v>57</v>
      </c>
      <c r="F3260" t="s">
        <v>60</v>
      </c>
      <c r="G3260">
        <v>101</v>
      </c>
      <c r="H3260" t="s">
        <v>208</v>
      </c>
      <c r="I3260">
        <v>0</v>
      </c>
      <c r="J3260">
        <v>1</v>
      </c>
      <c r="K3260" t="e">
        <v>#N/A</v>
      </c>
      <c r="L3260" t="e">
        <v>#N/A</v>
      </c>
      <c r="M3260" t="e">
        <v>#N/A</v>
      </c>
      <c r="N3260" t="e">
        <v>#N/A</v>
      </c>
      <c r="O3260" t="s">
        <v>97</v>
      </c>
    </row>
    <row r="3261" spans="1:15" x14ac:dyDescent="0.2">
      <c r="A3261">
        <v>280</v>
      </c>
      <c r="B3261">
        <v>281</v>
      </c>
      <c r="C3261">
        <v>280</v>
      </c>
      <c r="D3261">
        <v>279</v>
      </c>
      <c r="E3261" t="s">
        <v>57</v>
      </c>
      <c r="F3261" t="s">
        <v>59</v>
      </c>
      <c r="G3261">
        <v>101</v>
      </c>
      <c r="H3261" t="s">
        <v>208</v>
      </c>
      <c r="I3261">
        <v>0</v>
      </c>
      <c r="J3261">
        <v>1</v>
      </c>
      <c r="K3261" t="e">
        <v>#N/A</v>
      </c>
      <c r="L3261" t="e">
        <v>#N/A</v>
      </c>
      <c r="M3261" t="e">
        <v>#N/A</v>
      </c>
      <c r="N3261" t="e">
        <v>#N/A</v>
      </c>
      <c r="O3261" t="s">
        <v>97</v>
      </c>
    </row>
    <row r="3262" spans="1:15" x14ac:dyDescent="0.2">
      <c r="A3262">
        <v>14</v>
      </c>
      <c r="B3262">
        <v>15</v>
      </c>
      <c r="C3262">
        <v>14</v>
      </c>
      <c r="D3262">
        <v>13</v>
      </c>
      <c r="E3262" t="s">
        <v>30</v>
      </c>
      <c r="F3262" t="s">
        <v>31</v>
      </c>
      <c r="G3262">
        <v>31</v>
      </c>
      <c r="H3262" t="s">
        <v>162</v>
      </c>
      <c r="I3262">
        <v>0</v>
      </c>
      <c r="J3262">
        <v>0</v>
      </c>
      <c r="K3262" t="s">
        <v>112</v>
      </c>
      <c r="L3262" t="s">
        <v>163</v>
      </c>
      <c r="M3262" t="s">
        <v>164</v>
      </c>
      <c r="N3262" t="s">
        <v>107</v>
      </c>
      <c r="O3262" t="s">
        <v>97</v>
      </c>
    </row>
    <row r="3263" spans="1:15" x14ac:dyDescent="0.2">
      <c r="A3263">
        <v>260</v>
      </c>
      <c r="B3263">
        <v>261</v>
      </c>
      <c r="C3263">
        <v>260</v>
      </c>
      <c r="D3263">
        <v>259</v>
      </c>
      <c r="E3263" t="s">
        <v>57</v>
      </c>
      <c r="F3263" t="s">
        <v>58</v>
      </c>
      <c r="G3263">
        <v>101</v>
      </c>
      <c r="H3263" t="s">
        <v>208</v>
      </c>
      <c r="I3263">
        <v>0</v>
      </c>
      <c r="J3263">
        <v>1</v>
      </c>
      <c r="K3263" t="e">
        <v>#N/A</v>
      </c>
      <c r="L3263" t="e">
        <v>#N/A</v>
      </c>
      <c r="M3263" t="e">
        <v>#N/A</v>
      </c>
      <c r="N3263" t="e">
        <v>#N/A</v>
      </c>
      <c r="O3263" t="s">
        <v>97</v>
      </c>
    </row>
    <row r="3264" spans="1:15" x14ac:dyDescent="0.2">
      <c r="A3264">
        <v>14</v>
      </c>
      <c r="B3264">
        <v>15</v>
      </c>
      <c r="C3264">
        <v>14</v>
      </c>
      <c r="D3264">
        <v>13</v>
      </c>
      <c r="E3264" t="s">
        <v>30</v>
      </c>
      <c r="F3264" t="s">
        <v>31</v>
      </c>
      <c r="G3264">
        <v>32</v>
      </c>
      <c r="H3264" t="s">
        <v>162</v>
      </c>
      <c r="I3264">
        <v>0</v>
      </c>
      <c r="J3264">
        <v>0</v>
      </c>
      <c r="K3264" t="s">
        <v>112</v>
      </c>
      <c r="L3264" t="s">
        <v>163</v>
      </c>
      <c r="M3264" t="s">
        <v>164</v>
      </c>
      <c r="N3264" t="s">
        <v>107</v>
      </c>
      <c r="O3264" t="s">
        <v>97</v>
      </c>
    </row>
    <row r="3265" spans="1:15" x14ac:dyDescent="0.2">
      <c r="A3265">
        <v>14</v>
      </c>
      <c r="B3265">
        <v>15</v>
      </c>
      <c r="C3265">
        <v>14</v>
      </c>
      <c r="D3265">
        <v>13</v>
      </c>
      <c r="E3265" t="s">
        <v>30</v>
      </c>
      <c r="F3265" t="s">
        <v>31</v>
      </c>
      <c r="G3265">
        <v>33</v>
      </c>
      <c r="H3265" t="s">
        <v>152</v>
      </c>
      <c r="I3265">
        <v>1</v>
      </c>
      <c r="J3265">
        <v>1</v>
      </c>
      <c r="K3265" t="s">
        <v>153</v>
      </c>
      <c r="L3265" t="s">
        <v>154</v>
      </c>
      <c r="M3265" t="s">
        <v>155</v>
      </c>
      <c r="N3265" t="s">
        <v>107</v>
      </c>
      <c r="O3265" t="s">
        <v>97</v>
      </c>
    </row>
    <row r="3266" spans="1:15" x14ac:dyDescent="0.2">
      <c r="A3266">
        <v>14</v>
      </c>
      <c r="B3266">
        <v>15</v>
      </c>
      <c r="C3266">
        <v>14</v>
      </c>
      <c r="D3266">
        <v>13</v>
      </c>
      <c r="E3266" t="s">
        <v>30</v>
      </c>
      <c r="F3266" t="s">
        <v>31</v>
      </c>
      <c r="G3266">
        <v>34</v>
      </c>
      <c r="H3266" t="s">
        <v>152</v>
      </c>
      <c r="I3266">
        <v>0</v>
      </c>
      <c r="J3266">
        <v>0</v>
      </c>
      <c r="K3266" t="s">
        <v>153</v>
      </c>
      <c r="L3266" t="s">
        <v>154</v>
      </c>
      <c r="M3266" t="s">
        <v>155</v>
      </c>
      <c r="N3266" t="s">
        <v>107</v>
      </c>
      <c r="O3266" t="s">
        <v>97</v>
      </c>
    </row>
    <row r="3267" spans="1:15" x14ac:dyDescent="0.2">
      <c r="A3267">
        <v>239</v>
      </c>
      <c r="B3267">
        <v>240</v>
      </c>
      <c r="C3267">
        <v>239</v>
      </c>
      <c r="D3267">
        <v>238</v>
      </c>
      <c r="E3267" t="s">
        <v>251</v>
      </c>
      <c r="F3267" t="s">
        <v>49</v>
      </c>
      <c r="G3267">
        <v>101</v>
      </c>
      <c r="H3267" t="s">
        <v>208</v>
      </c>
      <c r="I3267">
        <v>0</v>
      </c>
      <c r="J3267">
        <v>1</v>
      </c>
      <c r="K3267" t="e">
        <v>#N/A</v>
      </c>
      <c r="L3267" t="e">
        <v>#N/A</v>
      </c>
      <c r="M3267" t="e">
        <v>#N/A</v>
      </c>
      <c r="N3267" t="e">
        <v>#N/A</v>
      </c>
      <c r="O3267" t="s">
        <v>97</v>
      </c>
    </row>
    <row r="3268" spans="1:15" x14ac:dyDescent="0.2">
      <c r="A3268">
        <v>234</v>
      </c>
      <c r="B3268">
        <v>235</v>
      </c>
      <c r="C3268">
        <v>234</v>
      </c>
      <c r="D3268">
        <v>233</v>
      </c>
      <c r="E3268" t="s">
        <v>251</v>
      </c>
      <c r="F3268" t="s">
        <v>48</v>
      </c>
      <c r="G3268">
        <v>101</v>
      </c>
      <c r="H3268" t="s">
        <v>208</v>
      </c>
      <c r="I3268">
        <v>0</v>
      </c>
      <c r="J3268">
        <v>1</v>
      </c>
      <c r="K3268" t="e">
        <v>#N/A</v>
      </c>
      <c r="L3268" t="e">
        <v>#N/A</v>
      </c>
      <c r="M3268" t="e">
        <v>#N/A</v>
      </c>
      <c r="N3268" t="e">
        <v>#N/A</v>
      </c>
      <c r="O3268" t="s">
        <v>97</v>
      </c>
    </row>
    <row r="3269" spans="1:15" x14ac:dyDescent="0.2">
      <c r="A3269">
        <v>229</v>
      </c>
      <c r="B3269">
        <v>230</v>
      </c>
      <c r="C3269">
        <v>229</v>
      </c>
      <c r="D3269">
        <v>228</v>
      </c>
      <c r="E3269" t="s">
        <v>251</v>
      </c>
      <c r="F3269" t="s">
        <v>47</v>
      </c>
      <c r="G3269">
        <v>101</v>
      </c>
      <c r="H3269" t="s">
        <v>208</v>
      </c>
      <c r="I3269">
        <v>0</v>
      </c>
      <c r="J3269">
        <v>1</v>
      </c>
      <c r="K3269" t="e">
        <v>#N/A</v>
      </c>
      <c r="L3269" t="e">
        <v>#N/A</v>
      </c>
      <c r="M3269" t="e">
        <v>#N/A</v>
      </c>
      <c r="N3269" t="e">
        <v>#N/A</v>
      </c>
      <c r="O3269" t="s">
        <v>97</v>
      </c>
    </row>
    <row r="3270" spans="1:15" x14ac:dyDescent="0.2">
      <c r="A3270">
        <v>234</v>
      </c>
      <c r="B3270">
        <v>235</v>
      </c>
      <c r="C3270">
        <v>234</v>
      </c>
      <c r="D3270">
        <v>233</v>
      </c>
      <c r="E3270" t="s">
        <v>251</v>
      </c>
      <c r="F3270" t="s">
        <v>48</v>
      </c>
      <c r="G3270">
        <v>101</v>
      </c>
      <c r="H3270" t="s">
        <v>208</v>
      </c>
      <c r="I3270">
        <v>0</v>
      </c>
      <c r="J3270">
        <v>1</v>
      </c>
      <c r="K3270" t="e">
        <v>#N/A</v>
      </c>
      <c r="L3270" t="e">
        <v>#N/A</v>
      </c>
      <c r="M3270" t="e">
        <v>#N/A</v>
      </c>
      <c r="N3270" t="e">
        <v>#N/A</v>
      </c>
      <c r="O3270" t="s">
        <v>97</v>
      </c>
    </row>
    <row r="3271" spans="1:15" x14ac:dyDescent="0.2">
      <c r="A3271">
        <v>229</v>
      </c>
      <c r="B3271">
        <v>230</v>
      </c>
      <c r="C3271">
        <v>229</v>
      </c>
      <c r="D3271">
        <v>228</v>
      </c>
      <c r="E3271" t="s">
        <v>251</v>
      </c>
      <c r="F3271" t="s">
        <v>47</v>
      </c>
      <c r="G3271">
        <v>101</v>
      </c>
      <c r="H3271" t="s">
        <v>208</v>
      </c>
      <c r="I3271">
        <v>0</v>
      </c>
      <c r="J3271">
        <v>1</v>
      </c>
      <c r="K3271" t="e">
        <v>#N/A</v>
      </c>
      <c r="L3271" t="e">
        <v>#N/A</v>
      </c>
      <c r="M3271" t="e">
        <v>#N/A</v>
      </c>
      <c r="N3271" t="e">
        <v>#N/A</v>
      </c>
      <c r="O3271" t="s">
        <v>97</v>
      </c>
    </row>
    <row r="3272" spans="1:15" x14ac:dyDescent="0.2">
      <c r="A3272">
        <v>44</v>
      </c>
      <c r="B3272">
        <v>45</v>
      </c>
      <c r="C3272">
        <v>44</v>
      </c>
      <c r="D3272">
        <v>43</v>
      </c>
      <c r="E3272" t="s">
        <v>30</v>
      </c>
      <c r="F3272" t="s">
        <v>38</v>
      </c>
      <c r="G3272">
        <v>101</v>
      </c>
      <c r="H3272" t="s">
        <v>208</v>
      </c>
      <c r="I3272">
        <v>0</v>
      </c>
      <c r="J3272">
        <v>1</v>
      </c>
      <c r="K3272" t="e">
        <v>#N/A</v>
      </c>
      <c r="L3272" t="e">
        <v>#N/A</v>
      </c>
      <c r="M3272" t="e">
        <v>#N/A</v>
      </c>
      <c r="N3272" t="e">
        <v>#N/A</v>
      </c>
      <c r="O3272" t="s">
        <v>97</v>
      </c>
    </row>
    <row r="3273" spans="1:15" x14ac:dyDescent="0.2">
      <c r="A3273">
        <v>410</v>
      </c>
      <c r="B3273">
        <v>411</v>
      </c>
      <c r="C3273">
        <v>410</v>
      </c>
      <c r="D3273">
        <v>409</v>
      </c>
      <c r="E3273" t="s">
        <v>57</v>
      </c>
      <c r="F3273" t="s">
        <v>78</v>
      </c>
      <c r="G3273">
        <v>101</v>
      </c>
      <c r="H3273" t="s">
        <v>208</v>
      </c>
      <c r="I3273">
        <v>0</v>
      </c>
      <c r="J3273">
        <v>1</v>
      </c>
      <c r="K3273" t="e">
        <v>#N/A</v>
      </c>
      <c r="L3273" t="e">
        <v>#N/A</v>
      </c>
      <c r="M3273" t="e">
        <v>#N/A</v>
      </c>
      <c r="N3273" t="e">
        <v>#N/A</v>
      </c>
      <c r="O3273" t="s">
        <v>97</v>
      </c>
    </row>
    <row r="3274" spans="1:15" x14ac:dyDescent="0.2">
      <c r="A3274">
        <v>14</v>
      </c>
      <c r="B3274">
        <v>15</v>
      </c>
      <c r="C3274">
        <v>14</v>
      </c>
      <c r="D3274">
        <v>13</v>
      </c>
      <c r="E3274" t="s">
        <v>30</v>
      </c>
      <c r="F3274" t="s">
        <v>31</v>
      </c>
      <c r="G3274">
        <v>35</v>
      </c>
      <c r="H3274" t="s">
        <v>165</v>
      </c>
      <c r="I3274">
        <v>0</v>
      </c>
      <c r="J3274">
        <v>1</v>
      </c>
      <c r="K3274" t="s">
        <v>166</v>
      </c>
      <c r="L3274" t="s">
        <v>167</v>
      </c>
      <c r="M3274" t="s">
        <v>168</v>
      </c>
      <c r="N3274" t="s">
        <v>107</v>
      </c>
      <c r="O3274" t="s">
        <v>97</v>
      </c>
    </row>
    <row r="3275" spans="1:15" x14ac:dyDescent="0.2">
      <c r="A3275">
        <v>360</v>
      </c>
      <c r="B3275">
        <v>361</v>
      </c>
      <c r="C3275">
        <v>360</v>
      </c>
      <c r="D3275">
        <v>359</v>
      </c>
      <c r="E3275" t="s">
        <v>57</v>
      </c>
      <c r="F3275" t="s">
        <v>64</v>
      </c>
      <c r="G3275">
        <v>101</v>
      </c>
      <c r="H3275" t="s">
        <v>208</v>
      </c>
      <c r="I3275">
        <v>0</v>
      </c>
      <c r="J3275">
        <v>1</v>
      </c>
      <c r="K3275" t="e">
        <v>#N/A</v>
      </c>
      <c r="L3275" t="e">
        <v>#N/A</v>
      </c>
      <c r="M3275" t="e">
        <v>#N/A</v>
      </c>
      <c r="N3275" t="e">
        <v>#N/A</v>
      </c>
      <c r="O3275" t="s">
        <v>97</v>
      </c>
    </row>
    <row r="3276" spans="1:15" x14ac:dyDescent="0.2">
      <c r="A3276">
        <v>355</v>
      </c>
      <c r="B3276">
        <v>356</v>
      </c>
      <c r="C3276">
        <v>355</v>
      </c>
      <c r="D3276">
        <v>354</v>
      </c>
      <c r="E3276" t="s">
        <v>57</v>
      </c>
      <c r="F3276" t="s">
        <v>71</v>
      </c>
      <c r="G3276">
        <v>101</v>
      </c>
      <c r="H3276" t="s">
        <v>208</v>
      </c>
      <c r="I3276">
        <v>0</v>
      </c>
      <c r="J3276">
        <v>1</v>
      </c>
      <c r="K3276" t="e">
        <v>#N/A</v>
      </c>
      <c r="L3276" t="e">
        <v>#N/A</v>
      </c>
      <c r="M3276" t="e">
        <v>#N/A</v>
      </c>
      <c r="N3276" t="e">
        <v>#N/A</v>
      </c>
      <c r="O3276" t="s">
        <v>97</v>
      </c>
    </row>
    <row r="3277" spans="1:15" x14ac:dyDescent="0.2">
      <c r="A3277">
        <v>75</v>
      </c>
      <c r="B3277">
        <v>76</v>
      </c>
      <c r="C3277">
        <v>75</v>
      </c>
      <c r="D3277">
        <v>74</v>
      </c>
      <c r="E3277" t="s">
        <v>5</v>
      </c>
      <c r="F3277" t="s">
        <v>6</v>
      </c>
      <c r="G3277">
        <v>102</v>
      </c>
      <c r="H3277" t="s">
        <v>209</v>
      </c>
      <c r="I3277">
        <v>1</v>
      </c>
      <c r="J3277">
        <v>1</v>
      </c>
      <c r="K3277" t="e">
        <v>#N/A</v>
      </c>
      <c r="L3277" t="e">
        <v>#N/A</v>
      </c>
      <c r="M3277" t="e">
        <v>#N/A</v>
      </c>
      <c r="N3277" t="e">
        <v>#N/A</v>
      </c>
      <c r="O3277" t="s">
        <v>97</v>
      </c>
    </row>
    <row r="3278" spans="1:15" x14ac:dyDescent="0.2">
      <c r="A3278">
        <v>80</v>
      </c>
      <c r="B3278">
        <v>81</v>
      </c>
      <c r="C3278">
        <v>80</v>
      </c>
      <c r="D3278">
        <v>79</v>
      </c>
      <c r="E3278" t="s">
        <v>5</v>
      </c>
      <c r="F3278" t="s">
        <v>9</v>
      </c>
      <c r="G3278">
        <v>102</v>
      </c>
      <c r="H3278" t="s">
        <v>209</v>
      </c>
      <c r="I3278">
        <v>1</v>
      </c>
      <c r="J3278">
        <v>1</v>
      </c>
      <c r="K3278" t="e">
        <v>#N/A</v>
      </c>
      <c r="L3278" t="e">
        <v>#N/A</v>
      </c>
      <c r="M3278" t="e">
        <v>#N/A</v>
      </c>
      <c r="N3278" t="e">
        <v>#N/A</v>
      </c>
      <c r="O3278" t="s">
        <v>97</v>
      </c>
    </row>
    <row r="3279" spans="1:15" x14ac:dyDescent="0.2">
      <c r="A3279">
        <v>14</v>
      </c>
      <c r="B3279">
        <v>15</v>
      </c>
      <c r="C3279">
        <v>14</v>
      </c>
      <c r="D3279">
        <v>13</v>
      </c>
      <c r="E3279" t="s">
        <v>30</v>
      </c>
      <c r="F3279" t="s">
        <v>31</v>
      </c>
      <c r="G3279">
        <v>36</v>
      </c>
      <c r="H3279" t="s">
        <v>169</v>
      </c>
      <c r="I3279">
        <v>0</v>
      </c>
      <c r="J3279">
        <v>0</v>
      </c>
      <c r="K3279" t="e">
        <v>#N/A</v>
      </c>
      <c r="L3279" t="e">
        <v>#N/A</v>
      </c>
      <c r="M3279" t="e">
        <v>#N/A</v>
      </c>
      <c r="N3279" t="e">
        <v>#N/A</v>
      </c>
      <c r="O3279" t="s">
        <v>97</v>
      </c>
    </row>
    <row r="3280" spans="1:15" x14ac:dyDescent="0.2">
      <c r="A3280">
        <v>90</v>
      </c>
      <c r="B3280">
        <v>91</v>
      </c>
      <c r="C3280">
        <v>90</v>
      </c>
      <c r="D3280">
        <v>89</v>
      </c>
      <c r="E3280" t="s">
        <v>5</v>
      </c>
      <c r="F3280" t="s">
        <v>11</v>
      </c>
      <c r="G3280">
        <v>102</v>
      </c>
      <c r="H3280" t="s">
        <v>209</v>
      </c>
      <c r="I3280">
        <v>1</v>
      </c>
      <c r="J3280">
        <v>1</v>
      </c>
      <c r="K3280" t="e">
        <v>#N/A</v>
      </c>
      <c r="L3280" t="e">
        <v>#N/A</v>
      </c>
      <c r="M3280" t="e">
        <v>#N/A</v>
      </c>
      <c r="N3280" t="e">
        <v>#N/A</v>
      </c>
      <c r="O3280" t="s">
        <v>97</v>
      </c>
    </row>
    <row r="3281" spans="1:15" x14ac:dyDescent="0.2">
      <c r="A3281">
        <v>95</v>
      </c>
      <c r="B3281">
        <v>96</v>
      </c>
      <c r="C3281">
        <v>95</v>
      </c>
      <c r="D3281">
        <v>94</v>
      </c>
      <c r="E3281" t="s">
        <v>5</v>
      </c>
      <c r="F3281" t="s">
        <v>12</v>
      </c>
      <c r="G3281">
        <v>102</v>
      </c>
      <c r="H3281" t="s">
        <v>209</v>
      </c>
      <c r="I3281">
        <v>1</v>
      </c>
      <c r="J3281">
        <v>1</v>
      </c>
      <c r="K3281" t="e">
        <v>#N/A</v>
      </c>
      <c r="L3281" t="e">
        <v>#N/A</v>
      </c>
      <c r="M3281" t="e">
        <v>#N/A</v>
      </c>
      <c r="N3281" t="e">
        <v>#N/A</v>
      </c>
      <c r="O3281" t="s">
        <v>97</v>
      </c>
    </row>
    <row r="3282" spans="1:15" x14ac:dyDescent="0.2">
      <c r="A3282">
        <v>100</v>
      </c>
      <c r="B3282">
        <v>101</v>
      </c>
      <c r="C3282">
        <v>100</v>
      </c>
      <c r="D3282">
        <v>99</v>
      </c>
      <c r="E3282" t="s">
        <v>5</v>
      </c>
      <c r="F3282" t="s">
        <v>14</v>
      </c>
      <c r="G3282">
        <v>102</v>
      </c>
      <c r="H3282" t="s">
        <v>209</v>
      </c>
      <c r="I3282">
        <v>1</v>
      </c>
      <c r="J3282">
        <v>1</v>
      </c>
      <c r="K3282" t="e">
        <v>#N/A</v>
      </c>
      <c r="L3282" t="e">
        <v>#N/A</v>
      </c>
      <c r="M3282" t="e">
        <v>#N/A</v>
      </c>
      <c r="N3282" t="e">
        <v>#N/A</v>
      </c>
      <c r="O3282" t="s">
        <v>97</v>
      </c>
    </row>
    <row r="3283" spans="1:15" x14ac:dyDescent="0.2">
      <c r="A3283">
        <v>105</v>
      </c>
      <c r="B3283">
        <v>106</v>
      </c>
      <c r="C3283">
        <v>105</v>
      </c>
      <c r="D3283">
        <v>104</v>
      </c>
      <c r="E3283" t="s">
        <v>5</v>
      </c>
      <c r="F3283" t="s">
        <v>15</v>
      </c>
      <c r="G3283">
        <v>102</v>
      </c>
      <c r="H3283" t="s">
        <v>209</v>
      </c>
      <c r="I3283">
        <v>1</v>
      </c>
      <c r="J3283">
        <v>1</v>
      </c>
      <c r="K3283" t="e">
        <v>#N/A</v>
      </c>
      <c r="L3283" t="e">
        <v>#N/A</v>
      </c>
      <c r="M3283" t="e">
        <v>#N/A</v>
      </c>
      <c r="N3283" t="e">
        <v>#N/A</v>
      </c>
      <c r="O3283" t="s">
        <v>97</v>
      </c>
    </row>
    <row r="3284" spans="1:15" x14ac:dyDescent="0.2">
      <c r="A3284">
        <v>110</v>
      </c>
      <c r="B3284">
        <v>111</v>
      </c>
      <c r="C3284">
        <v>110</v>
      </c>
      <c r="D3284">
        <v>109</v>
      </c>
      <c r="E3284" t="s">
        <v>5</v>
      </c>
      <c r="F3284" t="s">
        <v>16</v>
      </c>
      <c r="G3284">
        <v>102</v>
      </c>
      <c r="H3284" t="s">
        <v>209</v>
      </c>
      <c r="I3284">
        <v>1</v>
      </c>
      <c r="J3284">
        <v>1</v>
      </c>
      <c r="K3284" t="e">
        <v>#N/A</v>
      </c>
      <c r="L3284" t="e">
        <v>#N/A</v>
      </c>
      <c r="M3284" t="e">
        <v>#N/A</v>
      </c>
      <c r="N3284" t="e">
        <v>#N/A</v>
      </c>
      <c r="O3284" t="s">
        <v>97</v>
      </c>
    </row>
    <row r="3285" spans="1:15" x14ac:dyDescent="0.2">
      <c r="A3285">
        <v>115</v>
      </c>
      <c r="B3285">
        <v>116</v>
      </c>
      <c r="C3285">
        <v>115</v>
      </c>
      <c r="D3285">
        <v>114</v>
      </c>
      <c r="E3285" t="s">
        <v>5</v>
      </c>
      <c r="F3285" t="s">
        <v>17</v>
      </c>
      <c r="G3285">
        <v>102</v>
      </c>
      <c r="H3285" t="s">
        <v>209</v>
      </c>
      <c r="I3285">
        <v>1</v>
      </c>
      <c r="J3285">
        <v>1</v>
      </c>
      <c r="K3285" t="e">
        <v>#N/A</v>
      </c>
      <c r="L3285" t="e">
        <v>#N/A</v>
      </c>
      <c r="M3285" t="e">
        <v>#N/A</v>
      </c>
      <c r="N3285" t="e">
        <v>#N/A</v>
      </c>
      <c r="O3285" t="s">
        <v>97</v>
      </c>
    </row>
    <row r="3286" spans="1:15" x14ac:dyDescent="0.2">
      <c r="A3286">
        <v>120</v>
      </c>
      <c r="B3286">
        <v>121</v>
      </c>
      <c r="C3286">
        <v>120</v>
      </c>
      <c r="D3286">
        <v>119</v>
      </c>
      <c r="E3286" t="s">
        <v>5</v>
      </c>
      <c r="F3286" t="s">
        <v>18</v>
      </c>
      <c r="G3286">
        <v>102</v>
      </c>
      <c r="H3286" t="s">
        <v>209</v>
      </c>
      <c r="I3286">
        <v>1</v>
      </c>
      <c r="J3286">
        <v>1</v>
      </c>
      <c r="K3286" t="e">
        <v>#N/A</v>
      </c>
      <c r="L3286" t="e">
        <v>#N/A</v>
      </c>
      <c r="M3286" t="e">
        <v>#N/A</v>
      </c>
      <c r="N3286" t="e">
        <v>#N/A</v>
      </c>
      <c r="O3286" t="s">
        <v>97</v>
      </c>
    </row>
    <row r="3287" spans="1:15" x14ac:dyDescent="0.2">
      <c r="A3287">
        <v>125</v>
      </c>
      <c r="B3287">
        <v>126</v>
      </c>
      <c r="C3287">
        <v>125</v>
      </c>
      <c r="D3287">
        <v>124</v>
      </c>
      <c r="E3287" t="s">
        <v>5</v>
      </c>
      <c r="F3287" t="s">
        <v>19</v>
      </c>
      <c r="G3287">
        <v>102</v>
      </c>
      <c r="H3287" t="s">
        <v>209</v>
      </c>
      <c r="I3287">
        <v>1</v>
      </c>
      <c r="J3287">
        <v>1</v>
      </c>
      <c r="K3287" t="e">
        <v>#N/A</v>
      </c>
      <c r="L3287" t="e">
        <v>#N/A</v>
      </c>
      <c r="M3287" t="e">
        <v>#N/A</v>
      </c>
      <c r="N3287" t="e">
        <v>#N/A</v>
      </c>
      <c r="O3287" t="s">
        <v>97</v>
      </c>
    </row>
    <row r="3288" spans="1:15" x14ac:dyDescent="0.2">
      <c r="A3288">
        <v>130</v>
      </c>
      <c r="B3288">
        <v>131</v>
      </c>
      <c r="C3288">
        <v>130</v>
      </c>
      <c r="D3288">
        <v>129</v>
      </c>
      <c r="E3288" t="s">
        <v>5</v>
      </c>
      <c r="F3288" t="s">
        <v>20</v>
      </c>
      <c r="G3288">
        <v>102</v>
      </c>
      <c r="H3288" t="s">
        <v>209</v>
      </c>
      <c r="I3288">
        <v>1</v>
      </c>
      <c r="J3288">
        <v>1</v>
      </c>
      <c r="K3288" t="e">
        <v>#N/A</v>
      </c>
      <c r="L3288" t="e">
        <v>#N/A</v>
      </c>
      <c r="M3288" t="e">
        <v>#N/A</v>
      </c>
      <c r="N3288" t="e">
        <v>#N/A</v>
      </c>
      <c r="O3288" t="s">
        <v>97</v>
      </c>
    </row>
    <row r="3289" spans="1:15" x14ac:dyDescent="0.2">
      <c r="A3289">
        <v>135</v>
      </c>
      <c r="B3289">
        <v>136</v>
      </c>
      <c r="C3289">
        <v>135</v>
      </c>
      <c r="D3289">
        <v>134</v>
      </c>
      <c r="E3289" t="s">
        <v>5</v>
      </c>
      <c r="F3289" t="s">
        <v>21</v>
      </c>
      <c r="G3289">
        <v>102</v>
      </c>
      <c r="H3289" t="s">
        <v>209</v>
      </c>
      <c r="I3289">
        <v>1</v>
      </c>
      <c r="J3289">
        <v>1</v>
      </c>
      <c r="K3289" t="e">
        <v>#N/A</v>
      </c>
      <c r="L3289" t="e">
        <v>#N/A</v>
      </c>
      <c r="M3289" t="e">
        <v>#N/A</v>
      </c>
      <c r="N3289" t="e">
        <v>#N/A</v>
      </c>
      <c r="O3289" t="s">
        <v>97</v>
      </c>
    </row>
    <row r="3290" spans="1:15" x14ac:dyDescent="0.2">
      <c r="A3290">
        <v>140</v>
      </c>
      <c r="B3290">
        <v>141</v>
      </c>
      <c r="C3290">
        <v>140</v>
      </c>
      <c r="D3290">
        <v>139</v>
      </c>
      <c r="E3290" t="s">
        <v>5</v>
      </c>
      <c r="F3290" t="s">
        <v>22</v>
      </c>
      <c r="G3290">
        <v>102</v>
      </c>
      <c r="H3290" t="s">
        <v>209</v>
      </c>
      <c r="I3290">
        <v>1</v>
      </c>
      <c r="J3290">
        <v>1</v>
      </c>
      <c r="K3290" t="e">
        <v>#N/A</v>
      </c>
      <c r="L3290" t="e">
        <v>#N/A</v>
      </c>
      <c r="M3290" t="e">
        <v>#N/A</v>
      </c>
      <c r="N3290" t="e">
        <v>#N/A</v>
      </c>
      <c r="O3290" t="s">
        <v>97</v>
      </c>
    </row>
    <row r="3291" spans="1:15" x14ac:dyDescent="0.2">
      <c r="A3291">
        <v>145</v>
      </c>
      <c r="B3291">
        <v>146</v>
      </c>
      <c r="C3291">
        <v>145</v>
      </c>
      <c r="D3291">
        <v>144</v>
      </c>
      <c r="E3291" t="s">
        <v>5</v>
      </c>
      <c r="F3291" t="s">
        <v>23</v>
      </c>
      <c r="G3291">
        <v>102</v>
      </c>
      <c r="H3291" t="s">
        <v>209</v>
      </c>
      <c r="I3291">
        <v>1</v>
      </c>
      <c r="J3291">
        <v>1</v>
      </c>
      <c r="K3291" t="e">
        <v>#N/A</v>
      </c>
      <c r="L3291" t="e">
        <v>#N/A</v>
      </c>
      <c r="M3291" t="e">
        <v>#N/A</v>
      </c>
      <c r="N3291" t="e">
        <v>#N/A</v>
      </c>
      <c r="O3291" t="s">
        <v>97</v>
      </c>
    </row>
    <row r="3292" spans="1:15" x14ac:dyDescent="0.2">
      <c r="A3292">
        <v>14</v>
      </c>
      <c r="B3292">
        <v>15</v>
      </c>
      <c r="C3292">
        <v>14</v>
      </c>
      <c r="D3292">
        <v>13</v>
      </c>
      <c r="E3292" t="s">
        <v>30</v>
      </c>
      <c r="F3292" t="s">
        <v>31</v>
      </c>
      <c r="G3292">
        <v>38</v>
      </c>
      <c r="H3292" t="s">
        <v>170</v>
      </c>
      <c r="I3292">
        <v>0.5</v>
      </c>
      <c r="J3292">
        <v>0.5</v>
      </c>
      <c r="K3292" t="s">
        <v>112</v>
      </c>
      <c r="L3292" t="s">
        <v>171</v>
      </c>
      <c r="M3292" t="s">
        <v>172</v>
      </c>
      <c r="N3292" t="s">
        <v>96</v>
      </c>
      <c r="O3292" t="s">
        <v>97</v>
      </c>
    </row>
    <row r="3293" spans="1:15" x14ac:dyDescent="0.2">
      <c r="A3293">
        <v>155</v>
      </c>
      <c r="B3293">
        <v>156</v>
      </c>
      <c r="C3293">
        <v>155</v>
      </c>
      <c r="D3293">
        <v>154</v>
      </c>
      <c r="E3293" t="s">
        <v>5</v>
      </c>
      <c r="F3293" t="s">
        <v>25</v>
      </c>
      <c r="G3293">
        <v>102</v>
      </c>
      <c r="H3293" t="s">
        <v>209</v>
      </c>
      <c r="I3293">
        <v>1</v>
      </c>
      <c r="J3293">
        <v>1</v>
      </c>
      <c r="K3293" t="e">
        <v>#N/A</v>
      </c>
      <c r="L3293" t="e">
        <v>#N/A</v>
      </c>
      <c r="M3293" t="e">
        <v>#N/A</v>
      </c>
      <c r="N3293" t="e">
        <v>#N/A</v>
      </c>
      <c r="O3293" t="s">
        <v>97</v>
      </c>
    </row>
    <row r="3294" spans="1:15" x14ac:dyDescent="0.2">
      <c r="A3294">
        <v>14</v>
      </c>
      <c r="B3294">
        <v>15</v>
      </c>
      <c r="C3294">
        <v>14</v>
      </c>
      <c r="D3294">
        <v>13</v>
      </c>
      <c r="E3294" t="s">
        <v>30</v>
      </c>
      <c r="F3294" t="s">
        <v>31</v>
      </c>
      <c r="G3294">
        <v>39</v>
      </c>
      <c r="H3294" t="s">
        <v>170</v>
      </c>
      <c r="I3294">
        <v>0</v>
      </c>
      <c r="J3294">
        <v>0.5</v>
      </c>
      <c r="K3294" t="s">
        <v>112</v>
      </c>
      <c r="L3294" t="s">
        <v>171</v>
      </c>
      <c r="M3294" t="s">
        <v>172</v>
      </c>
      <c r="N3294" t="s">
        <v>96</v>
      </c>
      <c r="O3294" t="s">
        <v>97</v>
      </c>
    </row>
    <row r="3295" spans="1:15" x14ac:dyDescent="0.2">
      <c r="A3295">
        <v>165</v>
      </c>
      <c r="B3295">
        <v>166</v>
      </c>
      <c r="C3295">
        <v>165</v>
      </c>
      <c r="D3295">
        <v>164</v>
      </c>
      <c r="E3295" t="s">
        <v>5</v>
      </c>
      <c r="F3295" t="s">
        <v>27</v>
      </c>
      <c r="G3295">
        <v>102</v>
      </c>
      <c r="H3295" t="s">
        <v>209</v>
      </c>
      <c r="I3295">
        <v>1</v>
      </c>
      <c r="J3295">
        <v>1</v>
      </c>
      <c r="K3295" t="e">
        <v>#N/A</v>
      </c>
      <c r="L3295" t="e">
        <v>#N/A</v>
      </c>
      <c r="M3295" t="e">
        <v>#N/A</v>
      </c>
      <c r="N3295" t="e">
        <v>#N/A</v>
      </c>
      <c r="O3295" t="s">
        <v>97</v>
      </c>
    </row>
    <row r="3296" spans="1:15" x14ac:dyDescent="0.2">
      <c r="A3296">
        <v>170</v>
      </c>
      <c r="B3296">
        <v>171</v>
      </c>
      <c r="C3296">
        <v>170</v>
      </c>
      <c r="D3296">
        <v>169</v>
      </c>
      <c r="E3296" t="s">
        <v>5</v>
      </c>
      <c r="F3296" t="s">
        <v>28</v>
      </c>
      <c r="G3296">
        <v>102</v>
      </c>
      <c r="H3296" t="s">
        <v>209</v>
      </c>
      <c r="I3296">
        <v>1</v>
      </c>
      <c r="J3296">
        <v>1</v>
      </c>
      <c r="K3296" t="e">
        <v>#N/A</v>
      </c>
      <c r="L3296" t="e">
        <v>#N/A</v>
      </c>
      <c r="M3296" t="e">
        <v>#N/A</v>
      </c>
      <c r="N3296" t="e">
        <v>#N/A</v>
      </c>
      <c r="O3296" t="s">
        <v>97</v>
      </c>
    </row>
    <row r="3297" spans="1:15" x14ac:dyDescent="0.2">
      <c r="A3297">
        <v>175</v>
      </c>
      <c r="B3297">
        <v>176</v>
      </c>
      <c r="C3297">
        <v>175</v>
      </c>
      <c r="D3297">
        <v>174</v>
      </c>
      <c r="E3297" t="s">
        <v>5</v>
      </c>
      <c r="F3297" t="s">
        <v>29</v>
      </c>
      <c r="G3297">
        <v>102</v>
      </c>
      <c r="H3297" t="s">
        <v>209</v>
      </c>
      <c r="I3297">
        <v>1</v>
      </c>
      <c r="J3297">
        <v>1</v>
      </c>
      <c r="K3297" t="e">
        <v>#N/A</v>
      </c>
      <c r="L3297" t="e">
        <v>#N/A</v>
      </c>
      <c r="M3297" t="e">
        <v>#N/A</v>
      </c>
      <c r="N3297" t="e">
        <v>#N/A</v>
      </c>
      <c r="O3297" t="s">
        <v>97</v>
      </c>
    </row>
    <row r="3298" spans="1:15" x14ac:dyDescent="0.2">
      <c r="A3298">
        <v>14</v>
      </c>
      <c r="B3298">
        <v>15</v>
      </c>
      <c r="C3298">
        <v>14</v>
      </c>
      <c r="D3298">
        <v>13</v>
      </c>
      <c r="E3298" t="s">
        <v>30</v>
      </c>
      <c r="F3298" t="s">
        <v>31</v>
      </c>
      <c r="G3298">
        <v>40</v>
      </c>
      <c r="H3298" t="s">
        <v>170</v>
      </c>
      <c r="I3298">
        <v>0.5</v>
      </c>
      <c r="J3298">
        <v>0.5</v>
      </c>
      <c r="K3298" t="s">
        <v>112</v>
      </c>
      <c r="L3298" t="s">
        <v>171</v>
      </c>
      <c r="M3298" t="s">
        <v>172</v>
      </c>
      <c r="N3298" t="s">
        <v>96</v>
      </c>
      <c r="O3298" t="s">
        <v>97</v>
      </c>
    </row>
    <row r="3299" spans="1:15" x14ac:dyDescent="0.2">
      <c r="A3299">
        <v>14</v>
      </c>
      <c r="B3299">
        <v>15</v>
      </c>
      <c r="C3299">
        <v>14</v>
      </c>
      <c r="D3299">
        <v>13</v>
      </c>
      <c r="E3299" t="s">
        <v>30</v>
      </c>
      <c r="F3299" t="s">
        <v>31</v>
      </c>
      <c r="G3299">
        <v>41</v>
      </c>
      <c r="H3299" t="s">
        <v>173</v>
      </c>
      <c r="I3299">
        <v>1</v>
      </c>
      <c r="J3299">
        <v>1</v>
      </c>
      <c r="K3299" t="s">
        <v>166</v>
      </c>
      <c r="L3299" t="s">
        <v>174</v>
      </c>
      <c r="M3299" t="s">
        <v>175</v>
      </c>
      <c r="N3299" t="s">
        <v>107</v>
      </c>
      <c r="O3299" t="s">
        <v>97</v>
      </c>
    </row>
    <row r="3300" spans="1:15" x14ac:dyDescent="0.2">
      <c r="A3300">
        <v>24</v>
      </c>
      <c r="B3300">
        <v>25</v>
      </c>
      <c r="C3300">
        <v>24</v>
      </c>
      <c r="D3300">
        <v>23</v>
      </c>
      <c r="E3300" t="s">
        <v>30</v>
      </c>
      <c r="F3300" t="s">
        <v>33</v>
      </c>
      <c r="G3300">
        <v>102</v>
      </c>
      <c r="H3300" t="s">
        <v>209</v>
      </c>
      <c r="I3300">
        <v>0</v>
      </c>
      <c r="J3300">
        <v>1</v>
      </c>
      <c r="K3300" t="e">
        <v>#N/A</v>
      </c>
      <c r="L3300" t="e">
        <v>#N/A</v>
      </c>
      <c r="M3300" t="e">
        <v>#N/A</v>
      </c>
      <c r="N3300" t="e">
        <v>#N/A</v>
      </c>
      <c r="O3300" t="s">
        <v>97</v>
      </c>
    </row>
    <row r="3301" spans="1:15" x14ac:dyDescent="0.2">
      <c r="A3301">
        <v>29</v>
      </c>
      <c r="B3301">
        <v>30</v>
      </c>
      <c r="C3301">
        <v>29</v>
      </c>
      <c r="D3301">
        <v>28</v>
      </c>
      <c r="E3301" t="s">
        <v>30</v>
      </c>
      <c r="F3301" t="s">
        <v>211</v>
      </c>
      <c r="G3301">
        <v>102</v>
      </c>
      <c r="H3301" t="s">
        <v>209</v>
      </c>
      <c r="I3301">
        <v>0</v>
      </c>
      <c r="J3301">
        <v>1</v>
      </c>
      <c r="K3301" t="e">
        <v>#N/A</v>
      </c>
      <c r="L3301" t="e">
        <v>#N/A</v>
      </c>
      <c r="M3301" t="e">
        <v>#N/A</v>
      </c>
      <c r="N3301" t="e">
        <v>#N/A</v>
      </c>
      <c r="O3301" t="s">
        <v>97</v>
      </c>
    </row>
    <row r="3302" spans="1:15" x14ac:dyDescent="0.2">
      <c r="A3302">
        <v>34</v>
      </c>
      <c r="B3302">
        <v>35</v>
      </c>
      <c r="C3302">
        <v>34</v>
      </c>
      <c r="D3302">
        <v>33</v>
      </c>
      <c r="E3302" t="s">
        <v>30</v>
      </c>
      <c r="F3302" t="s">
        <v>35</v>
      </c>
      <c r="G3302">
        <v>102</v>
      </c>
      <c r="H3302" t="s">
        <v>209</v>
      </c>
      <c r="I3302">
        <v>0</v>
      </c>
      <c r="J3302">
        <v>1</v>
      </c>
      <c r="K3302" t="e">
        <v>#N/A</v>
      </c>
      <c r="L3302" t="e">
        <v>#N/A</v>
      </c>
      <c r="M3302" t="e">
        <v>#N/A</v>
      </c>
      <c r="N3302" t="e">
        <v>#N/A</v>
      </c>
      <c r="O3302" t="s">
        <v>97</v>
      </c>
    </row>
    <row r="3303" spans="1:15" x14ac:dyDescent="0.2">
      <c r="A3303">
        <v>39</v>
      </c>
      <c r="B3303">
        <v>40</v>
      </c>
      <c r="C3303">
        <v>39</v>
      </c>
      <c r="D3303">
        <v>38</v>
      </c>
      <c r="E3303" t="s">
        <v>30</v>
      </c>
      <c r="F3303" t="s">
        <v>36</v>
      </c>
      <c r="G3303">
        <v>102</v>
      </c>
      <c r="H3303" t="s">
        <v>209</v>
      </c>
      <c r="I3303">
        <v>0</v>
      </c>
      <c r="J3303">
        <v>1</v>
      </c>
      <c r="K3303" t="e">
        <v>#N/A</v>
      </c>
      <c r="L3303" t="e">
        <v>#N/A</v>
      </c>
      <c r="M3303" t="e">
        <v>#N/A</v>
      </c>
      <c r="N3303" t="e">
        <v>#N/A</v>
      </c>
      <c r="O3303" t="s">
        <v>97</v>
      </c>
    </row>
    <row r="3304" spans="1:15" x14ac:dyDescent="0.2">
      <c r="A3304">
        <v>223</v>
      </c>
      <c r="B3304">
        <v>224</v>
      </c>
      <c r="C3304">
        <v>223</v>
      </c>
      <c r="D3304">
        <v>222</v>
      </c>
      <c r="E3304" t="s">
        <v>30</v>
      </c>
      <c r="F3304" t="s">
        <v>37</v>
      </c>
      <c r="G3304">
        <v>102</v>
      </c>
      <c r="H3304" t="s">
        <v>209</v>
      </c>
      <c r="I3304">
        <v>0</v>
      </c>
      <c r="J3304">
        <v>1</v>
      </c>
      <c r="K3304" t="e">
        <v>#N/A</v>
      </c>
      <c r="L3304" t="e">
        <v>#N/A</v>
      </c>
      <c r="M3304" t="e">
        <v>#N/A</v>
      </c>
      <c r="N3304" t="e">
        <v>#N/A</v>
      </c>
      <c r="O3304" t="s">
        <v>97</v>
      </c>
    </row>
    <row r="3305" spans="1:15" x14ac:dyDescent="0.2">
      <c r="A3305">
        <v>14</v>
      </c>
      <c r="B3305">
        <v>15</v>
      </c>
      <c r="C3305">
        <v>14</v>
      </c>
      <c r="D3305">
        <v>13</v>
      </c>
      <c r="E3305" t="s">
        <v>30</v>
      </c>
      <c r="F3305" t="s">
        <v>31</v>
      </c>
      <c r="G3305">
        <v>42</v>
      </c>
      <c r="H3305" t="s">
        <v>176</v>
      </c>
      <c r="I3305">
        <v>0</v>
      </c>
      <c r="J3305">
        <v>1</v>
      </c>
      <c r="K3305" t="s">
        <v>153</v>
      </c>
      <c r="L3305" t="s">
        <v>177</v>
      </c>
      <c r="M3305" t="s">
        <v>178</v>
      </c>
      <c r="N3305" t="s">
        <v>107</v>
      </c>
      <c r="O3305" t="s">
        <v>97</v>
      </c>
    </row>
    <row r="3306" spans="1:15" x14ac:dyDescent="0.2">
      <c r="A3306">
        <v>54</v>
      </c>
      <c r="B3306">
        <v>55</v>
      </c>
      <c r="C3306">
        <v>54</v>
      </c>
      <c r="D3306">
        <v>53</v>
      </c>
      <c r="E3306" t="s">
        <v>30</v>
      </c>
      <c r="F3306" t="s">
        <v>39</v>
      </c>
      <c r="G3306">
        <v>102</v>
      </c>
      <c r="H3306" t="s">
        <v>209</v>
      </c>
      <c r="I3306">
        <v>0</v>
      </c>
      <c r="J3306">
        <v>1</v>
      </c>
      <c r="K3306" t="e">
        <v>#N/A</v>
      </c>
      <c r="L3306" t="e">
        <v>#N/A</v>
      </c>
      <c r="M3306" t="e">
        <v>#N/A</v>
      </c>
      <c r="N3306" t="e">
        <v>#N/A</v>
      </c>
      <c r="O3306" t="s">
        <v>97</v>
      </c>
    </row>
    <row r="3307" spans="1:15" x14ac:dyDescent="0.2">
      <c r="A3307">
        <v>14</v>
      </c>
      <c r="B3307">
        <v>15</v>
      </c>
      <c r="C3307">
        <v>14</v>
      </c>
      <c r="D3307">
        <v>13</v>
      </c>
      <c r="E3307" t="s">
        <v>30</v>
      </c>
      <c r="F3307" t="s">
        <v>31</v>
      </c>
      <c r="G3307">
        <v>43</v>
      </c>
      <c r="H3307" t="s">
        <v>179</v>
      </c>
      <c r="I3307">
        <v>0</v>
      </c>
      <c r="J3307">
        <v>0</v>
      </c>
      <c r="K3307" t="s">
        <v>166</v>
      </c>
      <c r="L3307" t="s">
        <v>180</v>
      </c>
      <c r="M3307" t="s">
        <v>181</v>
      </c>
      <c r="N3307" t="s">
        <v>107</v>
      </c>
      <c r="O3307" t="s">
        <v>97</v>
      </c>
    </row>
    <row r="3308" spans="1:15" x14ac:dyDescent="0.2">
      <c r="A3308">
        <v>14</v>
      </c>
      <c r="B3308">
        <v>15</v>
      </c>
      <c r="C3308">
        <v>14</v>
      </c>
      <c r="D3308">
        <v>13</v>
      </c>
      <c r="E3308" t="s">
        <v>30</v>
      </c>
      <c r="F3308" t="s">
        <v>31</v>
      </c>
      <c r="G3308">
        <v>44</v>
      </c>
      <c r="H3308" t="s">
        <v>182</v>
      </c>
      <c r="I3308">
        <v>0</v>
      </c>
      <c r="J3308">
        <v>1</v>
      </c>
      <c r="K3308" t="s">
        <v>166</v>
      </c>
      <c r="L3308" t="s">
        <v>183</v>
      </c>
      <c r="M3308" t="s">
        <v>184</v>
      </c>
      <c r="N3308" t="s">
        <v>107</v>
      </c>
      <c r="O3308" t="s">
        <v>97</v>
      </c>
    </row>
    <row r="3309" spans="1:15" x14ac:dyDescent="0.2">
      <c r="A3309">
        <v>14</v>
      </c>
      <c r="B3309">
        <v>15</v>
      </c>
      <c r="C3309">
        <v>14</v>
      </c>
      <c r="D3309">
        <v>13</v>
      </c>
      <c r="E3309" t="s">
        <v>30</v>
      </c>
      <c r="F3309" t="s">
        <v>31</v>
      </c>
      <c r="G3309">
        <v>45</v>
      </c>
      <c r="H3309" t="s">
        <v>185</v>
      </c>
      <c r="I3309">
        <v>0</v>
      </c>
      <c r="J3309">
        <v>1</v>
      </c>
      <c r="K3309" t="s">
        <v>166</v>
      </c>
      <c r="L3309" t="s">
        <v>186</v>
      </c>
      <c r="M3309" t="s">
        <v>139</v>
      </c>
      <c r="N3309" t="s">
        <v>107</v>
      </c>
      <c r="O3309" t="s">
        <v>97</v>
      </c>
    </row>
    <row r="3310" spans="1:15" x14ac:dyDescent="0.2">
      <c r="A3310">
        <v>181</v>
      </c>
      <c r="B3310">
        <v>182</v>
      </c>
      <c r="C3310">
        <v>181</v>
      </c>
      <c r="D3310">
        <v>180</v>
      </c>
      <c r="E3310" t="s">
        <v>40</v>
      </c>
      <c r="F3310" t="s">
        <v>41</v>
      </c>
      <c r="G3310">
        <v>102</v>
      </c>
      <c r="H3310" t="s">
        <v>209</v>
      </c>
      <c r="I3310">
        <v>1</v>
      </c>
      <c r="J3310">
        <v>1</v>
      </c>
      <c r="K3310" t="e">
        <v>#N/A</v>
      </c>
      <c r="L3310" t="e">
        <v>#N/A</v>
      </c>
      <c r="M3310" t="e">
        <v>#N/A</v>
      </c>
      <c r="N3310" t="e">
        <v>#N/A</v>
      </c>
      <c r="O3310" t="s">
        <v>97</v>
      </c>
    </row>
    <row r="3311" spans="1:15" x14ac:dyDescent="0.2">
      <c r="A3311">
        <v>186</v>
      </c>
      <c r="B3311">
        <v>187</v>
      </c>
      <c r="C3311">
        <v>186</v>
      </c>
      <c r="D3311">
        <v>185</v>
      </c>
      <c r="E3311" t="s">
        <v>40</v>
      </c>
      <c r="F3311" t="s">
        <v>42</v>
      </c>
      <c r="G3311">
        <v>102</v>
      </c>
      <c r="H3311" t="s">
        <v>209</v>
      </c>
      <c r="I3311">
        <v>1</v>
      </c>
      <c r="J3311">
        <v>1</v>
      </c>
      <c r="K3311" t="e">
        <v>#N/A</v>
      </c>
      <c r="L3311" t="e">
        <v>#N/A</v>
      </c>
      <c r="M3311" t="e">
        <v>#N/A</v>
      </c>
      <c r="N3311" t="e">
        <v>#N/A</v>
      </c>
      <c r="O3311" t="s">
        <v>97</v>
      </c>
    </row>
    <row r="3312" spans="1:15" x14ac:dyDescent="0.2">
      <c r="A3312">
        <v>14</v>
      </c>
      <c r="B3312">
        <v>15</v>
      </c>
      <c r="C3312">
        <v>14</v>
      </c>
      <c r="D3312">
        <v>13</v>
      </c>
      <c r="E3312" t="s">
        <v>30</v>
      </c>
      <c r="F3312" t="s">
        <v>31</v>
      </c>
      <c r="G3312">
        <v>47</v>
      </c>
      <c r="H3312" t="s">
        <v>187</v>
      </c>
      <c r="I3312">
        <v>0.2</v>
      </c>
      <c r="J3312">
        <v>0.2</v>
      </c>
      <c r="K3312" t="s">
        <v>93</v>
      </c>
      <c r="L3312" t="s">
        <v>188</v>
      </c>
      <c r="M3312" t="s">
        <v>95</v>
      </c>
      <c r="N3312" t="s">
        <v>96</v>
      </c>
      <c r="O3312" t="s">
        <v>97</v>
      </c>
    </row>
    <row r="3313" spans="1:15" x14ac:dyDescent="0.2">
      <c r="A3313">
        <v>14</v>
      </c>
      <c r="B3313">
        <v>15</v>
      </c>
      <c r="C3313">
        <v>14</v>
      </c>
      <c r="D3313">
        <v>13</v>
      </c>
      <c r="E3313" t="s">
        <v>30</v>
      </c>
      <c r="F3313" t="s">
        <v>31</v>
      </c>
      <c r="G3313">
        <v>48</v>
      </c>
      <c r="H3313" t="s">
        <v>189</v>
      </c>
      <c r="I3313">
        <v>0.2</v>
      </c>
      <c r="J3313">
        <v>0.2</v>
      </c>
      <c r="K3313" t="s">
        <v>93</v>
      </c>
      <c r="L3313" t="s">
        <v>190</v>
      </c>
      <c r="M3313" t="s">
        <v>95</v>
      </c>
      <c r="N3313" t="s">
        <v>96</v>
      </c>
      <c r="O3313" t="s">
        <v>97</v>
      </c>
    </row>
    <row r="3314" spans="1:15" x14ac:dyDescent="0.2">
      <c r="A3314">
        <v>14</v>
      </c>
      <c r="B3314">
        <v>15</v>
      </c>
      <c r="C3314">
        <v>14</v>
      </c>
      <c r="D3314">
        <v>13</v>
      </c>
      <c r="E3314" t="s">
        <v>30</v>
      </c>
      <c r="F3314" t="s">
        <v>31</v>
      </c>
      <c r="G3314">
        <v>49</v>
      </c>
      <c r="H3314" t="s">
        <v>191</v>
      </c>
      <c r="I3314">
        <v>0.2</v>
      </c>
      <c r="J3314">
        <v>0.2</v>
      </c>
      <c r="K3314" t="s">
        <v>93</v>
      </c>
      <c r="L3314" t="s">
        <v>192</v>
      </c>
      <c r="M3314" t="s">
        <v>95</v>
      </c>
      <c r="N3314" t="s">
        <v>96</v>
      </c>
      <c r="O3314" t="s">
        <v>97</v>
      </c>
    </row>
    <row r="3315" spans="1:15" x14ac:dyDescent="0.2">
      <c r="A3315">
        <v>206</v>
      </c>
      <c r="B3315">
        <v>207</v>
      </c>
      <c r="C3315">
        <v>206</v>
      </c>
      <c r="D3315">
        <v>205</v>
      </c>
      <c r="E3315" t="s">
        <v>40</v>
      </c>
      <c r="F3315" t="s">
        <v>43</v>
      </c>
      <c r="G3315">
        <v>102</v>
      </c>
      <c r="H3315" t="s">
        <v>209</v>
      </c>
      <c r="I3315">
        <v>1</v>
      </c>
      <c r="J3315">
        <v>1</v>
      </c>
      <c r="K3315" t="e">
        <v>#N/A</v>
      </c>
      <c r="L3315" t="e">
        <v>#N/A</v>
      </c>
      <c r="M3315" t="e">
        <v>#N/A</v>
      </c>
      <c r="N3315" t="e">
        <v>#N/A</v>
      </c>
      <c r="O3315" t="s">
        <v>97</v>
      </c>
    </row>
    <row r="3316" spans="1:15" x14ac:dyDescent="0.2">
      <c r="A3316">
        <v>14</v>
      </c>
      <c r="B3316">
        <v>15</v>
      </c>
      <c r="C3316">
        <v>14</v>
      </c>
      <c r="D3316">
        <v>13</v>
      </c>
      <c r="E3316" t="s">
        <v>30</v>
      </c>
      <c r="F3316" t="s">
        <v>31</v>
      </c>
      <c r="G3316">
        <v>50</v>
      </c>
      <c r="H3316" t="s">
        <v>193</v>
      </c>
      <c r="I3316">
        <v>0.1</v>
      </c>
      <c r="J3316">
        <v>0.1</v>
      </c>
      <c r="K3316" t="s">
        <v>93</v>
      </c>
      <c r="L3316" t="s">
        <v>194</v>
      </c>
      <c r="M3316" t="s">
        <v>95</v>
      </c>
      <c r="N3316" t="s">
        <v>96</v>
      </c>
      <c r="O3316" t="s">
        <v>97</v>
      </c>
    </row>
    <row r="3317" spans="1:15" x14ac:dyDescent="0.2">
      <c r="A3317">
        <v>217</v>
      </c>
      <c r="B3317">
        <v>218</v>
      </c>
      <c r="C3317">
        <v>217</v>
      </c>
      <c r="D3317">
        <v>216</v>
      </c>
      <c r="E3317" t="s">
        <v>44</v>
      </c>
      <c r="F3317" t="s">
        <v>45</v>
      </c>
      <c r="G3317">
        <v>102</v>
      </c>
      <c r="H3317" t="s">
        <v>209</v>
      </c>
      <c r="I3317">
        <v>0</v>
      </c>
      <c r="J3317">
        <v>1</v>
      </c>
      <c r="K3317" t="e">
        <v>#N/A</v>
      </c>
      <c r="L3317" t="e">
        <v>#N/A</v>
      </c>
      <c r="M3317" t="e">
        <v>#N/A</v>
      </c>
      <c r="N3317" t="e">
        <v>#N/A</v>
      </c>
      <c r="O3317" t="s">
        <v>97</v>
      </c>
    </row>
    <row r="3318" spans="1:15" x14ac:dyDescent="0.2">
      <c r="A3318">
        <v>405</v>
      </c>
      <c r="B3318">
        <v>406</v>
      </c>
      <c r="C3318">
        <v>405</v>
      </c>
      <c r="D3318">
        <v>404</v>
      </c>
      <c r="E3318" t="s">
        <v>57</v>
      </c>
      <c r="F3318" t="s">
        <v>77</v>
      </c>
      <c r="G3318">
        <v>102</v>
      </c>
      <c r="H3318" t="s">
        <v>209</v>
      </c>
      <c r="I3318">
        <v>0</v>
      </c>
      <c r="J3318">
        <v>1</v>
      </c>
      <c r="K3318" t="e">
        <v>#N/A</v>
      </c>
      <c r="L3318" t="e">
        <v>#N/A</v>
      </c>
      <c r="M3318" t="e">
        <v>#N/A</v>
      </c>
      <c r="N3318" t="e">
        <v>#N/A</v>
      </c>
      <c r="O3318" t="s">
        <v>97</v>
      </c>
    </row>
    <row r="3319" spans="1:15" x14ac:dyDescent="0.2">
      <c r="A3319">
        <v>14</v>
      </c>
      <c r="B3319">
        <v>15</v>
      </c>
      <c r="C3319">
        <v>14</v>
      </c>
      <c r="D3319">
        <v>13</v>
      </c>
      <c r="E3319" t="s">
        <v>30</v>
      </c>
      <c r="F3319" t="s">
        <v>31</v>
      </c>
      <c r="G3319">
        <v>51</v>
      </c>
      <c r="H3319" t="s">
        <v>193</v>
      </c>
      <c r="I3319">
        <v>0.1</v>
      </c>
      <c r="J3319">
        <v>0.1</v>
      </c>
      <c r="K3319" t="s">
        <v>93</v>
      </c>
      <c r="L3319" t="s">
        <v>194</v>
      </c>
      <c r="M3319" t="s">
        <v>95</v>
      </c>
      <c r="N3319" t="s">
        <v>96</v>
      </c>
      <c r="O3319" t="s">
        <v>97</v>
      </c>
    </row>
    <row r="3320" spans="1:15" x14ac:dyDescent="0.2">
      <c r="A3320">
        <v>14</v>
      </c>
      <c r="B3320">
        <v>15</v>
      </c>
      <c r="C3320">
        <v>14</v>
      </c>
      <c r="D3320">
        <v>13</v>
      </c>
      <c r="E3320" t="s">
        <v>30</v>
      </c>
      <c r="F3320" t="s">
        <v>31</v>
      </c>
      <c r="G3320">
        <v>52</v>
      </c>
      <c r="H3320" t="s">
        <v>200</v>
      </c>
      <c r="I3320">
        <v>0</v>
      </c>
      <c r="J3320" t="s">
        <v>314</v>
      </c>
      <c r="K3320" t="e">
        <v>#N/A</v>
      </c>
      <c r="L3320" t="e">
        <v>#N/A</v>
      </c>
      <c r="M3320" t="e">
        <v>#N/A</v>
      </c>
      <c r="N3320" t="e">
        <v>#N/A</v>
      </c>
      <c r="O3320" t="s">
        <v>97</v>
      </c>
    </row>
    <row r="3321" spans="1:15" x14ac:dyDescent="0.2">
      <c r="A3321">
        <v>390</v>
      </c>
      <c r="B3321">
        <v>391</v>
      </c>
      <c r="C3321">
        <v>390</v>
      </c>
      <c r="D3321">
        <v>389</v>
      </c>
      <c r="E3321" t="s">
        <v>57</v>
      </c>
      <c r="F3321" t="s">
        <v>76</v>
      </c>
      <c r="G3321">
        <v>102</v>
      </c>
      <c r="H3321" t="s">
        <v>209</v>
      </c>
      <c r="I3321">
        <v>0</v>
      </c>
      <c r="J3321">
        <v>1</v>
      </c>
      <c r="K3321" t="e">
        <v>#N/A</v>
      </c>
      <c r="L3321" t="e">
        <v>#N/A</v>
      </c>
      <c r="M3321" t="e">
        <v>#N/A</v>
      </c>
      <c r="N3321" t="e">
        <v>#N/A</v>
      </c>
      <c r="O3321" t="s">
        <v>97</v>
      </c>
    </row>
    <row r="3322" spans="1:15" x14ac:dyDescent="0.2">
      <c r="A3322">
        <v>380</v>
      </c>
      <c r="B3322">
        <v>381</v>
      </c>
      <c r="C3322">
        <v>380</v>
      </c>
      <c r="D3322">
        <v>379</v>
      </c>
      <c r="E3322" t="s">
        <v>57</v>
      </c>
      <c r="F3322" t="s">
        <v>75</v>
      </c>
      <c r="G3322">
        <v>102</v>
      </c>
      <c r="H3322" t="s">
        <v>209</v>
      </c>
      <c r="I3322">
        <v>0</v>
      </c>
      <c r="J3322">
        <v>1</v>
      </c>
      <c r="K3322" t="e">
        <v>#N/A</v>
      </c>
      <c r="L3322" t="e">
        <v>#N/A</v>
      </c>
      <c r="M3322" t="e">
        <v>#N/A</v>
      </c>
      <c r="N3322" t="e">
        <v>#N/A</v>
      </c>
      <c r="O3322" t="s">
        <v>97</v>
      </c>
    </row>
    <row r="3323" spans="1:15" x14ac:dyDescent="0.2">
      <c r="A3323">
        <v>375</v>
      </c>
      <c r="B3323">
        <v>376</v>
      </c>
      <c r="C3323">
        <v>375</v>
      </c>
      <c r="D3323">
        <v>374</v>
      </c>
      <c r="E3323" t="s">
        <v>57</v>
      </c>
      <c r="F3323" t="s">
        <v>74</v>
      </c>
      <c r="G3323">
        <v>102</v>
      </c>
      <c r="H3323" t="s">
        <v>209</v>
      </c>
      <c r="I3323">
        <v>0</v>
      </c>
      <c r="J3323">
        <v>1</v>
      </c>
      <c r="K3323" t="e">
        <v>#N/A</v>
      </c>
      <c r="L3323" t="e">
        <v>#N/A</v>
      </c>
      <c r="M3323" t="e">
        <v>#N/A</v>
      </c>
      <c r="N3323" t="e">
        <v>#N/A</v>
      </c>
      <c r="O3323" t="s">
        <v>97</v>
      </c>
    </row>
    <row r="3324" spans="1:15" x14ac:dyDescent="0.2">
      <c r="A3324">
        <v>370</v>
      </c>
      <c r="B3324">
        <v>371</v>
      </c>
      <c r="C3324">
        <v>370</v>
      </c>
      <c r="D3324">
        <v>369</v>
      </c>
      <c r="E3324" t="s">
        <v>57</v>
      </c>
      <c r="F3324" t="s">
        <v>73</v>
      </c>
      <c r="G3324">
        <v>102</v>
      </c>
      <c r="H3324" t="s">
        <v>209</v>
      </c>
      <c r="I3324">
        <v>0</v>
      </c>
      <c r="J3324">
        <v>1</v>
      </c>
      <c r="K3324" t="e">
        <v>#N/A</v>
      </c>
      <c r="L3324" t="e">
        <v>#N/A</v>
      </c>
      <c r="M3324" t="e">
        <v>#N/A</v>
      </c>
      <c r="N3324" t="e">
        <v>#N/A</v>
      </c>
      <c r="O3324" t="s">
        <v>97</v>
      </c>
    </row>
    <row r="3325" spans="1:15" x14ac:dyDescent="0.2">
      <c r="A3325">
        <v>365</v>
      </c>
      <c r="B3325">
        <v>366</v>
      </c>
      <c r="C3325">
        <v>365</v>
      </c>
      <c r="D3325">
        <v>364</v>
      </c>
      <c r="E3325" t="s">
        <v>57</v>
      </c>
      <c r="F3325" t="s">
        <v>72</v>
      </c>
      <c r="G3325">
        <v>102</v>
      </c>
      <c r="H3325" t="s">
        <v>209</v>
      </c>
      <c r="I3325">
        <v>0</v>
      </c>
      <c r="J3325">
        <v>1</v>
      </c>
      <c r="K3325" t="e">
        <v>#N/A</v>
      </c>
      <c r="L3325" t="e">
        <v>#N/A</v>
      </c>
      <c r="M3325" t="e">
        <v>#N/A</v>
      </c>
      <c r="N3325" t="e">
        <v>#N/A</v>
      </c>
      <c r="O3325" t="s">
        <v>97</v>
      </c>
    </row>
    <row r="3326" spans="1:15" x14ac:dyDescent="0.2">
      <c r="A3326">
        <v>350</v>
      </c>
      <c r="B3326">
        <v>351</v>
      </c>
      <c r="C3326">
        <v>350</v>
      </c>
      <c r="D3326">
        <v>349</v>
      </c>
      <c r="E3326" t="s">
        <v>57</v>
      </c>
      <c r="F3326" t="s">
        <v>70</v>
      </c>
      <c r="G3326">
        <v>102</v>
      </c>
      <c r="H3326" t="s">
        <v>209</v>
      </c>
      <c r="I3326">
        <v>0</v>
      </c>
      <c r="J3326">
        <v>1</v>
      </c>
      <c r="K3326" t="e">
        <v>#N/A</v>
      </c>
      <c r="L3326" t="e">
        <v>#N/A</v>
      </c>
      <c r="M3326" t="e">
        <v>#N/A</v>
      </c>
      <c r="N3326" t="e">
        <v>#N/A</v>
      </c>
      <c r="O3326" t="s">
        <v>97</v>
      </c>
    </row>
    <row r="3327" spans="1:15" x14ac:dyDescent="0.2">
      <c r="A3327">
        <v>345</v>
      </c>
      <c r="B3327">
        <v>346</v>
      </c>
      <c r="C3327">
        <v>345</v>
      </c>
      <c r="D3327">
        <v>344</v>
      </c>
      <c r="E3327" t="s">
        <v>57</v>
      </c>
      <c r="F3327" t="s">
        <v>69</v>
      </c>
      <c r="G3327">
        <v>102</v>
      </c>
      <c r="H3327" t="s">
        <v>209</v>
      </c>
      <c r="I3327">
        <v>0</v>
      </c>
      <c r="J3327">
        <v>1</v>
      </c>
      <c r="K3327" t="e">
        <v>#N/A</v>
      </c>
      <c r="L3327" t="e">
        <v>#N/A</v>
      </c>
      <c r="M3327" t="e">
        <v>#N/A</v>
      </c>
      <c r="N3327" t="e">
        <v>#N/A</v>
      </c>
      <c r="O3327" t="s">
        <v>97</v>
      </c>
    </row>
    <row r="3328" spans="1:15" x14ac:dyDescent="0.2">
      <c r="A3328">
        <v>340</v>
      </c>
      <c r="B3328">
        <v>341</v>
      </c>
      <c r="C3328">
        <v>340</v>
      </c>
      <c r="D3328">
        <v>339</v>
      </c>
      <c r="E3328" t="s">
        <v>57</v>
      </c>
      <c r="F3328" t="s">
        <v>68</v>
      </c>
      <c r="G3328">
        <v>102</v>
      </c>
      <c r="H3328" t="s">
        <v>209</v>
      </c>
      <c r="I3328">
        <v>0</v>
      </c>
      <c r="J3328">
        <v>1</v>
      </c>
      <c r="K3328" t="e">
        <v>#N/A</v>
      </c>
      <c r="L3328" t="e">
        <v>#N/A</v>
      </c>
      <c r="M3328" t="e">
        <v>#N/A</v>
      </c>
      <c r="N3328" t="e">
        <v>#N/A</v>
      </c>
      <c r="O3328" t="s">
        <v>97</v>
      </c>
    </row>
    <row r="3329" spans="1:15" x14ac:dyDescent="0.2">
      <c r="A3329">
        <v>335</v>
      </c>
      <c r="B3329">
        <v>336</v>
      </c>
      <c r="C3329">
        <v>335</v>
      </c>
      <c r="D3329">
        <v>334</v>
      </c>
      <c r="E3329" t="s">
        <v>57</v>
      </c>
      <c r="F3329" t="s">
        <v>67</v>
      </c>
      <c r="G3329">
        <v>102</v>
      </c>
      <c r="H3329" t="s">
        <v>209</v>
      </c>
      <c r="I3329">
        <v>0</v>
      </c>
      <c r="J3329">
        <v>1</v>
      </c>
      <c r="K3329" t="e">
        <v>#N/A</v>
      </c>
      <c r="L3329" t="e">
        <v>#N/A</v>
      </c>
      <c r="M3329" t="e">
        <v>#N/A</v>
      </c>
      <c r="N3329" t="e">
        <v>#N/A</v>
      </c>
      <c r="O3329" t="s">
        <v>97</v>
      </c>
    </row>
    <row r="3330" spans="1:15" x14ac:dyDescent="0.2">
      <c r="A3330">
        <v>330</v>
      </c>
      <c r="B3330">
        <v>331</v>
      </c>
      <c r="C3330">
        <v>330</v>
      </c>
      <c r="D3330">
        <v>329</v>
      </c>
      <c r="E3330" t="s">
        <v>57</v>
      </c>
      <c r="F3330" t="s">
        <v>66</v>
      </c>
      <c r="G3330">
        <v>102</v>
      </c>
      <c r="H3330" t="s">
        <v>209</v>
      </c>
      <c r="I3330">
        <v>0</v>
      </c>
      <c r="J3330">
        <v>1</v>
      </c>
      <c r="K3330" t="e">
        <v>#N/A</v>
      </c>
      <c r="L3330" t="e">
        <v>#N/A</v>
      </c>
      <c r="M3330" t="e">
        <v>#N/A</v>
      </c>
      <c r="N3330" t="e">
        <v>#N/A</v>
      </c>
      <c r="O3330" t="s">
        <v>97</v>
      </c>
    </row>
    <row r="3331" spans="1:15" x14ac:dyDescent="0.2">
      <c r="A3331">
        <v>325</v>
      </c>
      <c r="B3331">
        <v>326</v>
      </c>
      <c r="C3331">
        <v>325</v>
      </c>
      <c r="D3331">
        <v>324</v>
      </c>
      <c r="E3331" t="s">
        <v>57</v>
      </c>
      <c r="F3331" t="s">
        <v>65</v>
      </c>
      <c r="G3331">
        <v>102</v>
      </c>
      <c r="H3331" t="s">
        <v>209</v>
      </c>
      <c r="I3331">
        <v>0</v>
      </c>
      <c r="J3331">
        <v>1</v>
      </c>
      <c r="K3331" t="e">
        <v>#N/A</v>
      </c>
      <c r="L3331" t="e">
        <v>#N/A</v>
      </c>
      <c r="M3331" t="e">
        <v>#N/A</v>
      </c>
      <c r="N3331" t="e">
        <v>#N/A</v>
      </c>
      <c r="O3331" t="s">
        <v>97</v>
      </c>
    </row>
    <row r="3332" spans="1:15" x14ac:dyDescent="0.2">
      <c r="A3332">
        <v>14</v>
      </c>
      <c r="B3332">
        <v>15</v>
      </c>
      <c r="C3332">
        <v>14</v>
      </c>
      <c r="D3332">
        <v>13</v>
      </c>
      <c r="E3332" t="s">
        <v>30</v>
      </c>
      <c r="F3332" t="s">
        <v>31</v>
      </c>
      <c r="G3332">
        <v>53</v>
      </c>
      <c r="H3332" t="s">
        <v>201</v>
      </c>
      <c r="I3332">
        <v>0</v>
      </c>
      <c r="J3332">
        <v>0</v>
      </c>
      <c r="K3332" t="e">
        <v>#N/A</v>
      </c>
      <c r="L3332" t="e">
        <v>#N/A</v>
      </c>
      <c r="M3332" t="e">
        <v>#N/A</v>
      </c>
      <c r="N3332" t="e">
        <v>#N/A</v>
      </c>
      <c r="O3332" t="s">
        <v>97</v>
      </c>
    </row>
    <row r="3333" spans="1:15" x14ac:dyDescent="0.2">
      <c r="A3333">
        <v>315</v>
      </c>
      <c r="B3333">
        <v>316</v>
      </c>
      <c r="C3333">
        <v>315</v>
      </c>
      <c r="D3333">
        <v>314</v>
      </c>
      <c r="E3333" t="s">
        <v>57</v>
      </c>
      <c r="F3333" t="s">
        <v>63</v>
      </c>
      <c r="G3333">
        <v>102</v>
      </c>
      <c r="H3333" t="s">
        <v>209</v>
      </c>
      <c r="I3333">
        <v>0</v>
      </c>
      <c r="J3333">
        <v>1</v>
      </c>
      <c r="K3333" t="e">
        <v>#N/A</v>
      </c>
      <c r="L3333" t="e">
        <v>#N/A</v>
      </c>
      <c r="M3333" t="e">
        <v>#N/A</v>
      </c>
      <c r="N3333" t="e">
        <v>#N/A</v>
      </c>
      <c r="O3333" t="s">
        <v>97</v>
      </c>
    </row>
    <row r="3334" spans="1:15" x14ac:dyDescent="0.2">
      <c r="A3334">
        <v>300</v>
      </c>
      <c r="B3334">
        <v>301</v>
      </c>
      <c r="C3334">
        <v>300</v>
      </c>
      <c r="D3334">
        <v>299</v>
      </c>
      <c r="E3334" t="s">
        <v>57</v>
      </c>
      <c r="F3334" t="s">
        <v>62</v>
      </c>
      <c r="G3334">
        <v>102</v>
      </c>
      <c r="H3334" t="s">
        <v>209</v>
      </c>
      <c r="I3334">
        <v>0</v>
      </c>
      <c r="J3334">
        <v>1</v>
      </c>
      <c r="K3334" t="e">
        <v>#N/A</v>
      </c>
      <c r="L3334" t="e">
        <v>#N/A</v>
      </c>
      <c r="M3334" t="e">
        <v>#N/A</v>
      </c>
      <c r="N3334" t="e">
        <v>#N/A</v>
      </c>
      <c r="O3334" t="s">
        <v>97</v>
      </c>
    </row>
    <row r="3335" spans="1:15" x14ac:dyDescent="0.2">
      <c r="A3335">
        <v>14</v>
      </c>
      <c r="B3335">
        <v>15</v>
      </c>
      <c r="C3335">
        <v>14</v>
      </c>
      <c r="D3335">
        <v>13</v>
      </c>
      <c r="E3335" t="s">
        <v>30</v>
      </c>
      <c r="F3335" t="s">
        <v>31</v>
      </c>
      <c r="G3335">
        <v>54</v>
      </c>
      <c r="H3335" t="s">
        <v>203</v>
      </c>
      <c r="I3335">
        <v>0</v>
      </c>
      <c r="J3335">
        <v>0</v>
      </c>
      <c r="K3335" t="e">
        <v>#N/A</v>
      </c>
      <c r="L3335" t="e">
        <v>#N/A</v>
      </c>
      <c r="M3335" t="e">
        <v>#N/A</v>
      </c>
      <c r="N3335" t="e">
        <v>#N/A</v>
      </c>
      <c r="O3335" t="s">
        <v>97</v>
      </c>
    </row>
    <row r="3336" spans="1:15" x14ac:dyDescent="0.2">
      <c r="A3336">
        <v>290</v>
      </c>
      <c r="B3336">
        <v>291</v>
      </c>
      <c r="C3336">
        <v>290</v>
      </c>
      <c r="D3336">
        <v>289</v>
      </c>
      <c r="E3336" t="s">
        <v>57</v>
      </c>
      <c r="F3336" t="s">
        <v>61</v>
      </c>
      <c r="G3336">
        <v>102</v>
      </c>
      <c r="H3336" t="s">
        <v>209</v>
      </c>
      <c r="I3336">
        <v>0</v>
      </c>
      <c r="J3336">
        <v>1</v>
      </c>
      <c r="K3336" t="e">
        <v>#N/A</v>
      </c>
      <c r="L3336" t="e">
        <v>#N/A</v>
      </c>
      <c r="M3336" t="e">
        <v>#N/A</v>
      </c>
      <c r="N3336" t="e">
        <v>#N/A</v>
      </c>
      <c r="O3336" t="s">
        <v>97</v>
      </c>
    </row>
    <row r="3337" spans="1:15" x14ac:dyDescent="0.2">
      <c r="A3337">
        <v>285</v>
      </c>
      <c r="B3337">
        <v>286</v>
      </c>
      <c r="C3337">
        <v>285</v>
      </c>
      <c r="D3337">
        <v>284</v>
      </c>
      <c r="E3337" t="s">
        <v>57</v>
      </c>
      <c r="F3337" t="s">
        <v>60</v>
      </c>
      <c r="G3337">
        <v>102</v>
      </c>
      <c r="H3337" t="s">
        <v>209</v>
      </c>
      <c r="I3337">
        <v>0</v>
      </c>
      <c r="J3337">
        <v>1</v>
      </c>
      <c r="K3337" t="e">
        <v>#N/A</v>
      </c>
      <c r="L3337" t="e">
        <v>#N/A</v>
      </c>
      <c r="M3337" t="e">
        <v>#N/A</v>
      </c>
      <c r="N3337" t="e">
        <v>#N/A</v>
      </c>
      <c r="O3337" t="s">
        <v>97</v>
      </c>
    </row>
    <row r="3338" spans="1:15" x14ac:dyDescent="0.2">
      <c r="A3338">
        <v>280</v>
      </c>
      <c r="B3338">
        <v>281</v>
      </c>
      <c r="C3338">
        <v>280</v>
      </c>
      <c r="D3338">
        <v>279</v>
      </c>
      <c r="E3338" t="s">
        <v>57</v>
      </c>
      <c r="F3338" t="s">
        <v>59</v>
      </c>
      <c r="G3338">
        <v>102</v>
      </c>
      <c r="H3338" t="s">
        <v>209</v>
      </c>
      <c r="I3338">
        <v>0</v>
      </c>
      <c r="J3338">
        <v>1</v>
      </c>
      <c r="K3338" t="e">
        <v>#N/A</v>
      </c>
      <c r="L3338" t="e">
        <v>#N/A</v>
      </c>
      <c r="M3338" t="e">
        <v>#N/A</v>
      </c>
      <c r="N3338" t="e">
        <v>#N/A</v>
      </c>
      <c r="O3338" t="s">
        <v>97</v>
      </c>
    </row>
    <row r="3339" spans="1:15" x14ac:dyDescent="0.2">
      <c r="A3339">
        <v>14</v>
      </c>
      <c r="B3339">
        <v>15</v>
      </c>
      <c r="C3339">
        <v>14</v>
      </c>
      <c r="D3339">
        <v>13</v>
      </c>
      <c r="E3339" t="s">
        <v>30</v>
      </c>
      <c r="F3339" t="s">
        <v>31</v>
      </c>
      <c r="G3339">
        <v>99</v>
      </c>
      <c r="H3339" t="s">
        <v>152</v>
      </c>
      <c r="I3339">
        <v>0</v>
      </c>
      <c r="J3339">
        <v>0</v>
      </c>
      <c r="K3339" t="s">
        <v>153</v>
      </c>
      <c r="L3339" t="s">
        <v>154</v>
      </c>
      <c r="M3339" t="s">
        <v>155</v>
      </c>
      <c r="N3339" t="s">
        <v>107</v>
      </c>
      <c r="O3339" t="s">
        <v>97</v>
      </c>
    </row>
    <row r="3340" spans="1:15" x14ac:dyDescent="0.2">
      <c r="A3340">
        <v>260</v>
      </c>
      <c r="B3340">
        <v>261</v>
      </c>
      <c r="C3340">
        <v>260</v>
      </c>
      <c r="D3340">
        <v>259</v>
      </c>
      <c r="E3340" t="s">
        <v>57</v>
      </c>
      <c r="F3340" t="s">
        <v>58</v>
      </c>
      <c r="G3340">
        <v>102</v>
      </c>
      <c r="H3340" t="s">
        <v>209</v>
      </c>
      <c r="I3340">
        <v>0</v>
      </c>
      <c r="J3340">
        <v>1</v>
      </c>
      <c r="K3340" t="e">
        <v>#N/A</v>
      </c>
      <c r="L3340" t="e">
        <v>#N/A</v>
      </c>
      <c r="M3340" t="e">
        <v>#N/A</v>
      </c>
      <c r="N3340" t="e">
        <v>#N/A</v>
      </c>
      <c r="O3340" t="s">
        <v>97</v>
      </c>
    </row>
    <row r="3341" spans="1:15" x14ac:dyDescent="0.2">
      <c r="A3341">
        <v>14</v>
      </c>
      <c r="B3341">
        <v>15</v>
      </c>
      <c r="C3341">
        <v>14</v>
      </c>
      <c r="D3341">
        <v>13</v>
      </c>
      <c r="E3341" t="s">
        <v>30</v>
      </c>
      <c r="F3341" t="s">
        <v>31</v>
      </c>
      <c r="G3341">
        <v>98</v>
      </c>
      <c r="H3341" t="s">
        <v>204</v>
      </c>
      <c r="I3341">
        <v>0</v>
      </c>
      <c r="J3341">
        <v>1</v>
      </c>
      <c r="K3341" t="s">
        <v>122</v>
      </c>
      <c r="L3341" t="s">
        <v>205</v>
      </c>
      <c r="M3341" t="s">
        <v>206</v>
      </c>
      <c r="N3341" t="s">
        <v>207</v>
      </c>
      <c r="O3341" t="s">
        <v>97</v>
      </c>
    </row>
    <row r="3342" spans="1:15" x14ac:dyDescent="0.2">
      <c r="A3342">
        <v>14</v>
      </c>
      <c r="B3342">
        <v>15</v>
      </c>
      <c r="C3342">
        <v>14</v>
      </c>
      <c r="D3342">
        <v>13</v>
      </c>
      <c r="E3342" t="s">
        <v>30</v>
      </c>
      <c r="F3342" t="s">
        <v>31</v>
      </c>
      <c r="G3342">
        <v>97</v>
      </c>
      <c r="H3342" t="s">
        <v>152</v>
      </c>
      <c r="I3342">
        <v>0.25</v>
      </c>
      <c r="J3342">
        <v>0.25</v>
      </c>
      <c r="K3342" t="s">
        <v>153</v>
      </c>
      <c r="L3342" t="s">
        <v>154</v>
      </c>
      <c r="M3342" t="s">
        <v>155</v>
      </c>
      <c r="N3342" t="s">
        <v>107</v>
      </c>
      <c r="O3342" t="s">
        <v>97</v>
      </c>
    </row>
    <row r="3343" spans="1:15" x14ac:dyDescent="0.2">
      <c r="A3343">
        <v>14</v>
      </c>
      <c r="B3343">
        <v>15</v>
      </c>
      <c r="C3343">
        <v>14</v>
      </c>
      <c r="D3343">
        <v>13</v>
      </c>
      <c r="E3343" t="s">
        <v>30</v>
      </c>
      <c r="F3343" t="s">
        <v>31</v>
      </c>
      <c r="G3343">
        <v>96</v>
      </c>
      <c r="H3343" t="s">
        <v>152</v>
      </c>
      <c r="I3343">
        <v>0</v>
      </c>
      <c r="J3343">
        <v>0</v>
      </c>
      <c r="K3343" t="s">
        <v>153</v>
      </c>
      <c r="L3343" t="s">
        <v>154</v>
      </c>
      <c r="M3343" t="s">
        <v>155</v>
      </c>
      <c r="N3343" t="s">
        <v>107</v>
      </c>
      <c r="O3343" t="s">
        <v>97</v>
      </c>
    </row>
    <row r="3344" spans="1:15" x14ac:dyDescent="0.2">
      <c r="A3344">
        <v>239</v>
      </c>
      <c r="B3344">
        <v>240</v>
      </c>
      <c r="C3344">
        <v>239</v>
      </c>
      <c r="D3344">
        <v>238</v>
      </c>
      <c r="E3344" t="s">
        <v>251</v>
      </c>
      <c r="F3344" t="s">
        <v>49</v>
      </c>
      <c r="G3344">
        <v>102</v>
      </c>
      <c r="H3344" t="s">
        <v>209</v>
      </c>
      <c r="I3344">
        <v>0</v>
      </c>
      <c r="J3344">
        <v>1</v>
      </c>
      <c r="K3344" t="e">
        <v>#N/A</v>
      </c>
      <c r="L3344" t="e">
        <v>#N/A</v>
      </c>
      <c r="M3344" t="e">
        <v>#N/A</v>
      </c>
      <c r="N3344" t="e">
        <v>#N/A</v>
      </c>
      <c r="O3344" t="s">
        <v>97</v>
      </c>
    </row>
    <row r="3345" spans="1:15" x14ac:dyDescent="0.2">
      <c r="A3345">
        <v>234</v>
      </c>
      <c r="B3345">
        <v>235</v>
      </c>
      <c r="C3345">
        <v>234</v>
      </c>
      <c r="D3345">
        <v>233</v>
      </c>
      <c r="E3345" t="s">
        <v>251</v>
      </c>
      <c r="F3345" t="s">
        <v>48</v>
      </c>
      <c r="G3345">
        <v>102</v>
      </c>
      <c r="H3345" t="s">
        <v>209</v>
      </c>
      <c r="I3345">
        <v>0</v>
      </c>
      <c r="J3345">
        <v>1</v>
      </c>
      <c r="K3345" t="e">
        <v>#N/A</v>
      </c>
      <c r="L3345" t="e">
        <v>#N/A</v>
      </c>
      <c r="M3345" t="e">
        <v>#N/A</v>
      </c>
      <c r="N3345" t="e">
        <v>#N/A</v>
      </c>
      <c r="O3345" t="s">
        <v>97</v>
      </c>
    </row>
    <row r="3346" spans="1:15" x14ac:dyDescent="0.2">
      <c r="A3346">
        <v>229</v>
      </c>
      <c r="B3346">
        <v>230</v>
      </c>
      <c r="C3346">
        <v>229</v>
      </c>
      <c r="D3346">
        <v>228</v>
      </c>
      <c r="E3346" t="s">
        <v>251</v>
      </c>
      <c r="F3346" t="s">
        <v>47</v>
      </c>
      <c r="G3346">
        <v>102</v>
      </c>
      <c r="H3346" t="s">
        <v>209</v>
      </c>
      <c r="I3346">
        <v>0</v>
      </c>
      <c r="J3346">
        <v>1</v>
      </c>
      <c r="K3346" t="e">
        <v>#N/A</v>
      </c>
      <c r="L3346" t="e">
        <v>#N/A</v>
      </c>
      <c r="M3346" t="e">
        <v>#N/A</v>
      </c>
      <c r="N3346" t="e">
        <v>#N/A</v>
      </c>
      <c r="O3346" t="s">
        <v>97</v>
      </c>
    </row>
    <row r="3347" spans="1:15" x14ac:dyDescent="0.2">
      <c r="A3347">
        <v>234</v>
      </c>
      <c r="B3347">
        <v>235</v>
      </c>
      <c r="C3347">
        <v>234</v>
      </c>
      <c r="D3347">
        <v>233</v>
      </c>
      <c r="E3347" t="s">
        <v>251</v>
      </c>
      <c r="F3347" t="s">
        <v>48</v>
      </c>
      <c r="G3347">
        <v>102</v>
      </c>
      <c r="H3347" t="s">
        <v>209</v>
      </c>
      <c r="I3347">
        <v>0</v>
      </c>
      <c r="J3347">
        <v>1</v>
      </c>
      <c r="K3347" t="e">
        <v>#N/A</v>
      </c>
      <c r="L3347" t="e">
        <v>#N/A</v>
      </c>
      <c r="M3347" t="e">
        <v>#N/A</v>
      </c>
      <c r="N3347" t="e">
        <v>#N/A</v>
      </c>
      <c r="O3347" t="s">
        <v>97</v>
      </c>
    </row>
    <row r="3348" spans="1:15" x14ac:dyDescent="0.2">
      <c r="A3348">
        <v>229</v>
      </c>
      <c r="B3348">
        <v>230</v>
      </c>
      <c r="C3348">
        <v>229</v>
      </c>
      <c r="D3348">
        <v>228</v>
      </c>
      <c r="E3348" t="s">
        <v>251</v>
      </c>
      <c r="F3348" t="s">
        <v>47</v>
      </c>
      <c r="G3348">
        <v>102</v>
      </c>
      <c r="H3348" t="s">
        <v>209</v>
      </c>
      <c r="I3348">
        <v>0</v>
      </c>
      <c r="J3348">
        <v>1</v>
      </c>
      <c r="K3348" t="e">
        <v>#N/A</v>
      </c>
      <c r="L3348" t="e">
        <v>#N/A</v>
      </c>
      <c r="M3348" t="e">
        <v>#N/A</v>
      </c>
      <c r="N3348" t="e">
        <v>#N/A</v>
      </c>
      <c r="O3348" t="s">
        <v>97</v>
      </c>
    </row>
    <row r="3349" spans="1:15" x14ac:dyDescent="0.2">
      <c r="A3349">
        <v>44</v>
      </c>
      <c r="B3349">
        <v>45</v>
      </c>
      <c r="C3349">
        <v>44</v>
      </c>
      <c r="D3349">
        <v>43</v>
      </c>
      <c r="E3349" t="s">
        <v>30</v>
      </c>
      <c r="F3349" t="s">
        <v>38</v>
      </c>
      <c r="G3349">
        <v>102</v>
      </c>
      <c r="H3349" t="s">
        <v>209</v>
      </c>
      <c r="I3349">
        <v>0</v>
      </c>
      <c r="J3349">
        <v>1</v>
      </c>
      <c r="K3349" t="e">
        <v>#N/A</v>
      </c>
      <c r="L3349" t="e">
        <v>#N/A</v>
      </c>
      <c r="M3349" t="e">
        <v>#N/A</v>
      </c>
      <c r="N3349" t="e">
        <v>#N/A</v>
      </c>
      <c r="O3349" t="s">
        <v>97</v>
      </c>
    </row>
    <row r="3350" spans="1:15" x14ac:dyDescent="0.2">
      <c r="A3350">
        <v>410</v>
      </c>
      <c r="B3350">
        <v>411</v>
      </c>
      <c r="C3350">
        <v>410</v>
      </c>
      <c r="D3350">
        <v>409</v>
      </c>
      <c r="E3350" t="s">
        <v>57</v>
      </c>
      <c r="F3350" t="s">
        <v>78</v>
      </c>
      <c r="G3350">
        <v>102</v>
      </c>
      <c r="H3350" t="s">
        <v>209</v>
      </c>
      <c r="I3350">
        <v>0</v>
      </c>
      <c r="J3350">
        <v>1</v>
      </c>
      <c r="K3350" t="e">
        <v>#N/A</v>
      </c>
      <c r="L3350" t="e">
        <v>#N/A</v>
      </c>
      <c r="M3350" t="e">
        <v>#N/A</v>
      </c>
      <c r="N3350" t="e">
        <v>#N/A</v>
      </c>
      <c r="O3350" t="s">
        <v>97</v>
      </c>
    </row>
    <row r="3351" spans="1:15" x14ac:dyDescent="0.2">
      <c r="A3351">
        <v>14</v>
      </c>
      <c r="B3351">
        <v>15</v>
      </c>
      <c r="C3351">
        <v>14</v>
      </c>
      <c r="D3351">
        <v>13</v>
      </c>
      <c r="E3351" t="s">
        <v>30</v>
      </c>
      <c r="F3351" t="s">
        <v>31</v>
      </c>
      <c r="G3351">
        <v>101</v>
      </c>
      <c r="H3351" t="s">
        <v>208</v>
      </c>
      <c r="I3351">
        <v>0</v>
      </c>
      <c r="J3351">
        <v>1</v>
      </c>
      <c r="K3351" t="e">
        <v>#N/A</v>
      </c>
      <c r="L3351" t="e">
        <v>#N/A</v>
      </c>
      <c r="M3351" t="e">
        <v>#N/A</v>
      </c>
      <c r="N3351" t="e">
        <v>#N/A</v>
      </c>
      <c r="O3351" t="s">
        <v>97</v>
      </c>
    </row>
    <row r="3352" spans="1:15" x14ac:dyDescent="0.2">
      <c r="A3352">
        <v>360</v>
      </c>
      <c r="B3352">
        <v>361</v>
      </c>
      <c r="C3352">
        <v>360</v>
      </c>
      <c r="D3352">
        <v>359</v>
      </c>
      <c r="E3352" t="s">
        <v>57</v>
      </c>
      <c r="F3352" t="s">
        <v>64</v>
      </c>
      <c r="G3352">
        <v>102</v>
      </c>
      <c r="H3352" t="s">
        <v>209</v>
      </c>
      <c r="I3352">
        <v>0</v>
      </c>
      <c r="J3352">
        <v>1</v>
      </c>
      <c r="K3352" t="e">
        <v>#N/A</v>
      </c>
      <c r="L3352" t="e">
        <v>#N/A</v>
      </c>
      <c r="M3352" t="e">
        <v>#N/A</v>
      </c>
      <c r="N3352" t="e">
        <v>#N/A</v>
      </c>
      <c r="O3352" t="s">
        <v>97</v>
      </c>
    </row>
    <row r="3353" spans="1:15" x14ac:dyDescent="0.2">
      <c r="A3353">
        <v>355</v>
      </c>
      <c r="B3353">
        <v>356</v>
      </c>
      <c r="C3353">
        <v>355</v>
      </c>
      <c r="D3353">
        <v>354</v>
      </c>
      <c r="E3353" t="s">
        <v>57</v>
      </c>
      <c r="F3353" t="s">
        <v>71</v>
      </c>
      <c r="G3353">
        <v>102</v>
      </c>
      <c r="H3353" t="s">
        <v>209</v>
      </c>
      <c r="I3353">
        <v>0</v>
      </c>
      <c r="J3353">
        <v>1</v>
      </c>
      <c r="K3353" t="e">
        <v>#N/A</v>
      </c>
      <c r="L3353" t="e">
        <v>#N/A</v>
      </c>
      <c r="M3353" t="e">
        <v>#N/A</v>
      </c>
      <c r="N3353" t="e">
        <v>#N/A</v>
      </c>
      <c r="O3353" t="s">
        <v>97</v>
      </c>
    </row>
    <row r="3354" spans="1:15" x14ac:dyDescent="0.2">
      <c r="A3354">
        <v>75</v>
      </c>
      <c r="B3354">
        <v>76</v>
      </c>
      <c r="C3354">
        <v>75</v>
      </c>
      <c r="D3354">
        <v>74</v>
      </c>
      <c r="E3354" t="s">
        <v>5</v>
      </c>
      <c r="F3354" t="s">
        <v>6</v>
      </c>
      <c r="G3354">
        <v>103</v>
      </c>
      <c r="H3354" t="s">
        <v>210</v>
      </c>
      <c r="I3354">
        <v>0</v>
      </c>
      <c r="J3354">
        <v>1</v>
      </c>
      <c r="K3354" t="e">
        <v>#N/A</v>
      </c>
      <c r="L3354" t="e">
        <v>#N/A</v>
      </c>
      <c r="M3354" t="e">
        <v>#N/A</v>
      </c>
      <c r="N3354" t="e">
        <v>#N/A</v>
      </c>
      <c r="O3354" t="s">
        <v>97</v>
      </c>
    </row>
    <row r="3355" spans="1:15" x14ac:dyDescent="0.2">
      <c r="A3355">
        <v>80</v>
      </c>
      <c r="B3355">
        <v>81</v>
      </c>
      <c r="C3355">
        <v>80</v>
      </c>
      <c r="D3355">
        <v>79</v>
      </c>
      <c r="E3355" t="s">
        <v>5</v>
      </c>
      <c r="F3355" t="s">
        <v>9</v>
      </c>
      <c r="G3355">
        <v>103</v>
      </c>
      <c r="H3355" t="s">
        <v>210</v>
      </c>
      <c r="I3355">
        <v>0</v>
      </c>
      <c r="J3355">
        <v>1</v>
      </c>
      <c r="K3355" t="e">
        <v>#N/A</v>
      </c>
      <c r="L3355" t="e">
        <v>#N/A</v>
      </c>
      <c r="M3355" t="e">
        <v>#N/A</v>
      </c>
      <c r="N3355" t="e">
        <v>#N/A</v>
      </c>
      <c r="O3355" t="s">
        <v>97</v>
      </c>
    </row>
    <row r="3356" spans="1:15" x14ac:dyDescent="0.2">
      <c r="A3356">
        <v>14</v>
      </c>
      <c r="B3356">
        <v>15</v>
      </c>
      <c r="C3356">
        <v>14</v>
      </c>
      <c r="D3356">
        <v>13</v>
      </c>
      <c r="E3356" t="s">
        <v>30</v>
      </c>
      <c r="F3356" t="s">
        <v>31</v>
      </c>
      <c r="G3356">
        <v>102</v>
      </c>
      <c r="H3356" t="s">
        <v>209</v>
      </c>
      <c r="I3356">
        <v>0</v>
      </c>
      <c r="J3356">
        <v>1</v>
      </c>
      <c r="K3356" t="e">
        <v>#N/A</v>
      </c>
      <c r="L3356" t="e">
        <v>#N/A</v>
      </c>
      <c r="M3356" t="e">
        <v>#N/A</v>
      </c>
      <c r="N3356" t="e">
        <v>#N/A</v>
      </c>
      <c r="O3356" t="s">
        <v>97</v>
      </c>
    </row>
    <row r="3357" spans="1:15" x14ac:dyDescent="0.2">
      <c r="A3357">
        <v>90</v>
      </c>
      <c r="B3357">
        <v>91</v>
      </c>
      <c r="C3357">
        <v>90</v>
      </c>
      <c r="D3357">
        <v>89</v>
      </c>
      <c r="E3357" t="s">
        <v>5</v>
      </c>
      <c r="F3357" t="s">
        <v>11</v>
      </c>
      <c r="G3357">
        <v>103</v>
      </c>
      <c r="H3357" t="s">
        <v>210</v>
      </c>
      <c r="I3357">
        <v>0</v>
      </c>
      <c r="J3357">
        <v>1</v>
      </c>
      <c r="K3357" t="e">
        <v>#N/A</v>
      </c>
      <c r="L3357" t="e">
        <v>#N/A</v>
      </c>
      <c r="M3357" t="e">
        <v>#N/A</v>
      </c>
      <c r="N3357" t="e">
        <v>#N/A</v>
      </c>
      <c r="O3357" t="s">
        <v>97</v>
      </c>
    </row>
    <row r="3358" spans="1:15" x14ac:dyDescent="0.2">
      <c r="A3358">
        <v>95</v>
      </c>
      <c r="B3358">
        <v>96</v>
      </c>
      <c r="C3358">
        <v>95</v>
      </c>
      <c r="D3358">
        <v>94</v>
      </c>
      <c r="E3358" t="s">
        <v>5</v>
      </c>
      <c r="F3358" t="s">
        <v>12</v>
      </c>
      <c r="G3358">
        <v>103</v>
      </c>
      <c r="H3358" t="s">
        <v>210</v>
      </c>
      <c r="I3358">
        <v>0</v>
      </c>
      <c r="J3358">
        <v>1</v>
      </c>
      <c r="K3358" t="e">
        <v>#N/A</v>
      </c>
      <c r="L3358" t="e">
        <v>#N/A</v>
      </c>
      <c r="M3358" t="e">
        <v>#N/A</v>
      </c>
      <c r="N3358" t="e">
        <v>#N/A</v>
      </c>
      <c r="O3358" t="s">
        <v>97</v>
      </c>
    </row>
    <row r="3359" spans="1:15" x14ac:dyDescent="0.2">
      <c r="A3359">
        <v>100</v>
      </c>
      <c r="B3359">
        <v>101</v>
      </c>
      <c r="C3359">
        <v>100</v>
      </c>
      <c r="D3359">
        <v>99</v>
      </c>
      <c r="E3359" t="s">
        <v>5</v>
      </c>
      <c r="F3359" t="s">
        <v>14</v>
      </c>
      <c r="G3359">
        <v>103</v>
      </c>
      <c r="H3359" t="s">
        <v>210</v>
      </c>
      <c r="I3359">
        <v>0</v>
      </c>
      <c r="J3359">
        <v>1</v>
      </c>
      <c r="K3359" t="e">
        <v>#N/A</v>
      </c>
      <c r="L3359" t="e">
        <v>#N/A</v>
      </c>
      <c r="M3359" t="e">
        <v>#N/A</v>
      </c>
      <c r="N3359" t="e">
        <v>#N/A</v>
      </c>
      <c r="O3359" t="s">
        <v>97</v>
      </c>
    </row>
    <row r="3360" spans="1:15" x14ac:dyDescent="0.2">
      <c r="A3360">
        <v>105</v>
      </c>
      <c r="B3360">
        <v>106</v>
      </c>
      <c r="C3360">
        <v>105</v>
      </c>
      <c r="D3360">
        <v>104</v>
      </c>
      <c r="E3360" t="s">
        <v>5</v>
      </c>
      <c r="F3360" t="s">
        <v>15</v>
      </c>
      <c r="G3360">
        <v>103</v>
      </c>
      <c r="H3360" t="s">
        <v>210</v>
      </c>
      <c r="I3360">
        <v>0</v>
      </c>
      <c r="J3360">
        <v>1</v>
      </c>
      <c r="K3360" t="e">
        <v>#N/A</v>
      </c>
      <c r="L3360" t="e">
        <v>#N/A</v>
      </c>
      <c r="M3360" t="e">
        <v>#N/A</v>
      </c>
      <c r="N3360" t="e">
        <v>#N/A</v>
      </c>
      <c r="O3360" t="s">
        <v>97</v>
      </c>
    </row>
    <row r="3361" spans="1:15" x14ac:dyDescent="0.2">
      <c r="A3361">
        <v>110</v>
      </c>
      <c r="B3361">
        <v>111</v>
      </c>
      <c r="C3361">
        <v>110</v>
      </c>
      <c r="D3361">
        <v>109</v>
      </c>
      <c r="E3361" t="s">
        <v>5</v>
      </c>
      <c r="F3361" t="s">
        <v>16</v>
      </c>
      <c r="G3361">
        <v>103</v>
      </c>
      <c r="H3361" t="s">
        <v>210</v>
      </c>
      <c r="I3361">
        <v>0</v>
      </c>
      <c r="J3361">
        <v>1</v>
      </c>
      <c r="K3361" t="e">
        <v>#N/A</v>
      </c>
      <c r="L3361" t="e">
        <v>#N/A</v>
      </c>
      <c r="M3361" t="e">
        <v>#N/A</v>
      </c>
      <c r="N3361" t="e">
        <v>#N/A</v>
      </c>
      <c r="O3361" t="s">
        <v>97</v>
      </c>
    </row>
    <row r="3362" spans="1:15" x14ac:dyDescent="0.2">
      <c r="A3362">
        <v>115</v>
      </c>
      <c r="B3362">
        <v>116</v>
      </c>
      <c r="C3362">
        <v>115</v>
      </c>
      <c r="D3362">
        <v>114</v>
      </c>
      <c r="E3362" t="s">
        <v>5</v>
      </c>
      <c r="F3362" t="s">
        <v>17</v>
      </c>
      <c r="G3362">
        <v>103</v>
      </c>
      <c r="H3362" t="s">
        <v>210</v>
      </c>
      <c r="I3362">
        <v>0</v>
      </c>
      <c r="J3362">
        <v>1</v>
      </c>
      <c r="K3362" t="e">
        <v>#N/A</v>
      </c>
      <c r="L3362" t="e">
        <v>#N/A</v>
      </c>
      <c r="M3362" t="e">
        <v>#N/A</v>
      </c>
      <c r="N3362" t="e">
        <v>#N/A</v>
      </c>
      <c r="O3362" t="s">
        <v>97</v>
      </c>
    </row>
    <row r="3363" spans="1:15" x14ac:dyDescent="0.2">
      <c r="A3363">
        <v>120</v>
      </c>
      <c r="B3363">
        <v>121</v>
      </c>
      <c r="C3363">
        <v>120</v>
      </c>
      <c r="D3363">
        <v>119</v>
      </c>
      <c r="E3363" t="s">
        <v>5</v>
      </c>
      <c r="F3363" t="s">
        <v>18</v>
      </c>
      <c r="G3363">
        <v>103</v>
      </c>
      <c r="H3363" t="s">
        <v>210</v>
      </c>
      <c r="I3363">
        <v>0</v>
      </c>
      <c r="J3363">
        <v>1</v>
      </c>
      <c r="K3363" t="e">
        <v>#N/A</v>
      </c>
      <c r="L3363" t="e">
        <v>#N/A</v>
      </c>
      <c r="M3363" t="e">
        <v>#N/A</v>
      </c>
      <c r="N3363" t="e">
        <v>#N/A</v>
      </c>
      <c r="O3363" t="s">
        <v>97</v>
      </c>
    </row>
    <row r="3364" spans="1:15" x14ac:dyDescent="0.2">
      <c r="A3364">
        <v>125</v>
      </c>
      <c r="B3364">
        <v>126</v>
      </c>
      <c r="C3364">
        <v>125</v>
      </c>
      <c r="D3364">
        <v>124</v>
      </c>
      <c r="E3364" t="s">
        <v>5</v>
      </c>
      <c r="F3364" t="s">
        <v>19</v>
      </c>
      <c r="G3364">
        <v>103</v>
      </c>
      <c r="H3364" t="s">
        <v>210</v>
      </c>
      <c r="I3364">
        <v>0</v>
      </c>
      <c r="J3364">
        <v>1</v>
      </c>
      <c r="K3364" t="e">
        <v>#N/A</v>
      </c>
      <c r="L3364" t="e">
        <v>#N/A</v>
      </c>
      <c r="M3364" t="e">
        <v>#N/A</v>
      </c>
      <c r="N3364" t="e">
        <v>#N/A</v>
      </c>
      <c r="O3364" t="s">
        <v>97</v>
      </c>
    </row>
    <row r="3365" spans="1:15" x14ac:dyDescent="0.2">
      <c r="A3365">
        <v>130</v>
      </c>
      <c r="B3365">
        <v>131</v>
      </c>
      <c r="C3365">
        <v>130</v>
      </c>
      <c r="D3365">
        <v>129</v>
      </c>
      <c r="E3365" t="s">
        <v>5</v>
      </c>
      <c r="F3365" t="s">
        <v>20</v>
      </c>
      <c r="G3365">
        <v>103</v>
      </c>
      <c r="H3365" t="s">
        <v>210</v>
      </c>
      <c r="I3365">
        <v>0</v>
      </c>
      <c r="J3365">
        <v>1</v>
      </c>
      <c r="K3365" t="e">
        <v>#N/A</v>
      </c>
      <c r="L3365" t="e">
        <v>#N/A</v>
      </c>
      <c r="M3365" t="e">
        <v>#N/A</v>
      </c>
      <c r="N3365" t="e">
        <v>#N/A</v>
      </c>
      <c r="O3365" t="s">
        <v>97</v>
      </c>
    </row>
    <row r="3366" spans="1:15" x14ac:dyDescent="0.2">
      <c r="A3366">
        <v>135</v>
      </c>
      <c r="B3366">
        <v>136</v>
      </c>
      <c r="C3366">
        <v>135</v>
      </c>
      <c r="D3366">
        <v>134</v>
      </c>
      <c r="E3366" t="s">
        <v>5</v>
      </c>
      <c r="F3366" t="s">
        <v>21</v>
      </c>
      <c r="G3366">
        <v>103</v>
      </c>
      <c r="H3366" t="s">
        <v>210</v>
      </c>
      <c r="I3366">
        <v>0</v>
      </c>
      <c r="J3366">
        <v>1</v>
      </c>
      <c r="K3366" t="e">
        <v>#N/A</v>
      </c>
      <c r="L3366" t="e">
        <v>#N/A</v>
      </c>
      <c r="M3366" t="e">
        <v>#N/A</v>
      </c>
      <c r="N3366" t="e">
        <v>#N/A</v>
      </c>
      <c r="O3366" t="s">
        <v>97</v>
      </c>
    </row>
    <row r="3367" spans="1:15" x14ac:dyDescent="0.2">
      <c r="A3367">
        <v>140</v>
      </c>
      <c r="B3367">
        <v>141</v>
      </c>
      <c r="C3367">
        <v>140</v>
      </c>
      <c r="D3367">
        <v>139</v>
      </c>
      <c r="E3367" t="s">
        <v>5</v>
      </c>
      <c r="F3367" t="s">
        <v>22</v>
      </c>
      <c r="G3367">
        <v>103</v>
      </c>
      <c r="H3367" t="s">
        <v>210</v>
      </c>
      <c r="I3367">
        <v>0</v>
      </c>
      <c r="J3367">
        <v>1</v>
      </c>
      <c r="K3367" t="e">
        <v>#N/A</v>
      </c>
      <c r="L3367" t="e">
        <v>#N/A</v>
      </c>
      <c r="M3367" t="e">
        <v>#N/A</v>
      </c>
      <c r="N3367" t="e">
        <v>#N/A</v>
      </c>
      <c r="O3367" t="s">
        <v>97</v>
      </c>
    </row>
    <row r="3368" spans="1:15" x14ac:dyDescent="0.2">
      <c r="A3368">
        <v>145</v>
      </c>
      <c r="B3368">
        <v>146</v>
      </c>
      <c r="C3368">
        <v>145</v>
      </c>
      <c r="D3368">
        <v>144</v>
      </c>
      <c r="E3368" t="s">
        <v>5</v>
      </c>
      <c r="F3368" t="s">
        <v>23</v>
      </c>
      <c r="G3368">
        <v>103</v>
      </c>
      <c r="H3368" t="s">
        <v>210</v>
      </c>
      <c r="I3368">
        <v>0</v>
      </c>
      <c r="J3368">
        <v>1</v>
      </c>
      <c r="K3368" t="e">
        <v>#N/A</v>
      </c>
      <c r="L3368" t="e">
        <v>#N/A</v>
      </c>
      <c r="M3368" t="e">
        <v>#N/A</v>
      </c>
      <c r="N3368" t="e">
        <v>#N/A</v>
      </c>
      <c r="O3368" t="s">
        <v>97</v>
      </c>
    </row>
    <row r="3369" spans="1:15" x14ac:dyDescent="0.2">
      <c r="A3369">
        <v>14</v>
      </c>
      <c r="B3369">
        <v>15</v>
      </c>
      <c r="C3369">
        <v>14</v>
      </c>
      <c r="D3369">
        <v>13</v>
      </c>
      <c r="E3369" t="s">
        <v>30</v>
      </c>
      <c r="F3369" t="s">
        <v>31</v>
      </c>
      <c r="G3369">
        <v>103</v>
      </c>
      <c r="H3369" t="s">
        <v>210</v>
      </c>
      <c r="I3369">
        <v>0</v>
      </c>
      <c r="J3369">
        <v>1</v>
      </c>
      <c r="K3369" t="e">
        <v>#N/A</v>
      </c>
      <c r="L3369" t="e">
        <v>#N/A</v>
      </c>
      <c r="M3369" t="e">
        <v>#N/A</v>
      </c>
      <c r="N3369" t="e">
        <v>#N/A</v>
      </c>
      <c r="O3369" t="s">
        <v>97</v>
      </c>
    </row>
    <row r="3370" spans="1:15" x14ac:dyDescent="0.2">
      <c r="A3370">
        <v>155</v>
      </c>
      <c r="B3370">
        <v>156</v>
      </c>
      <c r="C3370">
        <v>155</v>
      </c>
      <c r="D3370">
        <v>154</v>
      </c>
      <c r="E3370" t="s">
        <v>5</v>
      </c>
      <c r="F3370" t="s">
        <v>25</v>
      </c>
      <c r="G3370">
        <v>103</v>
      </c>
      <c r="H3370" t="s">
        <v>210</v>
      </c>
      <c r="I3370">
        <v>0</v>
      </c>
      <c r="J3370">
        <v>1</v>
      </c>
      <c r="K3370" t="e">
        <v>#N/A</v>
      </c>
      <c r="L3370" t="e">
        <v>#N/A</v>
      </c>
      <c r="M3370" t="e">
        <v>#N/A</v>
      </c>
      <c r="N3370" t="e">
        <v>#N/A</v>
      </c>
      <c r="O3370" t="s">
        <v>97</v>
      </c>
    </row>
    <row r="3371" spans="1:15" x14ac:dyDescent="0.2">
      <c r="A3371">
        <v>49</v>
      </c>
      <c r="B3371">
        <v>50</v>
      </c>
      <c r="C3371">
        <v>49</v>
      </c>
      <c r="D3371">
        <v>48</v>
      </c>
      <c r="E3371" t="s">
        <v>30</v>
      </c>
      <c r="F3371" t="s">
        <v>315</v>
      </c>
      <c r="G3371">
        <v>1</v>
      </c>
      <c r="H3371" t="s">
        <v>92</v>
      </c>
      <c r="I3371">
        <v>0</v>
      </c>
      <c r="J3371">
        <v>0.2</v>
      </c>
      <c r="K3371" t="s">
        <v>93</v>
      </c>
      <c r="L3371" t="s">
        <v>94</v>
      </c>
      <c r="M3371" t="s">
        <v>95</v>
      </c>
      <c r="N3371" t="s">
        <v>96</v>
      </c>
      <c r="O3371" t="s">
        <v>97</v>
      </c>
    </row>
    <row r="3372" spans="1:15" x14ac:dyDescent="0.2">
      <c r="A3372">
        <v>165</v>
      </c>
      <c r="B3372">
        <v>166</v>
      </c>
      <c r="C3372">
        <v>165</v>
      </c>
      <c r="D3372">
        <v>164</v>
      </c>
      <c r="E3372" t="s">
        <v>5</v>
      </c>
      <c r="F3372" t="s">
        <v>27</v>
      </c>
      <c r="G3372">
        <v>103</v>
      </c>
      <c r="H3372" t="s">
        <v>210</v>
      </c>
      <c r="I3372">
        <v>0</v>
      </c>
      <c r="J3372">
        <v>1</v>
      </c>
      <c r="K3372" t="e">
        <v>#N/A</v>
      </c>
      <c r="L3372" t="e">
        <v>#N/A</v>
      </c>
      <c r="M3372" t="e">
        <v>#N/A</v>
      </c>
      <c r="N3372" t="e">
        <v>#N/A</v>
      </c>
      <c r="O3372" t="s">
        <v>97</v>
      </c>
    </row>
    <row r="3373" spans="1:15" x14ac:dyDescent="0.2">
      <c r="A3373">
        <v>170</v>
      </c>
      <c r="B3373">
        <v>171</v>
      </c>
      <c r="C3373">
        <v>170</v>
      </c>
      <c r="D3373">
        <v>169</v>
      </c>
      <c r="E3373" t="s">
        <v>5</v>
      </c>
      <c r="F3373" t="s">
        <v>28</v>
      </c>
      <c r="G3373">
        <v>103</v>
      </c>
      <c r="H3373" t="s">
        <v>210</v>
      </c>
      <c r="I3373">
        <v>0</v>
      </c>
      <c r="J3373">
        <v>1</v>
      </c>
      <c r="K3373" t="e">
        <v>#N/A</v>
      </c>
      <c r="L3373" t="e">
        <v>#N/A</v>
      </c>
      <c r="M3373" t="e">
        <v>#N/A</v>
      </c>
      <c r="N3373" t="e">
        <v>#N/A</v>
      </c>
      <c r="O3373" t="s">
        <v>97</v>
      </c>
    </row>
    <row r="3374" spans="1:15" x14ac:dyDescent="0.2">
      <c r="A3374">
        <v>175</v>
      </c>
      <c r="B3374">
        <v>176</v>
      </c>
      <c r="C3374">
        <v>175</v>
      </c>
      <c r="D3374">
        <v>174</v>
      </c>
      <c r="E3374" t="s">
        <v>5</v>
      </c>
      <c r="F3374" t="s">
        <v>29</v>
      </c>
      <c r="G3374">
        <v>103</v>
      </c>
      <c r="H3374" t="s">
        <v>210</v>
      </c>
      <c r="I3374">
        <v>0</v>
      </c>
      <c r="J3374">
        <v>1</v>
      </c>
      <c r="K3374" t="e">
        <v>#N/A</v>
      </c>
      <c r="L3374" t="e">
        <v>#N/A</v>
      </c>
      <c r="M3374" t="e">
        <v>#N/A</v>
      </c>
      <c r="N3374" t="e">
        <v>#N/A</v>
      </c>
      <c r="O3374" t="s">
        <v>97</v>
      </c>
    </row>
    <row r="3375" spans="1:15" x14ac:dyDescent="0.2">
      <c r="A3375">
        <v>49</v>
      </c>
      <c r="B3375">
        <v>50</v>
      </c>
      <c r="C3375">
        <v>49</v>
      </c>
      <c r="D3375">
        <v>48</v>
      </c>
      <c r="E3375" t="s">
        <v>30</v>
      </c>
      <c r="F3375" t="s">
        <v>315</v>
      </c>
      <c r="G3375">
        <v>2</v>
      </c>
      <c r="H3375" t="s">
        <v>98</v>
      </c>
      <c r="I3375">
        <v>0.5</v>
      </c>
      <c r="J3375">
        <v>0.5</v>
      </c>
      <c r="K3375" t="s">
        <v>93</v>
      </c>
      <c r="L3375" t="s">
        <v>99</v>
      </c>
      <c r="M3375" t="s">
        <v>95</v>
      </c>
      <c r="N3375" t="s">
        <v>96</v>
      </c>
      <c r="O3375" t="s">
        <v>97</v>
      </c>
    </row>
    <row r="3376" spans="1:15" x14ac:dyDescent="0.2">
      <c r="A3376">
        <v>49</v>
      </c>
      <c r="B3376">
        <v>50</v>
      </c>
      <c r="C3376">
        <v>49</v>
      </c>
      <c r="D3376">
        <v>48</v>
      </c>
      <c r="E3376" t="s">
        <v>30</v>
      </c>
      <c r="F3376" t="s">
        <v>315</v>
      </c>
      <c r="G3376">
        <v>3</v>
      </c>
      <c r="H3376" t="s">
        <v>100</v>
      </c>
      <c r="I3376">
        <v>0</v>
      </c>
      <c r="J3376">
        <v>1</v>
      </c>
      <c r="K3376" t="s">
        <v>101</v>
      </c>
      <c r="L3376" t="s">
        <v>102</v>
      </c>
      <c r="M3376" t="s">
        <v>103</v>
      </c>
      <c r="N3376" t="s">
        <v>96</v>
      </c>
      <c r="O3376" t="s">
        <v>97</v>
      </c>
    </row>
    <row r="3377" spans="1:15" x14ac:dyDescent="0.2">
      <c r="A3377">
        <v>24</v>
      </c>
      <c r="B3377">
        <v>25</v>
      </c>
      <c r="C3377">
        <v>24</v>
      </c>
      <c r="D3377">
        <v>23</v>
      </c>
      <c r="E3377" t="s">
        <v>30</v>
      </c>
      <c r="F3377" t="s">
        <v>33</v>
      </c>
      <c r="G3377">
        <v>103</v>
      </c>
      <c r="H3377" t="s">
        <v>210</v>
      </c>
      <c r="I3377">
        <v>0</v>
      </c>
      <c r="J3377">
        <v>1</v>
      </c>
      <c r="K3377" t="e">
        <v>#N/A</v>
      </c>
      <c r="L3377" t="e">
        <v>#N/A</v>
      </c>
      <c r="M3377" t="e">
        <v>#N/A</v>
      </c>
      <c r="N3377" t="e">
        <v>#N/A</v>
      </c>
      <c r="O3377" t="s">
        <v>97</v>
      </c>
    </row>
    <row r="3378" spans="1:15" x14ac:dyDescent="0.2">
      <c r="A3378">
        <v>29</v>
      </c>
      <c r="B3378">
        <v>30</v>
      </c>
      <c r="C3378">
        <v>29</v>
      </c>
      <c r="D3378">
        <v>28</v>
      </c>
      <c r="E3378" t="s">
        <v>30</v>
      </c>
      <c r="F3378" t="s">
        <v>211</v>
      </c>
      <c r="G3378">
        <v>103</v>
      </c>
      <c r="H3378" t="s">
        <v>210</v>
      </c>
      <c r="I3378">
        <v>0</v>
      </c>
      <c r="J3378">
        <v>1</v>
      </c>
      <c r="K3378" t="e">
        <v>#N/A</v>
      </c>
      <c r="L3378" t="e">
        <v>#N/A</v>
      </c>
      <c r="M3378" t="e">
        <v>#N/A</v>
      </c>
      <c r="N3378" t="e">
        <v>#N/A</v>
      </c>
      <c r="O3378" t="s">
        <v>97</v>
      </c>
    </row>
    <row r="3379" spans="1:15" x14ac:dyDescent="0.2">
      <c r="A3379">
        <v>34</v>
      </c>
      <c r="B3379">
        <v>35</v>
      </c>
      <c r="C3379">
        <v>34</v>
      </c>
      <c r="D3379">
        <v>33</v>
      </c>
      <c r="E3379" t="s">
        <v>30</v>
      </c>
      <c r="F3379" t="s">
        <v>35</v>
      </c>
      <c r="G3379">
        <v>103</v>
      </c>
      <c r="H3379" t="s">
        <v>210</v>
      </c>
      <c r="I3379">
        <v>0</v>
      </c>
      <c r="J3379">
        <v>1</v>
      </c>
      <c r="K3379" t="e">
        <v>#N/A</v>
      </c>
      <c r="L3379" t="e">
        <v>#N/A</v>
      </c>
      <c r="M3379" t="e">
        <v>#N/A</v>
      </c>
      <c r="N3379" t="e">
        <v>#N/A</v>
      </c>
      <c r="O3379" t="s">
        <v>97</v>
      </c>
    </row>
    <row r="3380" spans="1:15" x14ac:dyDescent="0.2">
      <c r="A3380">
        <v>39</v>
      </c>
      <c r="B3380">
        <v>40</v>
      </c>
      <c r="C3380">
        <v>39</v>
      </c>
      <c r="D3380">
        <v>38</v>
      </c>
      <c r="E3380" t="s">
        <v>30</v>
      </c>
      <c r="F3380" t="s">
        <v>36</v>
      </c>
      <c r="G3380">
        <v>103</v>
      </c>
      <c r="H3380" t="s">
        <v>210</v>
      </c>
      <c r="I3380">
        <v>0</v>
      </c>
      <c r="J3380">
        <v>1</v>
      </c>
      <c r="K3380" t="e">
        <v>#N/A</v>
      </c>
      <c r="L3380" t="e">
        <v>#N/A</v>
      </c>
      <c r="M3380" t="e">
        <v>#N/A</v>
      </c>
      <c r="N3380" t="e">
        <v>#N/A</v>
      </c>
      <c r="O3380" t="s">
        <v>97</v>
      </c>
    </row>
    <row r="3381" spans="1:15" x14ac:dyDescent="0.2">
      <c r="A3381">
        <v>223</v>
      </c>
      <c r="B3381">
        <v>224</v>
      </c>
      <c r="C3381">
        <v>223</v>
      </c>
      <c r="D3381">
        <v>222</v>
      </c>
      <c r="E3381" t="s">
        <v>30</v>
      </c>
      <c r="F3381" t="s">
        <v>37</v>
      </c>
      <c r="G3381">
        <v>103</v>
      </c>
      <c r="H3381" t="s">
        <v>210</v>
      </c>
      <c r="I3381">
        <v>0</v>
      </c>
      <c r="J3381">
        <v>1</v>
      </c>
      <c r="K3381" t="e">
        <v>#N/A</v>
      </c>
      <c r="L3381" t="e">
        <v>#N/A</v>
      </c>
      <c r="M3381" t="e">
        <v>#N/A</v>
      </c>
      <c r="N3381" t="e">
        <v>#N/A</v>
      </c>
      <c r="O3381" t="s">
        <v>97</v>
      </c>
    </row>
    <row r="3382" spans="1:15" x14ac:dyDescent="0.2">
      <c r="A3382">
        <v>49</v>
      </c>
      <c r="B3382">
        <v>50</v>
      </c>
      <c r="C3382">
        <v>49</v>
      </c>
      <c r="D3382">
        <v>48</v>
      </c>
      <c r="E3382" t="s">
        <v>30</v>
      </c>
      <c r="F3382" t="s">
        <v>315</v>
      </c>
      <c r="G3382">
        <v>4</v>
      </c>
      <c r="H3382" t="s">
        <v>104</v>
      </c>
      <c r="I3382">
        <v>0</v>
      </c>
      <c r="J3382">
        <v>1</v>
      </c>
      <c r="K3382" t="s">
        <v>101</v>
      </c>
      <c r="L3382" t="s">
        <v>105</v>
      </c>
      <c r="M3382" t="s">
        <v>106</v>
      </c>
      <c r="N3382" t="s">
        <v>107</v>
      </c>
      <c r="O3382" t="s">
        <v>97</v>
      </c>
    </row>
    <row r="3383" spans="1:15" x14ac:dyDescent="0.2">
      <c r="A3383">
        <v>54</v>
      </c>
      <c r="B3383">
        <v>55</v>
      </c>
      <c r="C3383">
        <v>54</v>
      </c>
      <c r="D3383">
        <v>53</v>
      </c>
      <c r="E3383" t="s">
        <v>30</v>
      </c>
      <c r="F3383" t="s">
        <v>39</v>
      </c>
      <c r="G3383">
        <v>103</v>
      </c>
      <c r="H3383" t="s">
        <v>210</v>
      </c>
      <c r="I3383">
        <v>0</v>
      </c>
      <c r="J3383">
        <v>1</v>
      </c>
      <c r="K3383" t="e">
        <v>#N/A</v>
      </c>
      <c r="L3383" t="e">
        <v>#N/A</v>
      </c>
      <c r="M3383" t="e">
        <v>#N/A</v>
      </c>
      <c r="N3383" t="e">
        <v>#N/A</v>
      </c>
      <c r="O3383" t="s">
        <v>97</v>
      </c>
    </row>
    <row r="3384" spans="1:15" x14ac:dyDescent="0.2">
      <c r="A3384">
        <v>49</v>
      </c>
      <c r="B3384">
        <v>50</v>
      </c>
      <c r="C3384">
        <v>49</v>
      </c>
      <c r="D3384">
        <v>48</v>
      </c>
      <c r="E3384" t="s">
        <v>30</v>
      </c>
      <c r="F3384" t="s">
        <v>315</v>
      </c>
      <c r="G3384">
        <v>5</v>
      </c>
      <c r="H3384" t="s">
        <v>108</v>
      </c>
      <c r="I3384">
        <v>0.5</v>
      </c>
      <c r="J3384">
        <v>1</v>
      </c>
      <c r="K3384" t="s">
        <v>101</v>
      </c>
      <c r="L3384" t="s">
        <v>109</v>
      </c>
      <c r="M3384" t="s">
        <v>110</v>
      </c>
      <c r="N3384" t="s">
        <v>107</v>
      </c>
      <c r="O3384" t="s">
        <v>97</v>
      </c>
    </row>
    <row r="3385" spans="1:15" x14ac:dyDescent="0.2">
      <c r="A3385">
        <v>49</v>
      </c>
      <c r="B3385">
        <v>50</v>
      </c>
      <c r="C3385">
        <v>49</v>
      </c>
      <c r="D3385">
        <v>48</v>
      </c>
      <c r="E3385" t="s">
        <v>30</v>
      </c>
      <c r="F3385" t="s">
        <v>315</v>
      </c>
      <c r="G3385">
        <v>9</v>
      </c>
      <c r="H3385" t="s">
        <v>111</v>
      </c>
      <c r="I3385">
        <v>0.5</v>
      </c>
      <c r="J3385">
        <v>0.5</v>
      </c>
      <c r="K3385" t="s">
        <v>112</v>
      </c>
      <c r="L3385" t="s">
        <v>113</v>
      </c>
      <c r="M3385" t="s">
        <v>114</v>
      </c>
      <c r="N3385" t="s">
        <v>96</v>
      </c>
      <c r="O3385" t="s">
        <v>97</v>
      </c>
    </row>
    <row r="3386" spans="1:15" x14ac:dyDescent="0.2">
      <c r="A3386">
        <v>49</v>
      </c>
      <c r="B3386">
        <v>50</v>
      </c>
      <c r="C3386">
        <v>49</v>
      </c>
      <c r="D3386">
        <v>48</v>
      </c>
      <c r="E3386" t="s">
        <v>30</v>
      </c>
      <c r="F3386" t="s">
        <v>315</v>
      </c>
      <c r="G3386">
        <v>10</v>
      </c>
      <c r="H3386" t="s">
        <v>115</v>
      </c>
      <c r="I3386">
        <v>0.25</v>
      </c>
      <c r="J3386">
        <v>0.5</v>
      </c>
      <c r="K3386" t="s">
        <v>112</v>
      </c>
      <c r="L3386" t="s">
        <v>116</v>
      </c>
      <c r="M3386" t="s">
        <v>117</v>
      </c>
      <c r="N3386" t="s">
        <v>96</v>
      </c>
      <c r="O3386" t="s">
        <v>97</v>
      </c>
    </row>
    <row r="3387" spans="1:15" x14ac:dyDescent="0.2">
      <c r="A3387">
        <v>181</v>
      </c>
      <c r="B3387">
        <v>182</v>
      </c>
      <c r="C3387">
        <v>181</v>
      </c>
      <c r="D3387">
        <v>180</v>
      </c>
      <c r="E3387" t="s">
        <v>40</v>
      </c>
      <c r="F3387" t="s">
        <v>41</v>
      </c>
      <c r="G3387">
        <v>103</v>
      </c>
      <c r="H3387" t="s">
        <v>210</v>
      </c>
      <c r="I3387">
        <v>1</v>
      </c>
      <c r="J3387">
        <v>1</v>
      </c>
      <c r="K3387" t="e">
        <v>#N/A</v>
      </c>
      <c r="L3387" t="e">
        <v>#N/A</v>
      </c>
      <c r="M3387" t="e">
        <v>#N/A</v>
      </c>
      <c r="N3387" t="e">
        <v>#N/A</v>
      </c>
      <c r="O3387" t="s">
        <v>97</v>
      </c>
    </row>
    <row r="3388" spans="1:15" x14ac:dyDescent="0.2">
      <c r="A3388">
        <v>186</v>
      </c>
      <c r="B3388">
        <v>187</v>
      </c>
      <c r="C3388">
        <v>186</v>
      </c>
      <c r="D3388">
        <v>185</v>
      </c>
      <c r="E3388" t="s">
        <v>40</v>
      </c>
      <c r="F3388" t="s">
        <v>42</v>
      </c>
      <c r="G3388">
        <v>103</v>
      </c>
      <c r="H3388" t="s">
        <v>210</v>
      </c>
      <c r="I3388">
        <v>0</v>
      </c>
      <c r="J3388">
        <v>1</v>
      </c>
      <c r="K3388" t="e">
        <v>#N/A</v>
      </c>
      <c r="L3388" t="e">
        <v>#N/A</v>
      </c>
      <c r="M3388" t="e">
        <v>#N/A</v>
      </c>
      <c r="N3388" t="e">
        <v>#N/A</v>
      </c>
      <c r="O3388" t="s">
        <v>97</v>
      </c>
    </row>
    <row r="3389" spans="1:15" x14ac:dyDescent="0.2">
      <c r="A3389">
        <v>49</v>
      </c>
      <c r="B3389">
        <v>50</v>
      </c>
      <c r="C3389">
        <v>49</v>
      </c>
      <c r="D3389">
        <v>48</v>
      </c>
      <c r="E3389" t="s">
        <v>30</v>
      </c>
      <c r="F3389" t="s">
        <v>315</v>
      </c>
      <c r="G3389">
        <v>11</v>
      </c>
      <c r="H3389" t="s">
        <v>118</v>
      </c>
      <c r="I3389">
        <v>1</v>
      </c>
      <c r="J3389">
        <v>1</v>
      </c>
      <c r="K3389" t="s">
        <v>112</v>
      </c>
      <c r="L3389" t="s">
        <v>119</v>
      </c>
      <c r="M3389" t="s">
        <v>120</v>
      </c>
      <c r="N3389" t="s">
        <v>107</v>
      </c>
      <c r="O3389" t="s">
        <v>97</v>
      </c>
    </row>
    <row r="3390" spans="1:15" x14ac:dyDescent="0.2">
      <c r="A3390">
        <v>49</v>
      </c>
      <c r="B3390">
        <v>50</v>
      </c>
      <c r="C3390">
        <v>49</v>
      </c>
      <c r="D3390">
        <v>48</v>
      </c>
      <c r="E3390" t="s">
        <v>30</v>
      </c>
      <c r="F3390" t="s">
        <v>315</v>
      </c>
      <c r="G3390">
        <v>12</v>
      </c>
      <c r="H3390" t="s">
        <v>121</v>
      </c>
      <c r="I3390">
        <v>0</v>
      </c>
      <c r="J3390">
        <v>0.5</v>
      </c>
      <c r="K3390" t="s">
        <v>122</v>
      </c>
      <c r="L3390" t="s">
        <v>113</v>
      </c>
      <c r="M3390" t="s">
        <v>123</v>
      </c>
      <c r="N3390" t="s">
        <v>96</v>
      </c>
      <c r="O3390" t="s">
        <v>97</v>
      </c>
    </row>
    <row r="3391" spans="1:15" x14ac:dyDescent="0.2">
      <c r="A3391">
        <v>49</v>
      </c>
      <c r="B3391">
        <v>50</v>
      </c>
      <c r="C3391">
        <v>49</v>
      </c>
      <c r="D3391">
        <v>48</v>
      </c>
      <c r="E3391" t="s">
        <v>30</v>
      </c>
      <c r="F3391" t="s">
        <v>315</v>
      </c>
      <c r="G3391">
        <v>13</v>
      </c>
      <c r="H3391" t="s">
        <v>124</v>
      </c>
      <c r="I3391">
        <v>0</v>
      </c>
      <c r="J3391">
        <v>0.5</v>
      </c>
      <c r="K3391" t="s">
        <v>122</v>
      </c>
      <c r="L3391" t="s">
        <v>125</v>
      </c>
      <c r="M3391" t="s">
        <v>126</v>
      </c>
      <c r="N3391" t="s">
        <v>96</v>
      </c>
      <c r="O3391" t="s">
        <v>97</v>
      </c>
    </row>
    <row r="3392" spans="1:15" x14ac:dyDescent="0.2">
      <c r="A3392">
        <v>206</v>
      </c>
      <c r="B3392">
        <v>207</v>
      </c>
      <c r="C3392">
        <v>206</v>
      </c>
      <c r="D3392">
        <v>205</v>
      </c>
      <c r="E3392" t="s">
        <v>40</v>
      </c>
      <c r="F3392" t="s">
        <v>43</v>
      </c>
      <c r="G3392">
        <v>103</v>
      </c>
      <c r="H3392" t="s">
        <v>210</v>
      </c>
      <c r="I3392">
        <v>1</v>
      </c>
      <c r="J3392">
        <v>1</v>
      </c>
      <c r="K3392" t="e">
        <v>#N/A</v>
      </c>
      <c r="L3392" t="e">
        <v>#N/A</v>
      </c>
      <c r="M3392" t="e">
        <v>#N/A</v>
      </c>
      <c r="N3392" t="e">
        <v>#N/A</v>
      </c>
      <c r="O3392" t="s">
        <v>97</v>
      </c>
    </row>
    <row r="3393" spans="1:15" x14ac:dyDescent="0.2">
      <c r="A3393">
        <v>49</v>
      </c>
      <c r="B3393">
        <v>50</v>
      </c>
      <c r="C3393">
        <v>49</v>
      </c>
      <c r="D3393">
        <v>48</v>
      </c>
      <c r="E3393" t="s">
        <v>30</v>
      </c>
      <c r="F3393" t="s">
        <v>315</v>
      </c>
      <c r="G3393">
        <v>14</v>
      </c>
      <c r="H3393" t="s">
        <v>127</v>
      </c>
      <c r="I3393">
        <v>0.5</v>
      </c>
      <c r="J3393">
        <v>1</v>
      </c>
      <c r="K3393" t="s">
        <v>122</v>
      </c>
      <c r="L3393" t="s">
        <v>119</v>
      </c>
      <c r="M3393" t="s">
        <v>128</v>
      </c>
      <c r="N3393" t="s">
        <v>107</v>
      </c>
      <c r="O3393" t="s">
        <v>97</v>
      </c>
    </row>
    <row r="3394" spans="1:15" x14ac:dyDescent="0.2">
      <c r="A3394">
        <v>217</v>
      </c>
      <c r="B3394">
        <v>218</v>
      </c>
      <c r="C3394">
        <v>217</v>
      </c>
      <c r="D3394">
        <v>216</v>
      </c>
      <c r="E3394" t="s">
        <v>44</v>
      </c>
      <c r="F3394" t="s">
        <v>45</v>
      </c>
      <c r="G3394">
        <v>103</v>
      </c>
      <c r="H3394" t="s">
        <v>210</v>
      </c>
      <c r="I3394">
        <v>1</v>
      </c>
      <c r="J3394">
        <v>1</v>
      </c>
      <c r="K3394" t="e">
        <v>#N/A</v>
      </c>
      <c r="L3394" t="e">
        <v>#N/A</v>
      </c>
      <c r="M3394" t="e">
        <v>#N/A</v>
      </c>
      <c r="N3394" t="e">
        <v>#N/A</v>
      </c>
      <c r="O3394" t="s">
        <v>97</v>
      </c>
    </row>
    <row r="3395" spans="1:15" x14ac:dyDescent="0.2">
      <c r="A3395">
        <v>405</v>
      </c>
      <c r="B3395">
        <v>406</v>
      </c>
      <c r="C3395">
        <v>405</v>
      </c>
      <c r="D3395">
        <v>404</v>
      </c>
      <c r="E3395" t="s">
        <v>57</v>
      </c>
      <c r="F3395" t="s">
        <v>77</v>
      </c>
      <c r="G3395">
        <v>103</v>
      </c>
      <c r="H3395" t="s">
        <v>210</v>
      </c>
      <c r="I3395">
        <v>0</v>
      </c>
      <c r="J3395">
        <v>1</v>
      </c>
      <c r="K3395" t="e">
        <v>#N/A</v>
      </c>
      <c r="L3395" t="e">
        <v>#N/A</v>
      </c>
      <c r="M3395" t="e">
        <v>#N/A</v>
      </c>
      <c r="N3395" t="e">
        <v>#N/A</v>
      </c>
      <c r="O3395" t="s">
        <v>97</v>
      </c>
    </row>
    <row r="3396" spans="1:15" x14ac:dyDescent="0.2">
      <c r="A3396">
        <v>49</v>
      </c>
      <c r="B3396">
        <v>50</v>
      </c>
      <c r="C3396">
        <v>49</v>
      </c>
      <c r="D3396">
        <v>48</v>
      </c>
      <c r="E3396" t="s">
        <v>30</v>
      </c>
      <c r="F3396" t="s">
        <v>315</v>
      </c>
      <c r="G3396">
        <v>15</v>
      </c>
      <c r="H3396" t="s">
        <v>129</v>
      </c>
      <c r="I3396">
        <v>0</v>
      </c>
      <c r="J3396">
        <v>1</v>
      </c>
      <c r="K3396" t="s">
        <v>130</v>
      </c>
      <c r="L3396" t="s">
        <v>131</v>
      </c>
      <c r="M3396" t="s">
        <v>132</v>
      </c>
      <c r="N3396" t="s">
        <v>107</v>
      </c>
      <c r="O3396" t="s">
        <v>97</v>
      </c>
    </row>
    <row r="3397" spans="1:15" x14ac:dyDescent="0.2">
      <c r="A3397">
        <v>49</v>
      </c>
      <c r="B3397">
        <v>50</v>
      </c>
      <c r="C3397">
        <v>49</v>
      </c>
      <c r="D3397">
        <v>48</v>
      </c>
      <c r="E3397" t="s">
        <v>30</v>
      </c>
      <c r="F3397" t="s">
        <v>315</v>
      </c>
      <c r="G3397">
        <v>16</v>
      </c>
      <c r="H3397" t="s">
        <v>133</v>
      </c>
      <c r="I3397">
        <v>0</v>
      </c>
      <c r="J3397">
        <v>0</v>
      </c>
      <c r="K3397" t="e">
        <v>#N/A</v>
      </c>
      <c r="L3397" t="e">
        <v>#N/A</v>
      </c>
      <c r="M3397" t="e">
        <v>#N/A</v>
      </c>
      <c r="N3397" t="e">
        <v>#N/A</v>
      </c>
      <c r="O3397" t="s">
        <v>97</v>
      </c>
    </row>
    <row r="3398" spans="1:15" x14ac:dyDescent="0.2">
      <c r="A3398">
        <v>390</v>
      </c>
      <c r="B3398">
        <v>391</v>
      </c>
      <c r="C3398">
        <v>390</v>
      </c>
      <c r="D3398">
        <v>389</v>
      </c>
      <c r="E3398" t="s">
        <v>57</v>
      </c>
      <c r="F3398" t="s">
        <v>76</v>
      </c>
      <c r="G3398">
        <v>103</v>
      </c>
      <c r="H3398" t="s">
        <v>210</v>
      </c>
      <c r="I3398">
        <v>0</v>
      </c>
      <c r="J3398">
        <v>1</v>
      </c>
      <c r="K3398" t="e">
        <v>#N/A</v>
      </c>
      <c r="L3398" t="e">
        <v>#N/A</v>
      </c>
      <c r="M3398" t="e">
        <v>#N/A</v>
      </c>
      <c r="N3398" t="e">
        <v>#N/A</v>
      </c>
      <c r="O3398" t="s">
        <v>97</v>
      </c>
    </row>
    <row r="3399" spans="1:15" x14ac:dyDescent="0.2">
      <c r="A3399">
        <v>380</v>
      </c>
      <c r="B3399">
        <v>381</v>
      </c>
      <c r="C3399">
        <v>380</v>
      </c>
      <c r="D3399">
        <v>379</v>
      </c>
      <c r="E3399" t="s">
        <v>57</v>
      </c>
      <c r="F3399" t="s">
        <v>75</v>
      </c>
      <c r="G3399">
        <v>103</v>
      </c>
      <c r="H3399" t="s">
        <v>210</v>
      </c>
      <c r="I3399">
        <v>0</v>
      </c>
      <c r="J3399">
        <v>1</v>
      </c>
      <c r="K3399" t="e">
        <v>#N/A</v>
      </c>
      <c r="L3399" t="e">
        <v>#N/A</v>
      </c>
      <c r="M3399" t="e">
        <v>#N/A</v>
      </c>
      <c r="N3399" t="e">
        <v>#N/A</v>
      </c>
      <c r="O3399" t="s">
        <v>97</v>
      </c>
    </row>
    <row r="3400" spans="1:15" x14ac:dyDescent="0.2">
      <c r="A3400">
        <v>375</v>
      </c>
      <c r="B3400">
        <v>376</v>
      </c>
      <c r="C3400">
        <v>375</v>
      </c>
      <c r="D3400">
        <v>374</v>
      </c>
      <c r="E3400" t="s">
        <v>57</v>
      </c>
      <c r="F3400" t="s">
        <v>74</v>
      </c>
      <c r="G3400">
        <v>103</v>
      </c>
      <c r="H3400" t="s">
        <v>210</v>
      </c>
      <c r="I3400">
        <v>0</v>
      </c>
      <c r="J3400">
        <v>1</v>
      </c>
      <c r="K3400" t="e">
        <v>#N/A</v>
      </c>
      <c r="L3400" t="e">
        <v>#N/A</v>
      </c>
      <c r="M3400" t="e">
        <v>#N/A</v>
      </c>
      <c r="N3400" t="e">
        <v>#N/A</v>
      </c>
      <c r="O3400" t="s">
        <v>97</v>
      </c>
    </row>
    <row r="3401" spans="1:15" x14ac:dyDescent="0.2">
      <c r="A3401">
        <v>370</v>
      </c>
      <c r="B3401">
        <v>371</v>
      </c>
      <c r="C3401">
        <v>370</v>
      </c>
      <c r="D3401">
        <v>369</v>
      </c>
      <c r="E3401" t="s">
        <v>57</v>
      </c>
      <c r="F3401" t="s">
        <v>73</v>
      </c>
      <c r="G3401">
        <v>103</v>
      </c>
      <c r="H3401" t="s">
        <v>210</v>
      </c>
      <c r="I3401">
        <v>0</v>
      </c>
      <c r="J3401">
        <v>1</v>
      </c>
      <c r="K3401" t="e">
        <v>#N/A</v>
      </c>
      <c r="L3401" t="e">
        <v>#N/A</v>
      </c>
      <c r="M3401" t="e">
        <v>#N/A</v>
      </c>
      <c r="N3401" t="e">
        <v>#N/A</v>
      </c>
      <c r="O3401" t="s">
        <v>97</v>
      </c>
    </row>
    <row r="3402" spans="1:15" x14ac:dyDescent="0.2">
      <c r="A3402">
        <v>365</v>
      </c>
      <c r="B3402">
        <v>366</v>
      </c>
      <c r="C3402">
        <v>365</v>
      </c>
      <c r="D3402">
        <v>364</v>
      </c>
      <c r="E3402" t="s">
        <v>57</v>
      </c>
      <c r="F3402" t="s">
        <v>72</v>
      </c>
      <c r="G3402">
        <v>103</v>
      </c>
      <c r="H3402" t="s">
        <v>210</v>
      </c>
      <c r="I3402">
        <v>0</v>
      </c>
      <c r="J3402">
        <v>1</v>
      </c>
      <c r="K3402" t="e">
        <v>#N/A</v>
      </c>
      <c r="L3402" t="e">
        <v>#N/A</v>
      </c>
      <c r="M3402" t="e">
        <v>#N/A</v>
      </c>
      <c r="N3402" t="e">
        <v>#N/A</v>
      </c>
      <c r="O3402" t="s">
        <v>97</v>
      </c>
    </row>
    <row r="3403" spans="1:15" x14ac:dyDescent="0.2">
      <c r="A3403">
        <v>350</v>
      </c>
      <c r="B3403">
        <v>351</v>
      </c>
      <c r="C3403">
        <v>350</v>
      </c>
      <c r="D3403">
        <v>349</v>
      </c>
      <c r="E3403" t="s">
        <v>57</v>
      </c>
      <c r="F3403" t="s">
        <v>70</v>
      </c>
      <c r="G3403">
        <v>103</v>
      </c>
      <c r="H3403" t="s">
        <v>210</v>
      </c>
      <c r="I3403">
        <v>0</v>
      </c>
      <c r="J3403">
        <v>1</v>
      </c>
      <c r="K3403" t="e">
        <v>#N/A</v>
      </c>
      <c r="L3403" t="e">
        <v>#N/A</v>
      </c>
      <c r="M3403" t="e">
        <v>#N/A</v>
      </c>
      <c r="N3403" t="e">
        <v>#N/A</v>
      </c>
      <c r="O3403" t="s">
        <v>97</v>
      </c>
    </row>
    <row r="3404" spans="1:15" x14ac:dyDescent="0.2">
      <c r="A3404">
        <v>345</v>
      </c>
      <c r="B3404">
        <v>346</v>
      </c>
      <c r="C3404">
        <v>345</v>
      </c>
      <c r="D3404">
        <v>344</v>
      </c>
      <c r="E3404" t="s">
        <v>57</v>
      </c>
      <c r="F3404" t="s">
        <v>69</v>
      </c>
      <c r="G3404">
        <v>103</v>
      </c>
      <c r="H3404" t="s">
        <v>210</v>
      </c>
      <c r="I3404">
        <v>0</v>
      </c>
      <c r="J3404">
        <v>1</v>
      </c>
      <c r="K3404" t="e">
        <v>#N/A</v>
      </c>
      <c r="L3404" t="e">
        <v>#N/A</v>
      </c>
      <c r="M3404" t="e">
        <v>#N/A</v>
      </c>
      <c r="N3404" t="e">
        <v>#N/A</v>
      </c>
      <c r="O3404" t="s">
        <v>97</v>
      </c>
    </row>
    <row r="3405" spans="1:15" x14ac:dyDescent="0.2">
      <c r="A3405">
        <v>340</v>
      </c>
      <c r="B3405">
        <v>341</v>
      </c>
      <c r="C3405">
        <v>340</v>
      </c>
      <c r="D3405">
        <v>339</v>
      </c>
      <c r="E3405" t="s">
        <v>57</v>
      </c>
      <c r="F3405" t="s">
        <v>68</v>
      </c>
      <c r="G3405">
        <v>103</v>
      </c>
      <c r="H3405" t="s">
        <v>210</v>
      </c>
      <c r="I3405">
        <v>0</v>
      </c>
      <c r="J3405">
        <v>1</v>
      </c>
      <c r="K3405" t="e">
        <v>#N/A</v>
      </c>
      <c r="L3405" t="e">
        <v>#N/A</v>
      </c>
      <c r="M3405" t="e">
        <v>#N/A</v>
      </c>
      <c r="N3405" t="e">
        <v>#N/A</v>
      </c>
      <c r="O3405" t="s">
        <v>97</v>
      </c>
    </row>
    <row r="3406" spans="1:15" x14ac:dyDescent="0.2">
      <c r="A3406">
        <v>335</v>
      </c>
      <c r="B3406">
        <v>336</v>
      </c>
      <c r="C3406">
        <v>335</v>
      </c>
      <c r="D3406">
        <v>334</v>
      </c>
      <c r="E3406" t="s">
        <v>57</v>
      </c>
      <c r="F3406" t="s">
        <v>67</v>
      </c>
      <c r="G3406">
        <v>103</v>
      </c>
      <c r="H3406" t="s">
        <v>210</v>
      </c>
      <c r="I3406">
        <v>0</v>
      </c>
      <c r="J3406">
        <v>1</v>
      </c>
      <c r="K3406" t="e">
        <v>#N/A</v>
      </c>
      <c r="L3406" t="e">
        <v>#N/A</v>
      </c>
      <c r="M3406" t="e">
        <v>#N/A</v>
      </c>
      <c r="N3406" t="e">
        <v>#N/A</v>
      </c>
      <c r="O3406" t="s">
        <v>97</v>
      </c>
    </row>
    <row r="3407" spans="1:15" x14ac:dyDescent="0.2">
      <c r="A3407">
        <v>330</v>
      </c>
      <c r="B3407">
        <v>331</v>
      </c>
      <c r="C3407">
        <v>330</v>
      </c>
      <c r="D3407">
        <v>329</v>
      </c>
      <c r="E3407" t="s">
        <v>57</v>
      </c>
      <c r="F3407" t="s">
        <v>66</v>
      </c>
      <c r="G3407">
        <v>103</v>
      </c>
      <c r="H3407" t="s">
        <v>210</v>
      </c>
      <c r="I3407">
        <v>0</v>
      </c>
      <c r="J3407">
        <v>1</v>
      </c>
      <c r="K3407" t="e">
        <v>#N/A</v>
      </c>
      <c r="L3407" t="e">
        <v>#N/A</v>
      </c>
      <c r="M3407" t="e">
        <v>#N/A</v>
      </c>
      <c r="N3407" t="e">
        <v>#N/A</v>
      </c>
      <c r="O3407" t="s">
        <v>97</v>
      </c>
    </row>
    <row r="3408" spans="1:15" x14ac:dyDescent="0.2">
      <c r="A3408">
        <v>325</v>
      </c>
      <c r="B3408">
        <v>326</v>
      </c>
      <c r="C3408">
        <v>325</v>
      </c>
      <c r="D3408">
        <v>324</v>
      </c>
      <c r="E3408" t="s">
        <v>57</v>
      </c>
      <c r="F3408" t="s">
        <v>65</v>
      </c>
      <c r="G3408">
        <v>103</v>
      </c>
      <c r="H3408" t="s">
        <v>210</v>
      </c>
      <c r="I3408">
        <v>0</v>
      </c>
      <c r="J3408">
        <v>1</v>
      </c>
      <c r="K3408" t="e">
        <v>#N/A</v>
      </c>
      <c r="L3408" t="e">
        <v>#N/A</v>
      </c>
      <c r="M3408" t="e">
        <v>#N/A</v>
      </c>
      <c r="N3408" t="e">
        <v>#N/A</v>
      </c>
      <c r="O3408" t="s">
        <v>97</v>
      </c>
    </row>
    <row r="3409" spans="1:15" x14ac:dyDescent="0.2">
      <c r="A3409">
        <v>49</v>
      </c>
      <c r="B3409">
        <v>50</v>
      </c>
      <c r="C3409">
        <v>49</v>
      </c>
      <c r="D3409">
        <v>48</v>
      </c>
      <c r="E3409" t="s">
        <v>30</v>
      </c>
      <c r="F3409" t="s">
        <v>315</v>
      </c>
      <c r="G3409">
        <v>17</v>
      </c>
      <c r="H3409" t="s">
        <v>134</v>
      </c>
      <c r="I3409">
        <v>0.5</v>
      </c>
      <c r="J3409">
        <v>1</v>
      </c>
      <c r="K3409" t="s">
        <v>112</v>
      </c>
      <c r="L3409" t="s">
        <v>135</v>
      </c>
      <c r="M3409" t="s">
        <v>136</v>
      </c>
      <c r="N3409" t="s">
        <v>107</v>
      </c>
      <c r="O3409" t="s">
        <v>97</v>
      </c>
    </row>
    <row r="3410" spans="1:15" x14ac:dyDescent="0.2">
      <c r="A3410">
        <v>315</v>
      </c>
      <c r="B3410">
        <v>316</v>
      </c>
      <c r="C3410">
        <v>315</v>
      </c>
      <c r="D3410">
        <v>314</v>
      </c>
      <c r="E3410" t="s">
        <v>57</v>
      </c>
      <c r="F3410" t="s">
        <v>63</v>
      </c>
      <c r="G3410">
        <v>103</v>
      </c>
      <c r="H3410" t="s">
        <v>210</v>
      </c>
      <c r="I3410">
        <v>0</v>
      </c>
      <c r="J3410">
        <v>1</v>
      </c>
      <c r="K3410" t="e">
        <v>#N/A</v>
      </c>
      <c r="L3410" t="e">
        <v>#N/A</v>
      </c>
      <c r="M3410" t="e">
        <v>#N/A</v>
      </c>
      <c r="N3410" t="e">
        <v>#N/A</v>
      </c>
      <c r="O3410" t="s">
        <v>97</v>
      </c>
    </row>
    <row r="3411" spans="1:15" x14ac:dyDescent="0.2">
      <c r="A3411">
        <v>300</v>
      </c>
      <c r="B3411">
        <v>301</v>
      </c>
      <c r="C3411">
        <v>300</v>
      </c>
      <c r="D3411">
        <v>299</v>
      </c>
      <c r="E3411" t="s">
        <v>57</v>
      </c>
      <c r="F3411" t="s">
        <v>62</v>
      </c>
      <c r="G3411">
        <v>103</v>
      </c>
      <c r="H3411" t="s">
        <v>210</v>
      </c>
      <c r="I3411">
        <v>0</v>
      </c>
      <c r="J3411">
        <v>1</v>
      </c>
      <c r="K3411" t="e">
        <v>#N/A</v>
      </c>
      <c r="L3411" t="e">
        <v>#N/A</v>
      </c>
      <c r="M3411" t="e">
        <v>#N/A</v>
      </c>
      <c r="N3411" t="e">
        <v>#N/A</v>
      </c>
      <c r="O3411" t="s">
        <v>97</v>
      </c>
    </row>
    <row r="3412" spans="1:15" x14ac:dyDescent="0.2">
      <c r="A3412">
        <v>49</v>
      </c>
      <c r="B3412">
        <v>50</v>
      </c>
      <c r="C3412">
        <v>49</v>
      </c>
      <c r="D3412">
        <v>48</v>
      </c>
      <c r="E3412" t="s">
        <v>30</v>
      </c>
      <c r="F3412" t="s">
        <v>315</v>
      </c>
      <c r="G3412">
        <v>18</v>
      </c>
      <c r="H3412" t="s">
        <v>137</v>
      </c>
      <c r="I3412">
        <v>1</v>
      </c>
      <c r="J3412">
        <v>1</v>
      </c>
      <c r="K3412" t="s">
        <v>112</v>
      </c>
      <c r="L3412" t="s">
        <v>138</v>
      </c>
      <c r="M3412" t="s">
        <v>139</v>
      </c>
      <c r="N3412" t="s">
        <v>107</v>
      </c>
      <c r="O3412" t="s">
        <v>97</v>
      </c>
    </row>
    <row r="3413" spans="1:15" x14ac:dyDescent="0.2">
      <c r="A3413">
        <v>290</v>
      </c>
      <c r="B3413">
        <v>291</v>
      </c>
      <c r="C3413">
        <v>290</v>
      </c>
      <c r="D3413">
        <v>289</v>
      </c>
      <c r="E3413" t="s">
        <v>57</v>
      </c>
      <c r="F3413" t="s">
        <v>61</v>
      </c>
      <c r="G3413">
        <v>103</v>
      </c>
      <c r="H3413" t="s">
        <v>210</v>
      </c>
      <c r="I3413">
        <v>0</v>
      </c>
      <c r="J3413">
        <v>1</v>
      </c>
      <c r="K3413" t="e">
        <v>#N/A</v>
      </c>
      <c r="L3413" t="e">
        <v>#N/A</v>
      </c>
      <c r="M3413" t="e">
        <v>#N/A</v>
      </c>
      <c r="N3413" t="e">
        <v>#N/A</v>
      </c>
      <c r="O3413" t="s">
        <v>97</v>
      </c>
    </row>
    <row r="3414" spans="1:15" x14ac:dyDescent="0.2">
      <c r="A3414">
        <v>285</v>
      </c>
      <c r="B3414">
        <v>286</v>
      </c>
      <c r="C3414">
        <v>285</v>
      </c>
      <c r="D3414">
        <v>284</v>
      </c>
      <c r="E3414" t="s">
        <v>57</v>
      </c>
      <c r="F3414" t="s">
        <v>60</v>
      </c>
      <c r="G3414">
        <v>103</v>
      </c>
      <c r="H3414" t="s">
        <v>210</v>
      </c>
      <c r="I3414">
        <v>0</v>
      </c>
      <c r="J3414">
        <v>1</v>
      </c>
      <c r="K3414" t="e">
        <v>#N/A</v>
      </c>
      <c r="L3414" t="e">
        <v>#N/A</v>
      </c>
      <c r="M3414" t="e">
        <v>#N/A</v>
      </c>
      <c r="N3414" t="e">
        <v>#N/A</v>
      </c>
      <c r="O3414" t="s">
        <v>97</v>
      </c>
    </row>
    <row r="3415" spans="1:15" x14ac:dyDescent="0.2">
      <c r="A3415">
        <v>280</v>
      </c>
      <c r="B3415">
        <v>281</v>
      </c>
      <c r="C3415">
        <v>280</v>
      </c>
      <c r="D3415">
        <v>279</v>
      </c>
      <c r="E3415" t="s">
        <v>57</v>
      </c>
      <c r="F3415" t="s">
        <v>59</v>
      </c>
      <c r="G3415">
        <v>103</v>
      </c>
      <c r="H3415" t="s">
        <v>210</v>
      </c>
      <c r="I3415">
        <v>0</v>
      </c>
      <c r="J3415">
        <v>1</v>
      </c>
      <c r="K3415" t="e">
        <v>#N/A</v>
      </c>
      <c r="L3415" t="e">
        <v>#N/A</v>
      </c>
      <c r="M3415" t="e">
        <v>#N/A</v>
      </c>
      <c r="N3415" t="e">
        <v>#N/A</v>
      </c>
      <c r="O3415" t="s">
        <v>97</v>
      </c>
    </row>
    <row r="3416" spans="1:15" x14ac:dyDescent="0.2">
      <c r="A3416">
        <v>49</v>
      </c>
      <c r="B3416">
        <v>50</v>
      </c>
      <c r="C3416">
        <v>49</v>
      </c>
      <c r="D3416">
        <v>48</v>
      </c>
      <c r="E3416" t="s">
        <v>30</v>
      </c>
      <c r="F3416" t="s">
        <v>315</v>
      </c>
      <c r="G3416">
        <v>19</v>
      </c>
      <c r="H3416" t="s">
        <v>140</v>
      </c>
      <c r="I3416">
        <v>0</v>
      </c>
      <c r="J3416">
        <v>1</v>
      </c>
      <c r="K3416" t="s">
        <v>122</v>
      </c>
      <c r="L3416" t="s">
        <v>141</v>
      </c>
      <c r="M3416" t="s">
        <v>142</v>
      </c>
      <c r="N3416" t="s">
        <v>107</v>
      </c>
      <c r="O3416" t="s">
        <v>97</v>
      </c>
    </row>
    <row r="3417" spans="1:15" x14ac:dyDescent="0.2">
      <c r="A3417">
        <v>260</v>
      </c>
      <c r="B3417">
        <v>261</v>
      </c>
      <c r="C3417">
        <v>260</v>
      </c>
      <c r="D3417">
        <v>259</v>
      </c>
      <c r="E3417" t="s">
        <v>57</v>
      </c>
      <c r="F3417" t="s">
        <v>58</v>
      </c>
      <c r="G3417">
        <v>103</v>
      </c>
      <c r="H3417" t="s">
        <v>210</v>
      </c>
      <c r="I3417">
        <v>0</v>
      </c>
      <c r="J3417">
        <v>1</v>
      </c>
      <c r="K3417" t="e">
        <v>#N/A</v>
      </c>
      <c r="L3417" t="e">
        <v>#N/A</v>
      </c>
      <c r="M3417" t="e">
        <v>#N/A</v>
      </c>
      <c r="N3417" t="e">
        <v>#N/A</v>
      </c>
      <c r="O3417" t="s">
        <v>97</v>
      </c>
    </row>
    <row r="3418" spans="1:15" x14ac:dyDescent="0.2">
      <c r="A3418">
        <v>49</v>
      </c>
      <c r="B3418">
        <v>50</v>
      </c>
      <c r="C3418">
        <v>49</v>
      </c>
      <c r="D3418">
        <v>48</v>
      </c>
      <c r="E3418" t="s">
        <v>30</v>
      </c>
      <c r="F3418" t="s">
        <v>315</v>
      </c>
      <c r="G3418">
        <v>20</v>
      </c>
      <c r="H3418" t="s">
        <v>143</v>
      </c>
      <c r="I3418">
        <v>0</v>
      </c>
      <c r="J3418">
        <v>1</v>
      </c>
      <c r="K3418" t="s">
        <v>122</v>
      </c>
      <c r="L3418" t="s">
        <v>144</v>
      </c>
      <c r="M3418" t="s">
        <v>145</v>
      </c>
      <c r="N3418" t="s">
        <v>107</v>
      </c>
      <c r="O3418" t="s">
        <v>97</v>
      </c>
    </row>
    <row r="3419" spans="1:15" x14ac:dyDescent="0.2">
      <c r="A3419">
        <v>49</v>
      </c>
      <c r="B3419">
        <v>50</v>
      </c>
      <c r="C3419">
        <v>49</v>
      </c>
      <c r="D3419">
        <v>48</v>
      </c>
      <c r="E3419" t="s">
        <v>30</v>
      </c>
      <c r="F3419" t="s">
        <v>315</v>
      </c>
      <c r="G3419">
        <v>21</v>
      </c>
      <c r="H3419" t="s">
        <v>146</v>
      </c>
      <c r="I3419">
        <v>1</v>
      </c>
      <c r="J3419">
        <v>1</v>
      </c>
      <c r="K3419" t="s">
        <v>147</v>
      </c>
      <c r="L3419" t="s">
        <v>148</v>
      </c>
      <c r="M3419" t="s">
        <v>149</v>
      </c>
      <c r="N3419" t="s">
        <v>96</v>
      </c>
      <c r="O3419" t="s">
        <v>97</v>
      </c>
    </row>
    <row r="3420" spans="1:15" x14ac:dyDescent="0.2">
      <c r="A3420">
        <v>49</v>
      </c>
      <c r="B3420">
        <v>50</v>
      </c>
      <c r="C3420">
        <v>49</v>
      </c>
      <c r="D3420">
        <v>48</v>
      </c>
      <c r="E3420" t="s">
        <v>30</v>
      </c>
      <c r="F3420" t="s">
        <v>315</v>
      </c>
      <c r="G3420">
        <v>22</v>
      </c>
      <c r="H3420" t="s">
        <v>150</v>
      </c>
      <c r="I3420">
        <v>0.5</v>
      </c>
      <c r="J3420">
        <v>1</v>
      </c>
      <c r="K3420" t="s">
        <v>147</v>
      </c>
      <c r="L3420" t="s">
        <v>151</v>
      </c>
      <c r="M3420" t="s">
        <v>149</v>
      </c>
      <c r="N3420" t="s">
        <v>107</v>
      </c>
      <c r="O3420" t="s">
        <v>97</v>
      </c>
    </row>
    <row r="3421" spans="1:15" x14ac:dyDescent="0.2">
      <c r="A3421">
        <v>239</v>
      </c>
      <c r="B3421">
        <v>240</v>
      </c>
      <c r="C3421">
        <v>239</v>
      </c>
      <c r="D3421">
        <v>238</v>
      </c>
      <c r="E3421" t="s">
        <v>251</v>
      </c>
      <c r="F3421" t="s">
        <v>49</v>
      </c>
      <c r="G3421">
        <v>103</v>
      </c>
      <c r="H3421" t="s">
        <v>210</v>
      </c>
      <c r="I3421">
        <v>0</v>
      </c>
      <c r="J3421">
        <v>1</v>
      </c>
      <c r="K3421" t="e">
        <v>#N/A</v>
      </c>
      <c r="L3421" t="e">
        <v>#N/A</v>
      </c>
      <c r="M3421" t="e">
        <v>#N/A</v>
      </c>
      <c r="N3421" t="e">
        <v>#N/A</v>
      </c>
      <c r="O3421" t="s">
        <v>97</v>
      </c>
    </row>
    <row r="3422" spans="1:15" x14ac:dyDescent="0.2">
      <c r="A3422">
        <v>234</v>
      </c>
      <c r="B3422">
        <v>235</v>
      </c>
      <c r="C3422">
        <v>234</v>
      </c>
      <c r="D3422">
        <v>233</v>
      </c>
      <c r="E3422" t="s">
        <v>251</v>
      </c>
      <c r="F3422" t="s">
        <v>48</v>
      </c>
      <c r="G3422">
        <v>103</v>
      </c>
      <c r="H3422" t="s">
        <v>210</v>
      </c>
      <c r="I3422">
        <v>0</v>
      </c>
      <c r="J3422">
        <v>1</v>
      </c>
      <c r="K3422" t="e">
        <v>#N/A</v>
      </c>
      <c r="L3422" t="e">
        <v>#N/A</v>
      </c>
      <c r="M3422" t="e">
        <v>#N/A</v>
      </c>
      <c r="N3422" t="e">
        <v>#N/A</v>
      </c>
      <c r="O3422" t="s">
        <v>97</v>
      </c>
    </row>
    <row r="3423" spans="1:15" x14ac:dyDescent="0.2">
      <c r="A3423">
        <v>229</v>
      </c>
      <c r="B3423">
        <v>230</v>
      </c>
      <c r="C3423">
        <v>229</v>
      </c>
      <c r="D3423">
        <v>228</v>
      </c>
      <c r="E3423" t="s">
        <v>251</v>
      </c>
      <c r="F3423" t="s">
        <v>47</v>
      </c>
      <c r="G3423">
        <v>103</v>
      </c>
      <c r="H3423" t="s">
        <v>210</v>
      </c>
      <c r="I3423">
        <v>0</v>
      </c>
      <c r="J3423">
        <v>1</v>
      </c>
      <c r="K3423" t="e">
        <v>#N/A</v>
      </c>
      <c r="L3423" t="e">
        <v>#N/A</v>
      </c>
      <c r="M3423" t="e">
        <v>#N/A</v>
      </c>
      <c r="N3423" t="e">
        <v>#N/A</v>
      </c>
      <c r="O3423" t="s">
        <v>97</v>
      </c>
    </row>
    <row r="3424" spans="1:15" x14ac:dyDescent="0.2">
      <c r="A3424">
        <v>234</v>
      </c>
      <c r="B3424">
        <v>235</v>
      </c>
      <c r="C3424">
        <v>234</v>
      </c>
      <c r="D3424">
        <v>233</v>
      </c>
      <c r="E3424" t="s">
        <v>251</v>
      </c>
      <c r="F3424" t="s">
        <v>48</v>
      </c>
      <c r="G3424">
        <v>103</v>
      </c>
      <c r="H3424" t="s">
        <v>210</v>
      </c>
      <c r="I3424">
        <v>0</v>
      </c>
      <c r="J3424">
        <v>1</v>
      </c>
      <c r="K3424" t="e">
        <v>#N/A</v>
      </c>
      <c r="L3424" t="e">
        <v>#N/A</v>
      </c>
      <c r="M3424" t="e">
        <v>#N/A</v>
      </c>
      <c r="N3424" t="e">
        <v>#N/A</v>
      </c>
      <c r="O3424" t="s">
        <v>97</v>
      </c>
    </row>
    <row r="3425" spans="1:15" x14ac:dyDescent="0.2">
      <c r="A3425">
        <v>229</v>
      </c>
      <c r="B3425">
        <v>230</v>
      </c>
      <c r="C3425">
        <v>229</v>
      </c>
      <c r="D3425">
        <v>228</v>
      </c>
      <c r="E3425" t="s">
        <v>251</v>
      </c>
      <c r="F3425" t="s">
        <v>47</v>
      </c>
      <c r="G3425">
        <v>103</v>
      </c>
      <c r="H3425" t="s">
        <v>210</v>
      </c>
      <c r="I3425">
        <v>0</v>
      </c>
      <c r="J3425">
        <v>1</v>
      </c>
      <c r="K3425" t="e">
        <v>#N/A</v>
      </c>
      <c r="L3425" t="e">
        <v>#N/A</v>
      </c>
      <c r="M3425" t="e">
        <v>#N/A</v>
      </c>
      <c r="N3425" t="e">
        <v>#N/A</v>
      </c>
      <c r="O3425" t="s">
        <v>97</v>
      </c>
    </row>
    <row r="3426" spans="1:15" x14ac:dyDescent="0.2">
      <c r="A3426">
        <v>44</v>
      </c>
      <c r="B3426">
        <v>45</v>
      </c>
      <c r="C3426">
        <v>44</v>
      </c>
      <c r="D3426">
        <v>43</v>
      </c>
      <c r="E3426" t="s">
        <v>30</v>
      </c>
      <c r="F3426" t="s">
        <v>38</v>
      </c>
      <c r="G3426">
        <v>103</v>
      </c>
      <c r="H3426" t="s">
        <v>210</v>
      </c>
      <c r="I3426">
        <v>0</v>
      </c>
      <c r="J3426">
        <v>1</v>
      </c>
      <c r="K3426" t="e">
        <v>#N/A</v>
      </c>
      <c r="L3426" t="e">
        <v>#N/A</v>
      </c>
      <c r="M3426" t="e">
        <v>#N/A</v>
      </c>
      <c r="N3426" t="e">
        <v>#N/A</v>
      </c>
      <c r="O3426" t="s">
        <v>97</v>
      </c>
    </row>
    <row r="3427" spans="1:15" x14ac:dyDescent="0.2">
      <c r="A3427">
        <v>410</v>
      </c>
      <c r="B3427">
        <v>411</v>
      </c>
      <c r="C3427">
        <v>410</v>
      </c>
      <c r="D3427">
        <v>409</v>
      </c>
      <c r="E3427" t="s">
        <v>57</v>
      </c>
      <c r="F3427" t="s">
        <v>78</v>
      </c>
      <c r="G3427">
        <v>103</v>
      </c>
      <c r="H3427" t="s">
        <v>210</v>
      </c>
      <c r="I3427">
        <v>0</v>
      </c>
      <c r="J3427">
        <v>1</v>
      </c>
      <c r="K3427" t="e">
        <v>#N/A</v>
      </c>
      <c r="L3427" t="e">
        <v>#N/A</v>
      </c>
      <c r="M3427" t="e">
        <v>#N/A</v>
      </c>
      <c r="N3427" t="e">
        <v>#N/A</v>
      </c>
      <c r="O3427" t="s">
        <v>97</v>
      </c>
    </row>
    <row r="3428" spans="1:15" x14ac:dyDescent="0.2">
      <c r="A3428">
        <v>49</v>
      </c>
      <c r="B3428">
        <v>50</v>
      </c>
      <c r="C3428">
        <v>49</v>
      </c>
      <c r="D3428">
        <v>48</v>
      </c>
      <c r="E3428" t="s">
        <v>30</v>
      </c>
      <c r="F3428" t="s">
        <v>315</v>
      </c>
      <c r="G3428">
        <v>23</v>
      </c>
      <c r="H3428" t="s">
        <v>152</v>
      </c>
      <c r="I3428">
        <v>0</v>
      </c>
      <c r="J3428">
        <v>0</v>
      </c>
      <c r="K3428" t="s">
        <v>153</v>
      </c>
      <c r="L3428" t="s">
        <v>154</v>
      </c>
      <c r="M3428" t="s">
        <v>155</v>
      </c>
      <c r="N3428" t="s">
        <v>107</v>
      </c>
      <c r="O3428" t="s">
        <v>97</v>
      </c>
    </row>
    <row r="3429" spans="1:15" x14ac:dyDescent="0.2">
      <c r="A3429">
        <v>360</v>
      </c>
      <c r="B3429">
        <v>361</v>
      </c>
      <c r="C3429">
        <v>360</v>
      </c>
      <c r="D3429">
        <v>359</v>
      </c>
      <c r="E3429" t="s">
        <v>57</v>
      </c>
      <c r="F3429" t="s">
        <v>64</v>
      </c>
      <c r="G3429">
        <v>103</v>
      </c>
      <c r="H3429" t="s">
        <v>210</v>
      </c>
      <c r="I3429">
        <v>0</v>
      </c>
      <c r="J3429">
        <v>1</v>
      </c>
      <c r="K3429" t="e">
        <v>#N/A</v>
      </c>
      <c r="L3429" t="e">
        <v>#N/A</v>
      </c>
      <c r="M3429" t="e">
        <v>#N/A</v>
      </c>
      <c r="N3429" t="e">
        <v>#N/A</v>
      </c>
      <c r="O3429" t="s">
        <v>97</v>
      </c>
    </row>
    <row r="3430" spans="1:15" x14ac:dyDescent="0.2">
      <c r="A3430">
        <v>355</v>
      </c>
      <c r="B3430">
        <v>356</v>
      </c>
      <c r="C3430">
        <v>355</v>
      </c>
      <c r="D3430">
        <v>354</v>
      </c>
      <c r="E3430" t="s">
        <v>57</v>
      </c>
      <c r="F3430" t="s">
        <v>71</v>
      </c>
      <c r="G3430">
        <v>103</v>
      </c>
      <c r="H3430" t="s">
        <v>210</v>
      </c>
      <c r="I3430">
        <v>0</v>
      </c>
      <c r="J3430">
        <v>1</v>
      </c>
      <c r="K3430" t="e">
        <v>#N/A</v>
      </c>
      <c r="L3430" t="e">
        <v>#N/A</v>
      </c>
      <c r="M3430" t="e">
        <v>#N/A</v>
      </c>
      <c r="N3430" t="e">
        <v>#N/A</v>
      </c>
      <c r="O3430" t="s">
        <v>97</v>
      </c>
    </row>
    <row r="3431" spans="1:15" x14ac:dyDescent="0.2">
      <c r="A3431">
        <v>13</v>
      </c>
      <c r="B3431">
        <v>14</v>
      </c>
      <c r="C3431">
        <v>13</v>
      </c>
      <c r="D3431">
        <v>12</v>
      </c>
      <c r="E3431" t="s">
        <v>251</v>
      </c>
      <c r="F3431" t="s">
        <v>50</v>
      </c>
      <c r="G3431">
        <v>99</v>
      </c>
      <c r="H3431" t="s">
        <v>253</v>
      </c>
      <c r="I3431">
        <v>0.15</v>
      </c>
      <c r="J3431">
        <v>0.3</v>
      </c>
      <c r="K3431" t="s">
        <v>93</v>
      </c>
      <c r="L3431" t="s">
        <v>254</v>
      </c>
      <c r="M3431" t="s">
        <v>255</v>
      </c>
      <c r="N3431" t="s">
        <v>107</v>
      </c>
      <c r="O3431" t="s">
        <v>256</v>
      </c>
    </row>
    <row r="3432" spans="1:15" x14ac:dyDescent="0.2">
      <c r="A3432">
        <v>13</v>
      </c>
      <c r="B3432">
        <v>14</v>
      </c>
      <c r="C3432">
        <v>13</v>
      </c>
      <c r="D3432">
        <v>12</v>
      </c>
      <c r="E3432" t="s">
        <v>251</v>
      </c>
      <c r="F3432" t="s">
        <v>50</v>
      </c>
      <c r="G3432">
        <v>98</v>
      </c>
      <c r="H3432" t="s">
        <v>257</v>
      </c>
      <c r="I3432">
        <v>0.15</v>
      </c>
      <c r="J3432">
        <v>0.3</v>
      </c>
      <c r="K3432" t="s">
        <v>93</v>
      </c>
      <c r="L3432" t="s">
        <v>258</v>
      </c>
      <c r="M3432" t="s">
        <v>255</v>
      </c>
      <c r="N3432" t="s">
        <v>107</v>
      </c>
      <c r="O3432" t="s">
        <v>256</v>
      </c>
    </row>
    <row r="3433" spans="1:15" x14ac:dyDescent="0.2">
      <c r="A3433">
        <v>13</v>
      </c>
      <c r="B3433">
        <v>14</v>
      </c>
      <c r="C3433">
        <v>13</v>
      </c>
      <c r="D3433">
        <v>12</v>
      </c>
      <c r="E3433" t="s">
        <v>251</v>
      </c>
      <c r="F3433" t="s">
        <v>50</v>
      </c>
      <c r="G3433">
        <v>97</v>
      </c>
      <c r="H3433" t="s">
        <v>259</v>
      </c>
      <c r="I3433">
        <v>0</v>
      </c>
      <c r="J3433">
        <v>0</v>
      </c>
      <c r="K3433" t="s">
        <v>93</v>
      </c>
      <c r="L3433" t="s">
        <v>260</v>
      </c>
      <c r="M3433" t="s">
        <v>255</v>
      </c>
      <c r="N3433" t="s">
        <v>107</v>
      </c>
      <c r="O3433" t="s">
        <v>256</v>
      </c>
    </row>
    <row r="3434" spans="1:15" x14ac:dyDescent="0.2">
      <c r="A3434">
        <v>13</v>
      </c>
      <c r="B3434">
        <v>14</v>
      </c>
      <c r="C3434">
        <v>13</v>
      </c>
      <c r="D3434">
        <v>12</v>
      </c>
      <c r="E3434" t="s">
        <v>251</v>
      </c>
      <c r="F3434" t="s">
        <v>50</v>
      </c>
      <c r="G3434">
        <v>2</v>
      </c>
      <c r="H3434" t="s">
        <v>98</v>
      </c>
      <c r="I3434">
        <v>0.25</v>
      </c>
      <c r="J3434">
        <v>0.5</v>
      </c>
      <c r="K3434" t="s">
        <v>93</v>
      </c>
      <c r="L3434" t="s">
        <v>99</v>
      </c>
      <c r="M3434" t="s">
        <v>95</v>
      </c>
      <c r="N3434" t="s">
        <v>96</v>
      </c>
      <c r="O3434" t="s">
        <v>256</v>
      </c>
    </row>
    <row r="3435" spans="1:15" x14ac:dyDescent="0.2">
      <c r="A3435">
        <v>13</v>
      </c>
      <c r="B3435">
        <v>14</v>
      </c>
      <c r="C3435">
        <v>13</v>
      </c>
      <c r="D3435">
        <v>12</v>
      </c>
      <c r="E3435" t="s">
        <v>251</v>
      </c>
      <c r="F3435" t="s">
        <v>50</v>
      </c>
      <c r="G3435">
        <v>3</v>
      </c>
      <c r="H3435" t="s">
        <v>100</v>
      </c>
      <c r="I3435">
        <v>0.5</v>
      </c>
      <c r="J3435">
        <v>1</v>
      </c>
      <c r="K3435" t="s">
        <v>101</v>
      </c>
      <c r="L3435" t="s">
        <v>102</v>
      </c>
      <c r="M3435" t="s">
        <v>103</v>
      </c>
      <c r="N3435" t="s">
        <v>96</v>
      </c>
      <c r="O3435" t="s">
        <v>256</v>
      </c>
    </row>
    <row r="3436" spans="1:15" x14ac:dyDescent="0.2">
      <c r="A3436">
        <v>13</v>
      </c>
      <c r="B3436">
        <v>14</v>
      </c>
      <c r="C3436">
        <v>13</v>
      </c>
      <c r="D3436">
        <v>12</v>
      </c>
      <c r="E3436" t="s">
        <v>251</v>
      </c>
      <c r="F3436" t="s">
        <v>50</v>
      </c>
      <c r="G3436">
        <v>4</v>
      </c>
      <c r="H3436" t="s">
        <v>104</v>
      </c>
      <c r="I3436">
        <v>1</v>
      </c>
      <c r="J3436">
        <v>1</v>
      </c>
      <c r="K3436" t="s">
        <v>101</v>
      </c>
      <c r="L3436" t="s">
        <v>105</v>
      </c>
      <c r="M3436" t="s">
        <v>106</v>
      </c>
      <c r="N3436" t="s">
        <v>107</v>
      </c>
      <c r="O3436" t="s">
        <v>256</v>
      </c>
    </row>
    <row r="3437" spans="1:15" x14ac:dyDescent="0.2">
      <c r="A3437">
        <v>13</v>
      </c>
      <c r="B3437">
        <v>14</v>
      </c>
      <c r="C3437">
        <v>13</v>
      </c>
      <c r="D3437">
        <v>12</v>
      </c>
      <c r="E3437" t="s">
        <v>251</v>
      </c>
      <c r="F3437" t="s">
        <v>50</v>
      </c>
      <c r="G3437">
        <v>5</v>
      </c>
      <c r="H3437" t="s">
        <v>108</v>
      </c>
      <c r="I3437">
        <v>0</v>
      </c>
      <c r="J3437">
        <v>1</v>
      </c>
      <c r="K3437" t="s">
        <v>101</v>
      </c>
      <c r="L3437" t="s">
        <v>109</v>
      </c>
      <c r="M3437" t="s">
        <v>110</v>
      </c>
      <c r="N3437" t="s">
        <v>107</v>
      </c>
      <c r="O3437" t="s">
        <v>256</v>
      </c>
    </row>
    <row r="3438" spans="1:15" x14ac:dyDescent="0.2">
      <c r="A3438">
        <v>13</v>
      </c>
      <c r="B3438">
        <v>14</v>
      </c>
      <c r="C3438">
        <v>13</v>
      </c>
      <c r="D3438">
        <v>12</v>
      </c>
      <c r="E3438" t="s">
        <v>251</v>
      </c>
      <c r="F3438" t="s">
        <v>50</v>
      </c>
      <c r="G3438">
        <v>9</v>
      </c>
      <c r="H3438" t="s">
        <v>111</v>
      </c>
      <c r="I3438">
        <v>0.5</v>
      </c>
      <c r="J3438">
        <v>0.5</v>
      </c>
      <c r="K3438" t="s">
        <v>112</v>
      </c>
      <c r="L3438" t="s">
        <v>113</v>
      </c>
      <c r="M3438" t="s">
        <v>114</v>
      </c>
      <c r="N3438" t="s">
        <v>96</v>
      </c>
      <c r="O3438" t="s">
        <v>256</v>
      </c>
    </row>
    <row r="3439" spans="1:15" x14ac:dyDescent="0.2">
      <c r="A3439">
        <v>13</v>
      </c>
      <c r="B3439">
        <v>14</v>
      </c>
      <c r="C3439">
        <v>13</v>
      </c>
      <c r="D3439">
        <v>12</v>
      </c>
      <c r="E3439" t="s">
        <v>251</v>
      </c>
      <c r="F3439" t="s">
        <v>50</v>
      </c>
      <c r="G3439">
        <v>10</v>
      </c>
      <c r="H3439" t="s">
        <v>115</v>
      </c>
      <c r="I3439">
        <v>0.25</v>
      </c>
      <c r="J3439">
        <v>0.5</v>
      </c>
      <c r="K3439" t="s">
        <v>112</v>
      </c>
      <c r="L3439" t="s">
        <v>116</v>
      </c>
      <c r="M3439" t="s">
        <v>117</v>
      </c>
      <c r="N3439" t="s">
        <v>96</v>
      </c>
      <c r="O3439" t="s">
        <v>256</v>
      </c>
    </row>
    <row r="3440" spans="1:15" x14ac:dyDescent="0.2">
      <c r="A3440">
        <v>13</v>
      </c>
      <c r="B3440">
        <v>14</v>
      </c>
      <c r="C3440">
        <v>13</v>
      </c>
      <c r="D3440">
        <v>12</v>
      </c>
      <c r="E3440" t="s">
        <v>251</v>
      </c>
      <c r="F3440" t="s">
        <v>50</v>
      </c>
      <c r="G3440">
        <v>12</v>
      </c>
      <c r="H3440" t="s">
        <v>121</v>
      </c>
      <c r="I3440">
        <v>0.25</v>
      </c>
      <c r="J3440">
        <v>0.5</v>
      </c>
      <c r="K3440" t="s">
        <v>122</v>
      </c>
      <c r="L3440" t="s">
        <v>113</v>
      </c>
      <c r="M3440" t="s">
        <v>123</v>
      </c>
      <c r="N3440" t="s">
        <v>96</v>
      </c>
      <c r="O3440" t="s">
        <v>256</v>
      </c>
    </row>
    <row r="3441" spans="1:15" x14ac:dyDescent="0.2">
      <c r="A3441">
        <v>13</v>
      </c>
      <c r="B3441">
        <v>14</v>
      </c>
      <c r="C3441">
        <v>13</v>
      </c>
      <c r="D3441">
        <v>12</v>
      </c>
      <c r="E3441" t="s">
        <v>251</v>
      </c>
      <c r="F3441" t="s">
        <v>50</v>
      </c>
      <c r="G3441">
        <v>13</v>
      </c>
      <c r="H3441" t="s">
        <v>124</v>
      </c>
      <c r="I3441">
        <v>0.25</v>
      </c>
      <c r="J3441">
        <v>0.5</v>
      </c>
      <c r="K3441" t="s">
        <v>122</v>
      </c>
      <c r="L3441" t="s">
        <v>125</v>
      </c>
      <c r="M3441" t="s">
        <v>126</v>
      </c>
      <c r="N3441" t="s">
        <v>96</v>
      </c>
      <c r="O3441" t="s">
        <v>256</v>
      </c>
    </row>
    <row r="3442" spans="1:15" x14ac:dyDescent="0.2">
      <c r="A3442">
        <v>13</v>
      </c>
      <c r="B3442">
        <v>14</v>
      </c>
      <c r="C3442">
        <v>13</v>
      </c>
      <c r="D3442">
        <v>12</v>
      </c>
      <c r="E3442" t="s">
        <v>251</v>
      </c>
      <c r="F3442" t="s">
        <v>50</v>
      </c>
      <c r="G3442">
        <v>15</v>
      </c>
      <c r="H3442" t="s">
        <v>129</v>
      </c>
      <c r="I3442">
        <v>0</v>
      </c>
      <c r="J3442">
        <v>1</v>
      </c>
      <c r="K3442" t="s">
        <v>130</v>
      </c>
      <c r="L3442" t="s">
        <v>131</v>
      </c>
      <c r="M3442" t="s">
        <v>132</v>
      </c>
      <c r="N3442" t="s">
        <v>107</v>
      </c>
      <c r="O3442" t="s">
        <v>256</v>
      </c>
    </row>
    <row r="3443" spans="1:15" x14ac:dyDescent="0.2">
      <c r="A3443">
        <v>13</v>
      </c>
      <c r="B3443">
        <v>14</v>
      </c>
      <c r="C3443">
        <v>13</v>
      </c>
      <c r="D3443">
        <v>12</v>
      </c>
      <c r="E3443" t="s">
        <v>251</v>
      </c>
      <c r="F3443" t="s">
        <v>50</v>
      </c>
      <c r="G3443">
        <v>17</v>
      </c>
      <c r="H3443" t="s">
        <v>134</v>
      </c>
      <c r="I3443">
        <v>1</v>
      </c>
      <c r="J3443">
        <v>1</v>
      </c>
      <c r="K3443" t="s">
        <v>112</v>
      </c>
      <c r="L3443" t="s">
        <v>135</v>
      </c>
      <c r="M3443" t="s">
        <v>136</v>
      </c>
      <c r="N3443" t="s">
        <v>107</v>
      </c>
      <c r="O3443" t="s">
        <v>256</v>
      </c>
    </row>
    <row r="3444" spans="1:15" x14ac:dyDescent="0.2">
      <c r="A3444">
        <v>13</v>
      </c>
      <c r="B3444">
        <v>14</v>
      </c>
      <c r="C3444">
        <v>13</v>
      </c>
      <c r="D3444">
        <v>12</v>
      </c>
      <c r="E3444" t="s">
        <v>251</v>
      </c>
      <c r="F3444" t="s">
        <v>50</v>
      </c>
      <c r="G3444">
        <v>18</v>
      </c>
      <c r="H3444" t="s">
        <v>137</v>
      </c>
      <c r="I3444">
        <v>1</v>
      </c>
      <c r="J3444">
        <v>1</v>
      </c>
      <c r="K3444" t="s">
        <v>112</v>
      </c>
      <c r="L3444" t="s">
        <v>138</v>
      </c>
      <c r="M3444" t="s">
        <v>139</v>
      </c>
      <c r="N3444" t="s">
        <v>107</v>
      </c>
      <c r="O3444" t="s">
        <v>256</v>
      </c>
    </row>
    <row r="3445" spans="1:15" x14ac:dyDescent="0.2">
      <c r="A3445">
        <v>13</v>
      </c>
      <c r="B3445">
        <v>14</v>
      </c>
      <c r="C3445">
        <v>13</v>
      </c>
      <c r="D3445">
        <v>12</v>
      </c>
      <c r="E3445" t="s">
        <v>251</v>
      </c>
      <c r="F3445" t="s">
        <v>50</v>
      </c>
      <c r="G3445">
        <v>19</v>
      </c>
      <c r="H3445" t="s">
        <v>140</v>
      </c>
      <c r="I3445">
        <v>1</v>
      </c>
      <c r="J3445">
        <v>1</v>
      </c>
      <c r="K3445" t="s">
        <v>122</v>
      </c>
      <c r="L3445" t="s">
        <v>141</v>
      </c>
      <c r="M3445" t="s">
        <v>142</v>
      </c>
      <c r="N3445" t="s">
        <v>107</v>
      </c>
      <c r="O3445" t="s">
        <v>256</v>
      </c>
    </row>
    <row r="3446" spans="1:15" x14ac:dyDescent="0.2">
      <c r="A3446">
        <v>13</v>
      </c>
      <c r="B3446">
        <v>14</v>
      </c>
      <c r="C3446">
        <v>13</v>
      </c>
      <c r="D3446">
        <v>12</v>
      </c>
      <c r="E3446" t="s">
        <v>251</v>
      </c>
      <c r="F3446" t="s">
        <v>50</v>
      </c>
      <c r="G3446">
        <v>20</v>
      </c>
      <c r="H3446" t="s">
        <v>143</v>
      </c>
      <c r="I3446">
        <v>1</v>
      </c>
      <c r="J3446">
        <v>1</v>
      </c>
      <c r="K3446" t="s">
        <v>122</v>
      </c>
      <c r="L3446" t="s">
        <v>144</v>
      </c>
      <c r="M3446" t="s">
        <v>145</v>
      </c>
      <c r="N3446" t="s">
        <v>107</v>
      </c>
      <c r="O3446" t="s">
        <v>256</v>
      </c>
    </row>
    <row r="3447" spans="1:15" x14ac:dyDescent="0.2">
      <c r="A3447">
        <v>13</v>
      </c>
      <c r="B3447">
        <v>14</v>
      </c>
      <c r="C3447">
        <v>13</v>
      </c>
      <c r="D3447">
        <v>12</v>
      </c>
      <c r="E3447" t="s">
        <v>251</v>
      </c>
      <c r="F3447" t="s">
        <v>50</v>
      </c>
      <c r="G3447">
        <v>22</v>
      </c>
      <c r="H3447" t="s">
        <v>150</v>
      </c>
      <c r="I3447">
        <v>0</v>
      </c>
      <c r="J3447">
        <v>1</v>
      </c>
      <c r="K3447" t="s">
        <v>147</v>
      </c>
      <c r="L3447" t="s">
        <v>151</v>
      </c>
      <c r="M3447" t="s">
        <v>149</v>
      </c>
      <c r="N3447" t="s">
        <v>107</v>
      </c>
      <c r="O3447" t="s">
        <v>256</v>
      </c>
    </row>
    <row r="3448" spans="1:15" x14ac:dyDescent="0.2">
      <c r="A3448">
        <v>13</v>
      </c>
      <c r="B3448">
        <v>14</v>
      </c>
      <c r="C3448">
        <v>13</v>
      </c>
      <c r="D3448">
        <v>12</v>
      </c>
      <c r="E3448" t="s">
        <v>251</v>
      </c>
      <c r="F3448" t="s">
        <v>50</v>
      </c>
      <c r="G3448">
        <v>224</v>
      </c>
      <c r="H3448" t="s">
        <v>152</v>
      </c>
      <c r="I3448">
        <v>1</v>
      </c>
      <c r="J3448">
        <v>1</v>
      </c>
      <c r="K3448" t="s">
        <v>153</v>
      </c>
      <c r="L3448" t="s">
        <v>154</v>
      </c>
      <c r="M3448" t="s">
        <v>155</v>
      </c>
      <c r="N3448" t="s">
        <v>107</v>
      </c>
      <c r="O3448" t="s">
        <v>256</v>
      </c>
    </row>
    <row r="3449" spans="1:15" x14ac:dyDescent="0.2">
      <c r="A3449">
        <v>13</v>
      </c>
      <c r="B3449">
        <v>14</v>
      </c>
      <c r="C3449">
        <v>13</v>
      </c>
      <c r="D3449">
        <v>12</v>
      </c>
      <c r="E3449" t="s">
        <v>251</v>
      </c>
      <c r="F3449" t="s">
        <v>50</v>
      </c>
      <c r="G3449">
        <v>222</v>
      </c>
      <c r="H3449" t="s">
        <v>152</v>
      </c>
      <c r="I3449">
        <v>1</v>
      </c>
      <c r="J3449">
        <v>1</v>
      </c>
      <c r="K3449" t="s">
        <v>153</v>
      </c>
      <c r="L3449" t="s">
        <v>154</v>
      </c>
      <c r="M3449" t="s">
        <v>155</v>
      </c>
      <c r="N3449" t="s">
        <v>107</v>
      </c>
      <c r="O3449" t="s">
        <v>256</v>
      </c>
    </row>
    <row r="3450" spans="1:15" x14ac:dyDescent="0.2">
      <c r="A3450">
        <v>13</v>
      </c>
      <c r="B3450">
        <v>14</v>
      </c>
      <c r="C3450">
        <v>13</v>
      </c>
      <c r="D3450">
        <v>12</v>
      </c>
      <c r="E3450" t="s">
        <v>251</v>
      </c>
      <c r="F3450" t="s">
        <v>50</v>
      </c>
      <c r="G3450">
        <v>23</v>
      </c>
      <c r="H3450" t="s">
        <v>152</v>
      </c>
      <c r="I3450">
        <v>0</v>
      </c>
      <c r="J3450">
        <v>1</v>
      </c>
      <c r="K3450" t="s">
        <v>153</v>
      </c>
      <c r="L3450" t="s">
        <v>154</v>
      </c>
      <c r="M3450" t="s">
        <v>155</v>
      </c>
      <c r="N3450" t="s">
        <v>107</v>
      </c>
      <c r="O3450" t="s">
        <v>256</v>
      </c>
    </row>
    <row r="3451" spans="1:15" x14ac:dyDescent="0.2">
      <c r="A3451">
        <v>13</v>
      </c>
      <c r="B3451">
        <v>14</v>
      </c>
      <c r="C3451">
        <v>13</v>
      </c>
      <c r="D3451">
        <v>12</v>
      </c>
      <c r="E3451" t="s">
        <v>251</v>
      </c>
      <c r="F3451" t="s">
        <v>50</v>
      </c>
      <c r="G3451">
        <v>223</v>
      </c>
      <c r="H3451" t="s">
        <v>152</v>
      </c>
      <c r="I3451">
        <v>0</v>
      </c>
      <c r="J3451">
        <v>1</v>
      </c>
      <c r="K3451" t="s">
        <v>153</v>
      </c>
      <c r="L3451" t="s">
        <v>154</v>
      </c>
      <c r="M3451" t="s">
        <v>155</v>
      </c>
      <c r="N3451" t="s">
        <v>107</v>
      </c>
      <c r="O3451" t="s">
        <v>256</v>
      </c>
    </row>
    <row r="3452" spans="1:15" x14ac:dyDescent="0.2">
      <c r="A3452">
        <v>13</v>
      </c>
      <c r="B3452">
        <v>14</v>
      </c>
      <c r="C3452">
        <v>13</v>
      </c>
      <c r="D3452">
        <v>12</v>
      </c>
      <c r="E3452" t="s">
        <v>251</v>
      </c>
      <c r="F3452" t="s">
        <v>50</v>
      </c>
      <c r="G3452">
        <v>999</v>
      </c>
      <c r="H3452" t="s">
        <v>152</v>
      </c>
      <c r="I3452" t="s">
        <v>261</v>
      </c>
      <c r="J3452" t="s">
        <v>261</v>
      </c>
      <c r="K3452" t="s">
        <v>153</v>
      </c>
      <c r="L3452" t="s">
        <v>154</v>
      </c>
      <c r="M3452" t="s">
        <v>155</v>
      </c>
      <c r="N3452" t="s">
        <v>107</v>
      </c>
      <c r="O3452" t="s">
        <v>256</v>
      </c>
    </row>
    <row r="3453" spans="1:15" x14ac:dyDescent="0.2">
      <c r="A3453">
        <v>13</v>
      </c>
      <c r="B3453">
        <v>14</v>
      </c>
      <c r="C3453">
        <v>13</v>
      </c>
      <c r="D3453">
        <v>12</v>
      </c>
      <c r="E3453" t="s">
        <v>251</v>
      </c>
      <c r="F3453" t="s">
        <v>50</v>
      </c>
      <c r="G3453">
        <v>2222</v>
      </c>
      <c r="H3453" t="s">
        <v>152</v>
      </c>
      <c r="I3453" t="s">
        <v>261</v>
      </c>
      <c r="J3453" t="s">
        <v>261</v>
      </c>
      <c r="K3453" t="s">
        <v>153</v>
      </c>
      <c r="L3453" t="s">
        <v>154</v>
      </c>
      <c r="M3453" t="s">
        <v>155</v>
      </c>
      <c r="N3453" t="s">
        <v>107</v>
      </c>
      <c r="O3453" t="s">
        <v>256</v>
      </c>
    </row>
    <row r="3454" spans="1:15" x14ac:dyDescent="0.2">
      <c r="A3454">
        <v>13</v>
      </c>
      <c r="B3454">
        <v>14</v>
      </c>
      <c r="C3454">
        <v>13</v>
      </c>
      <c r="D3454">
        <v>12</v>
      </c>
      <c r="E3454" t="s">
        <v>251</v>
      </c>
      <c r="F3454" t="s">
        <v>50</v>
      </c>
      <c r="G3454">
        <v>1111</v>
      </c>
      <c r="H3454" t="s">
        <v>152</v>
      </c>
      <c r="I3454" t="s">
        <v>261</v>
      </c>
      <c r="J3454" t="s">
        <v>261</v>
      </c>
      <c r="K3454" t="s">
        <v>153</v>
      </c>
      <c r="L3454" t="s">
        <v>154</v>
      </c>
      <c r="M3454" t="s">
        <v>155</v>
      </c>
      <c r="N3454" t="s">
        <v>107</v>
      </c>
      <c r="O3454" t="s">
        <v>256</v>
      </c>
    </row>
    <row r="3455" spans="1:15" x14ac:dyDescent="0.2">
      <c r="A3455">
        <v>13</v>
      </c>
      <c r="B3455">
        <v>14</v>
      </c>
      <c r="C3455">
        <v>13</v>
      </c>
      <c r="D3455">
        <v>12</v>
      </c>
      <c r="E3455" t="s">
        <v>251</v>
      </c>
      <c r="F3455" t="s">
        <v>50</v>
      </c>
      <c r="G3455">
        <v>26</v>
      </c>
      <c r="H3455" t="s">
        <v>152</v>
      </c>
      <c r="I3455" t="s">
        <v>261</v>
      </c>
      <c r="J3455" t="s">
        <v>261</v>
      </c>
      <c r="K3455" t="s">
        <v>153</v>
      </c>
      <c r="L3455" t="s">
        <v>154</v>
      </c>
      <c r="M3455" t="s">
        <v>155</v>
      </c>
      <c r="N3455" t="s">
        <v>107</v>
      </c>
      <c r="O3455" t="s">
        <v>256</v>
      </c>
    </row>
    <row r="3456" spans="1:15" x14ac:dyDescent="0.2">
      <c r="A3456">
        <v>13</v>
      </c>
      <c r="B3456">
        <v>14</v>
      </c>
      <c r="C3456">
        <v>13</v>
      </c>
      <c r="D3456">
        <v>12</v>
      </c>
      <c r="E3456" t="s">
        <v>251</v>
      </c>
      <c r="F3456" t="s">
        <v>50</v>
      </c>
      <c r="G3456">
        <v>1112</v>
      </c>
      <c r="H3456" t="s">
        <v>152</v>
      </c>
      <c r="I3456" t="s">
        <v>261</v>
      </c>
      <c r="J3456" t="s">
        <v>261</v>
      </c>
      <c r="K3456" t="s">
        <v>153</v>
      </c>
      <c r="L3456" t="s">
        <v>154</v>
      </c>
      <c r="M3456" t="s">
        <v>155</v>
      </c>
      <c r="N3456" t="s">
        <v>107</v>
      </c>
      <c r="O3456" t="s">
        <v>256</v>
      </c>
    </row>
    <row r="3457" spans="1:15" x14ac:dyDescent="0.2">
      <c r="A3457">
        <v>13</v>
      </c>
      <c r="B3457">
        <v>14</v>
      </c>
      <c r="C3457">
        <v>13</v>
      </c>
      <c r="D3457">
        <v>12</v>
      </c>
      <c r="E3457" t="s">
        <v>251</v>
      </c>
      <c r="F3457" t="s">
        <v>50</v>
      </c>
      <c r="G3457">
        <v>1113</v>
      </c>
      <c r="H3457" t="s">
        <v>152</v>
      </c>
      <c r="I3457">
        <v>0</v>
      </c>
      <c r="J3457" t="s">
        <v>261</v>
      </c>
      <c r="K3457" t="s">
        <v>153</v>
      </c>
      <c r="L3457" t="s">
        <v>154</v>
      </c>
      <c r="M3457" t="s">
        <v>155</v>
      </c>
      <c r="N3457" t="s">
        <v>107</v>
      </c>
      <c r="O3457" t="s">
        <v>256</v>
      </c>
    </row>
    <row r="3458" spans="1:15" x14ac:dyDescent="0.2">
      <c r="A3458">
        <v>13</v>
      </c>
      <c r="B3458">
        <v>14</v>
      </c>
      <c r="C3458">
        <v>13</v>
      </c>
      <c r="D3458">
        <v>12</v>
      </c>
      <c r="E3458" t="s">
        <v>251</v>
      </c>
      <c r="F3458" t="s">
        <v>50</v>
      </c>
      <c r="G3458">
        <v>1114</v>
      </c>
      <c r="H3458" t="s">
        <v>152</v>
      </c>
      <c r="I3458">
        <v>0</v>
      </c>
      <c r="J3458">
        <v>0</v>
      </c>
      <c r="K3458" t="s">
        <v>153</v>
      </c>
      <c r="L3458" t="s">
        <v>154</v>
      </c>
      <c r="M3458" t="s">
        <v>155</v>
      </c>
      <c r="N3458" t="s">
        <v>107</v>
      </c>
      <c r="O3458" t="s">
        <v>256</v>
      </c>
    </row>
    <row r="3459" spans="1:15" x14ac:dyDescent="0.2">
      <c r="A3459">
        <v>13</v>
      </c>
      <c r="B3459">
        <v>14</v>
      </c>
      <c r="C3459">
        <v>13</v>
      </c>
      <c r="D3459">
        <v>12</v>
      </c>
      <c r="E3459" t="s">
        <v>251</v>
      </c>
      <c r="F3459" t="s">
        <v>50</v>
      </c>
      <c r="G3459">
        <v>500</v>
      </c>
      <c r="H3459" t="s">
        <v>156</v>
      </c>
      <c r="I3459">
        <v>0</v>
      </c>
      <c r="J3459">
        <v>1</v>
      </c>
      <c r="K3459" t="s">
        <v>122</v>
      </c>
      <c r="L3459" t="s">
        <v>157</v>
      </c>
      <c r="M3459" t="s">
        <v>158</v>
      </c>
      <c r="N3459" t="s">
        <v>107</v>
      </c>
      <c r="O3459" t="s">
        <v>256</v>
      </c>
    </row>
    <row r="3460" spans="1:15" x14ac:dyDescent="0.2">
      <c r="A3460">
        <v>13</v>
      </c>
      <c r="B3460">
        <v>14</v>
      </c>
      <c r="C3460">
        <v>13</v>
      </c>
      <c r="D3460">
        <v>12</v>
      </c>
      <c r="E3460" t="s">
        <v>251</v>
      </c>
      <c r="F3460" t="s">
        <v>50</v>
      </c>
      <c r="G3460">
        <v>501</v>
      </c>
      <c r="H3460" t="s">
        <v>156</v>
      </c>
      <c r="I3460">
        <v>0</v>
      </c>
      <c r="J3460">
        <v>0</v>
      </c>
      <c r="K3460" t="s">
        <v>122</v>
      </c>
      <c r="L3460" t="s">
        <v>157</v>
      </c>
      <c r="M3460" t="s">
        <v>158</v>
      </c>
      <c r="N3460" t="s">
        <v>107</v>
      </c>
      <c r="O3460" t="s">
        <v>256</v>
      </c>
    </row>
    <row r="3461" spans="1:15" x14ac:dyDescent="0.2">
      <c r="A3461">
        <v>13</v>
      </c>
      <c r="B3461">
        <v>14</v>
      </c>
      <c r="C3461">
        <v>13</v>
      </c>
      <c r="D3461">
        <v>12</v>
      </c>
      <c r="E3461" t="s">
        <v>251</v>
      </c>
      <c r="F3461" t="s">
        <v>50</v>
      </c>
      <c r="G3461">
        <v>502</v>
      </c>
      <c r="H3461" t="s">
        <v>156</v>
      </c>
      <c r="I3461">
        <v>0</v>
      </c>
      <c r="J3461">
        <v>0</v>
      </c>
      <c r="K3461" t="s">
        <v>122</v>
      </c>
      <c r="L3461" t="s">
        <v>157</v>
      </c>
      <c r="M3461" t="s">
        <v>158</v>
      </c>
      <c r="N3461" t="s">
        <v>107</v>
      </c>
      <c r="O3461" t="s">
        <v>256</v>
      </c>
    </row>
    <row r="3462" spans="1:15" x14ac:dyDescent="0.2">
      <c r="A3462">
        <v>13</v>
      </c>
      <c r="B3462">
        <v>14</v>
      </c>
      <c r="C3462">
        <v>13</v>
      </c>
      <c r="D3462">
        <v>12</v>
      </c>
      <c r="E3462" t="s">
        <v>251</v>
      </c>
      <c r="F3462" t="s">
        <v>50</v>
      </c>
      <c r="G3462">
        <v>504</v>
      </c>
      <c r="H3462" t="s">
        <v>262</v>
      </c>
      <c r="I3462">
        <v>0</v>
      </c>
      <c r="J3462">
        <v>0</v>
      </c>
      <c r="K3462" t="s">
        <v>153</v>
      </c>
      <c r="L3462" t="s">
        <v>263</v>
      </c>
      <c r="M3462" t="s">
        <v>264</v>
      </c>
      <c r="N3462" t="s">
        <v>107</v>
      </c>
      <c r="O3462" t="s">
        <v>256</v>
      </c>
    </row>
    <row r="3463" spans="1:15" x14ac:dyDescent="0.2">
      <c r="A3463">
        <v>13</v>
      </c>
      <c r="B3463">
        <v>14</v>
      </c>
      <c r="C3463">
        <v>13</v>
      </c>
      <c r="D3463">
        <v>12</v>
      </c>
      <c r="E3463" t="s">
        <v>251</v>
      </c>
      <c r="F3463" t="s">
        <v>50</v>
      </c>
      <c r="G3463">
        <v>505</v>
      </c>
      <c r="H3463" t="s">
        <v>262</v>
      </c>
      <c r="I3463">
        <v>0</v>
      </c>
      <c r="J3463">
        <v>0</v>
      </c>
      <c r="K3463" t="s">
        <v>153</v>
      </c>
      <c r="L3463" t="s">
        <v>263</v>
      </c>
      <c r="M3463" t="s">
        <v>264</v>
      </c>
      <c r="N3463" t="s">
        <v>107</v>
      </c>
      <c r="O3463" t="s">
        <v>256</v>
      </c>
    </row>
    <row r="3464" spans="1:15" x14ac:dyDescent="0.2">
      <c r="A3464">
        <v>13</v>
      </c>
      <c r="B3464">
        <v>14</v>
      </c>
      <c r="C3464">
        <v>13</v>
      </c>
      <c r="D3464">
        <v>12</v>
      </c>
      <c r="E3464" t="s">
        <v>251</v>
      </c>
      <c r="F3464" t="s">
        <v>50</v>
      </c>
      <c r="G3464">
        <v>225</v>
      </c>
      <c r="H3464" t="s">
        <v>265</v>
      </c>
      <c r="I3464">
        <v>0</v>
      </c>
      <c r="J3464">
        <v>0.25</v>
      </c>
      <c r="K3464" t="s">
        <v>112</v>
      </c>
      <c r="L3464" t="s">
        <v>266</v>
      </c>
      <c r="M3464" t="s">
        <v>267</v>
      </c>
      <c r="N3464" t="s">
        <v>96</v>
      </c>
      <c r="O3464" t="s">
        <v>256</v>
      </c>
    </row>
    <row r="3465" spans="1:15" x14ac:dyDescent="0.2">
      <c r="A3465">
        <v>13</v>
      </c>
      <c r="B3465">
        <v>14</v>
      </c>
      <c r="C3465">
        <v>13</v>
      </c>
      <c r="D3465">
        <v>12</v>
      </c>
      <c r="E3465" t="s">
        <v>251</v>
      </c>
      <c r="F3465" t="s">
        <v>50</v>
      </c>
      <c r="G3465">
        <v>35</v>
      </c>
      <c r="H3465" t="s">
        <v>165</v>
      </c>
      <c r="I3465">
        <v>1</v>
      </c>
      <c r="J3465">
        <v>1</v>
      </c>
      <c r="K3465" t="s">
        <v>166</v>
      </c>
      <c r="L3465" t="s">
        <v>167</v>
      </c>
      <c r="M3465" t="s">
        <v>168</v>
      </c>
      <c r="N3465" t="s">
        <v>107</v>
      </c>
      <c r="O3465" t="s">
        <v>256</v>
      </c>
    </row>
    <row r="3466" spans="1:15" x14ac:dyDescent="0.2">
      <c r="A3466">
        <v>13</v>
      </c>
      <c r="B3466">
        <v>14</v>
      </c>
      <c r="C3466">
        <v>13</v>
      </c>
      <c r="D3466">
        <v>12</v>
      </c>
      <c r="E3466" t="s">
        <v>251</v>
      </c>
      <c r="F3466" t="s">
        <v>50</v>
      </c>
      <c r="G3466">
        <v>44</v>
      </c>
      <c r="H3466" t="s">
        <v>182</v>
      </c>
      <c r="I3466">
        <v>1</v>
      </c>
      <c r="J3466">
        <v>1</v>
      </c>
      <c r="K3466" t="s">
        <v>166</v>
      </c>
      <c r="L3466" t="s">
        <v>183</v>
      </c>
      <c r="M3466" t="s">
        <v>184</v>
      </c>
      <c r="N3466" t="s">
        <v>107</v>
      </c>
      <c r="O3466" t="s">
        <v>256</v>
      </c>
    </row>
    <row r="3467" spans="1:15" x14ac:dyDescent="0.2">
      <c r="A3467">
        <v>49</v>
      </c>
      <c r="B3467">
        <v>50</v>
      </c>
      <c r="C3467">
        <v>49</v>
      </c>
      <c r="D3467">
        <v>48</v>
      </c>
      <c r="E3467" t="s">
        <v>30</v>
      </c>
      <c r="F3467" t="s">
        <v>315</v>
      </c>
      <c r="G3467">
        <v>24</v>
      </c>
      <c r="H3467" t="s">
        <v>156</v>
      </c>
      <c r="I3467">
        <v>0</v>
      </c>
      <c r="J3467">
        <v>0</v>
      </c>
      <c r="K3467" t="s">
        <v>122</v>
      </c>
      <c r="L3467" t="s">
        <v>157</v>
      </c>
      <c r="M3467" t="s">
        <v>158</v>
      </c>
      <c r="N3467" t="s">
        <v>107</v>
      </c>
      <c r="O3467" t="s">
        <v>97</v>
      </c>
    </row>
    <row r="3468" spans="1:15" x14ac:dyDescent="0.2">
      <c r="A3468">
        <v>49</v>
      </c>
      <c r="B3468">
        <v>50</v>
      </c>
      <c r="C3468">
        <v>49</v>
      </c>
      <c r="D3468">
        <v>48</v>
      </c>
      <c r="E3468" t="s">
        <v>30</v>
      </c>
      <c r="F3468" t="s">
        <v>315</v>
      </c>
      <c r="G3468">
        <v>25</v>
      </c>
      <c r="H3468" t="s">
        <v>156</v>
      </c>
      <c r="I3468">
        <v>0</v>
      </c>
      <c r="J3468">
        <v>0</v>
      </c>
      <c r="K3468" t="s">
        <v>122</v>
      </c>
      <c r="L3468" t="s">
        <v>157</v>
      </c>
      <c r="M3468" t="s">
        <v>158</v>
      </c>
      <c r="N3468" t="s">
        <v>107</v>
      </c>
      <c r="O3468" t="s">
        <v>97</v>
      </c>
    </row>
    <row r="3469" spans="1:15" x14ac:dyDescent="0.2">
      <c r="A3469">
        <v>49</v>
      </c>
      <c r="B3469">
        <v>50</v>
      </c>
      <c r="C3469">
        <v>49</v>
      </c>
      <c r="D3469">
        <v>48</v>
      </c>
      <c r="E3469" t="s">
        <v>30</v>
      </c>
      <c r="F3469" t="s">
        <v>315</v>
      </c>
      <c r="G3469">
        <v>26</v>
      </c>
      <c r="H3469" t="s">
        <v>152</v>
      </c>
      <c r="I3469">
        <v>0</v>
      </c>
      <c r="J3469">
        <v>0</v>
      </c>
      <c r="K3469" t="s">
        <v>153</v>
      </c>
      <c r="L3469" t="s">
        <v>154</v>
      </c>
      <c r="M3469" t="s">
        <v>155</v>
      </c>
      <c r="N3469" t="s">
        <v>107</v>
      </c>
      <c r="O3469" t="s">
        <v>97</v>
      </c>
    </row>
    <row r="3470" spans="1:15" x14ac:dyDescent="0.2">
      <c r="A3470">
        <v>49</v>
      </c>
      <c r="B3470">
        <v>50</v>
      </c>
      <c r="C3470">
        <v>49</v>
      </c>
      <c r="D3470">
        <v>48</v>
      </c>
      <c r="E3470" t="s">
        <v>30</v>
      </c>
      <c r="F3470" t="s">
        <v>315</v>
      </c>
      <c r="G3470">
        <v>27</v>
      </c>
      <c r="H3470" t="s">
        <v>159</v>
      </c>
      <c r="I3470">
        <v>0.5</v>
      </c>
      <c r="J3470">
        <v>0.5</v>
      </c>
      <c r="K3470" t="s">
        <v>122</v>
      </c>
      <c r="L3470" t="s">
        <v>160</v>
      </c>
      <c r="M3470" t="s">
        <v>161</v>
      </c>
      <c r="N3470" t="s">
        <v>107</v>
      </c>
      <c r="O3470" t="s">
        <v>97</v>
      </c>
    </row>
    <row r="3471" spans="1:15" x14ac:dyDescent="0.2">
      <c r="A3471">
        <v>49</v>
      </c>
      <c r="B3471">
        <v>50</v>
      </c>
      <c r="C3471">
        <v>49</v>
      </c>
      <c r="D3471">
        <v>48</v>
      </c>
      <c r="E3471" t="s">
        <v>30</v>
      </c>
      <c r="F3471" t="s">
        <v>315</v>
      </c>
      <c r="G3471">
        <v>28</v>
      </c>
      <c r="H3471" t="s">
        <v>159</v>
      </c>
      <c r="I3471">
        <v>0.5</v>
      </c>
      <c r="J3471">
        <v>0.5</v>
      </c>
      <c r="K3471" t="s">
        <v>122</v>
      </c>
      <c r="L3471" t="s">
        <v>160</v>
      </c>
      <c r="M3471" t="s">
        <v>161</v>
      </c>
      <c r="N3471" t="s">
        <v>107</v>
      </c>
      <c r="O3471" t="s">
        <v>97</v>
      </c>
    </row>
    <row r="3472" spans="1:15" x14ac:dyDescent="0.2">
      <c r="A3472">
        <v>49</v>
      </c>
      <c r="B3472">
        <v>50</v>
      </c>
      <c r="C3472">
        <v>49</v>
      </c>
      <c r="D3472">
        <v>48</v>
      </c>
      <c r="E3472" t="s">
        <v>30</v>
      </c>
      <c r="F3472" t="s">
        <v>315</v>
      </c>
      <c r="G3472">
        <v>29</v>
      </c>
      <c r="H3472" t="s">
        <v>152</v>
      </c>
      <c r="I3472">
        <v>0</v>
      </c>
      <c r="J3472">
        <v>0</v>
      </c>
      <c r="K3472" t="s">
        <v>153</v>
      </c>
      <c r="L3472" t="s">
        <v>154</v>
      </c>
      <c r="M3472" t="s">
        <v>155</v>
      </c>
      <c r="N3472" t="s">
        <v>107</v>
      </c>
      <c r="O3472" t="s">
        <v>97</v>
      </c>
    </row>
    <row r="3473" spans="1:15" x14ac:dyDescent="0.2">
      <c r="A3473">
        <v>49</v>
      </c>
      <c r="B3473">
        <v>50</v>
      </c>
      <c r="C3473">
        <v>49</v>
      </c>
      <c r="D3473">
        <v>48</v>
      </c>
      <c r="E3473" t="s">
        <v>30</v>
      </c>
      <c r="F3473" t="s">
        <v>315</v>
      </c>
      <c r="G3473">
        <v>30</v>
      </c>
      <c r="H3473" t="s">
        <v>162</v>
      </c>
      <c r="I3473">
        <v>0</v>
      </c>
      <c r="J3473">
        <v>1</v>
      </c>
      <c r="K3473" t="s">
        <v>112</v>
      </c>
      <c r="L3473" t="s">
        <v>163</v>
      </c>
      <c r="M3473" t="s">
        <v>164</v>
      </c>
      <c r="N3473" t="s">
        <v>107</v>
      </c>
      <c r="O3473" t="s">
        <v>97</v>
      </c>
    </row>
    <row r="3474" spans="1:15" x14ac:dyDescent="0.2">
      <c r="A3474">
        <v>49</v>
      </c>
      <c r="B3474">
        <v>50</v>
      </c>
      <c r="C3474">
        <v>49</v>
      </c>
      <c r="D3474">
        <v>48</v>
      </c>
      <c r="E3474" t="s">
        <v>30</v>
      </c>
      <c r="F3474" t="s">
        <v>315</v>
      </c>
      <c r="G3474">
        <v>31</v>
      </c>
      <c r="H3474" t="s">
        <v>162</v>
      </c>
      <c r="I3474">
        <v>0</v>
      </c>
      <c r="J3474">
        <v>0</v>
      </c>
      <c r="K3474" t="s">
        <v>112</v>
      </c>
      <c r="L3474" t="s">
        <v>163</v>
      </c>
      <c r="M3474" t="s">
        <v>164</v>
      </c>
      <c r="N3474" t="s">
        <v>107</v>
      </c>
      <c r="O3474" t="s">
        <v>97</v>
      </c>
    </row>
    <row r="3475" spans="1:15" x14ac:dyDescent="0.2">
      <c r="A3475">
        <v>49</v>
      </c>
      <c r="B3475">
        <v>50</v>
      </c>
      <c r="C3475">
        <v>49</v>
      </c>
      <c r="D3475">
        <v>48</v>
      </c>
      <c r="E3475" t="s">
        <v>30</v>
      </c>
      <c r="F3475" t="s">
        <v>315</v>
      </c>
      <c r="G3475">
        <v>32</v>
      </c>
      <c r="H3475" t="s">
        <v>162</v>
      </c>
      <c r="I3475">
        <v>0</v>
      </c>
      <c r="J3475">
        <v>0</v>
      </c>
      <c r="K3475" t="s">
        <v>112</v>
      </c>
      <c r="L3475" t="s">
        <v>163</v>
      </c>
      <c r="M3475" t="s">
        <v>164</v>
      </c>
      <c r="N3475" t="s">
        <v>107</v>
      </c>
      <c r="O3475" t="s">
        <v>97</v>
      </c>
    </row>
    <row r="3476" spans="1:15" x14ac:dyDescent="0.2">
      <c r="A3476">
        <v>49</v>
      </c>
      <c r="B3476">
        <v>50</v>
      </c>
      <c r="C3476">
        <v>49</v>
      </c>
      <c r="D3476">
        <v>48</v>
      </c>
      <c r="E3476" t="s">
        <v>30</v>
      </c>
      <c r="F3476" t="s">
        <v>315</v>
      </c>
      <c r="G3476">
        <v>33</v>
      </c>
      <c r="H3476" t="s">
        <v>152</v>
      </c>
      <c r="I3476">
        <v>0</v>
      </c>
      <c r="J3476">
        <v>1</v>
      </c>
      <c r="K3476" t="s">
        <v>153</v>
      </c>
      <c r="L3476" t="s">
        <v>154</v>
      </c>
      <c r="M3476" t="s">
        <v>155</v>
      </c>
      <c r="N3476" t="s">
        <v>107</v>
      </c>
      <c r="O3476" t="s">
        <v>97</v>
      </c>
    </row>
    <row r="3477" spans="1:15" x14ac:dyDescent="0.2">
      <c r="A3477">
        <v>49</v>
      </c>
      <c r="B3477">
        <v>50</v>
      </c>
      <c r="C3477">
        <v>49</v>
      </c>
      <c r="D3477">
        <v>48</v>
      </c>
      <c r="E3477" t="s">
        <v>30</v>
      </c>
      <c r="F3477" t="s">
        <v>315</v>
      </c>
      <c r="G3477">
        <v>34</v>
      </c>
      <c r="H3477" t="s">
        <v>152</v>
      </c>
      <c r="I3477">
        <v>0</v>
      </c>
      <c r="J3477">
        <v>0</v>
      </c>
      <c r="K3477" t="s">
        <v>153</v>
      </c>
      <c r="L3477" t="s">
        <v>154</v>
      </c>
      <c r="M3477" t="s">
        <v>155</v>
      </c>
      <c r="N3477" t="s">
        <v>107</v>
      </c>
      <c r="O3477" t="s">
        <v>97</v>
      </c>
    </row>
    <row r="3478" spans="1:15" x14ac:dyDescent="0.2">
      <c r="A3478">
        <v>49</v>
      </c>
      <c r="B3478">
        <v>50</v>
      </c>
      <c r="C3478">
        <v>49</v>
      </c>
      <c r="D3478">
        <v>48</v>
      </c>
      <c r="E3478" t="s">
        <v>30</v>
      </c>
      <c r="F3478" t="s">
        <v>315</v>
      </c>
      <c r="G3478">
        <v>35</v>
      </c>
      <c r="H3478" t="s">
        <v>165</v>
      </c>
      <c r="I3478">
        <v>0</v>
      </c>
      <c r="J3478">
        <v>1</v>
      </c>
      <c r="K3478" t="s">
        <v>166</v>
      </c>
      <c r="L3478" t="s">
        <v>167</v>
      </c>
      <c r="M3478" t="s">
        <v>168</v>
      </c>
      <c r="N3478" t="s">
        <v>107</v>
      </c>
      <c r="O3478" t="s">
        <v>97</v>
      </c>
    </row>
    <row r="3479" spans="1:15" x14ac:dyDescent="0.2">
      <c r="A3479">
        <v>49</v>
      </c>
      <c r="B3479">
        <v>50</v>
      </c>
      <c r="C3479">
        <v>49</v>
      </c>
      <c r="D3479">
        <v>48</v>
      </c>
      <c r="E3479" t="s">
        <v>30</v>
      </c>
      <c r="F3479" t="s">
        <v>315</v>
      </c>
      <c r="G3479">
        <v>36</v>
      </c>
      <c r="H3479" t="s">
        <v>169</v>
      </c>
      <c r="I3479">
        <v>0</v>
      </c>
      <c r="J3479">
        <v>0</v>
      </c>
      <c r="K3479" t="e">
        <v>#N/A</v>
      </c>
      <c r="L3479" t="e">
        <v>#N/A</v>
      </c>
      <c r="M3479" t="e">
        <v>#N/A</v>
      </c>
      <c r="N3479" t="e">
        <v>#N/A</v>
      </c>
      <c r="O3479" t="s">
        <v>97</v>
      </c>
    </row>
    <row r="3480" spans="1:15" x14ac:dyDescent="0.2">
      <c r="A3480">
        <v>49</v>
      </c>
      <c r="B3480">
        <v>50</v>
      </c>
      <c r="C3480">
        <v>49</v>
      </c>
      <c r="D3480">
        <v>48</v>
      </c>
      <c r="E3480" t="s">
        <v>30</v>
      </c>
      <c r="F3480" t="s">
        <v>315</v>
      </c>
      <c r="G3480">
        <v>38</v>
      </c>
      <c r="H3480" t="s">
        <v>170</v>
      </c>
      <c r="I3480">
        <v>0</v>
      </c>
      <c r="J3480">
        <v>0.5</v>
      </c>
      <c r="K3480" t="s">
        <v>112</v>
      </c>
      <c r="L3480" t="s">
        <v>171</v>
      </c>
      <c r="M3480" t="s">
        <v>172</v>
      </c>
      <c r="N3480" t="s">
        <v>96</v>
      </c>
      <c r="O3480" t="s">
        <v>97</v>
      </c>
    </row>
    <row r="3481" spans="1:15" x14ac:dyDescent="0.2">
      <c r="A3481">
        <v>49</v>
      </c>
      <c r="B3481">
        <v>50</v>
      </c>
      <c r="C3481">
        <v>49</v>
      </c>
      <c r="D3481">
        <v>48</v>
      </c>
      <c r="E3481" t="s">
        <v>30</v>
      </c>
      <c r="F3481" t="s">
        <v>315</v>
      </c>
      <c r="G3481">
        <v>39</v>
      </c>
      <c r="H3481" t="s">
        <v>170</v>
      </c>
      <c r="I3481">
        <v>0</v>
      </c>
      <c r="J3481">
        <v>0.5</v>
      </c>
      <c r="K3481" t="s">
        <v>112</v>
      </c>
      <c r="L3481" t="s">
        <v>171</v>
      </c>
      <c r="M3481" t="s">
        <v>172</v>
      </c>
      <c r="N3481" t="s">
        <v>96</v>
      </c>
      <c r="O3481" t="s">
        <v>97</v>
      </c>
    </row>
    <row r="3482" spans="1:15" x14ac:dyDescent="0.2">
      <c r="A3482">
        <v>49</v>
      </c>
      <c r="B3482">
        <v>50</v>
      </c>
      <c r="C3482">
        <v>49</v>
      </c>
      <c r="D3482">
        <v>48</v>
      </c>
      <c r="E3482" t="s">
        <v>30</v>
      </c>
      <c r="F3482" t="s">
        <v>315</v>
      </c>
      <c r="G3482">
        <v>40</v>
      </c>
      <c r="H3482" t="s">
        <v>170</v>
      </c>
      <c r="I3482">
        <v>0.5</v>
      </c>
      <c r="J3482">
        <v>0.5</v>
      </c>
      <c r="K3482" t="s">
        <v>112</v>
      </c>
      <c r="L3482" t="s">
        <v>171</v>
      </c>
      <c r="M3482" t="s">
        <v>172</v>
      </c>
      <c r="N3482" t="s">
        <v>96</v>
      </c>
      <c r="O3482" t="s">
        <v>97</v>
      </c>
    </row>
    <row r="3483" spans="1:15" x14ac:dyDescent="0.2">
      <c r="A3483">
        <v>49</v>
      </c>
      <c r="B3483">
        <v>50</v>
      </c>
      <c r="C3483">
        <v>49</v>
      </c>
      <c r="D3483">
        <v>48</v>
      </c>
      <c r="E3483" t="s">
        <v>30</v>
      </c>
      <c r="F3483" t="s">
        <v>315</v>
      </c>
      <c r="G3483">
        <v>41</v>
      </c>
      <c r="H3483" t="s">
        <v>173</v>
      </c>
      <c r="I3483">
        <v>0</v>
      </c>
      <c r="J3483">
        <v>1</v>
      </c>
      <c r="K3483" t="s">
        <v>166</v>
      </c>
      <c r="L3483" t="s">
        <v>174</v>
      </c>
      <c r="M3483" t="s">
        <v>175</v>
      </c>
      <c r="N3483" t="s">
        <v>107</v>
      </c>
      <c r="O3483" t="s">
        <v>97</v>
      </c>
    </row>
    <row r="3484" spans="1:15" x14ac:dyDescent="0.2">
      <c r="A3484">
        <v>49</v>
      </c>
      <c r="B3484">
        <v>50</v>
      </c>
      <c r="C3484">
        <v>49</v>
      </c>
      <c r="D3484">
        <v>48</v>
      </c>
      <c r="E3484" t="s">
        <v>30</v>
      </c>
      <c r="F3484" t="s">
        <v>315</v>
      </c>
      <c r="G3484">
        <v>42</v>
      </c>
      <c r="H3484" t="s">
        <v>176</v>
      </c>
      <c r="I3484">
        <v>0</v>
      </c>
      <c r="J3484" t="s">
        <v>198</v>
      </c>
      <c r="K3484" t="s">
        <v>153</v>
      </c>
      <c r="L3484" t="s">
        <v>177</v>
      </c>
      <c r="M3484" t="s">
        <v>178</v>
      </c>
      <c r="N3484" t="s">
        <v>107</v>
      </c>
      <c r="O3484" t="s">
        <v>97</v>
      </c>
    </row>
    <row r="3485" spans="1:15" x14ac:dyDescent="0.2">
      <c r="A3485">
        <v>49</v>
      </c>
      <c r="B3485">
        <v>50</v>
      </c>
      <c r="C3485">
        <v>49</v>
      </c>
      <c r="D3485">
        <v>48</v>
      </c>
      <c r="E3485" t="s">
        <v>30</v>
      </c>
      <c r="F3485" t="s">
        <v>315</v>
      </c>
      <c r="G3485">
        <v>43</v>
      </c>
      <c r="H3485" t="s">
        <v>179</v>
      </c>
      <c r="I3485">
        <v>0</v>
      </c>
      <c r="J3485">
        <v>0</v>
      </c>
      <c r="K3485" t="s">
        <v>166</v>
      </c>
      <c r="L3485" t="s">
        <v>180</v>
      </c>
      <c r="M3485" t="s">
        <v>181</v>
      </c>
      <c r="N3485" t="s">
        <v>107</v>
      </c>
      <c r="O3485" t="s">
        <v>97</v>
      </c>
    </row>
    <row r="3486" spans="1:15" x14ac:dyDescent="0.2">
      <c r="A3486">
        <v>49</v>
      </c>
      <c r="B3486">
        <v>50</v>
      </c>
      <c r="C3486">
        <v>49</v>
      </c>
      <c r="D3486">
        <v>48</v>
      </c>
      <c r="E3486" t="s">
        <v>30</v>
      </c>
      <c r="F3486" t="s">
        <v>315</v>
      </c>
      <c r="G3486">
        <v>44</v>
      </c>
      <c r="H3486" t="s">
        <v>182</v>
      </c>
      <c r="I3486">
        <v>1</v>
      </c>
      <c r="J3486">
        <v>1</v>
      </c>
      <c r="K3486" t="s">
        <v>166</v>
      </c>
      <c r="L3486" t="s">
        <v>183</v>
      </c>
      <c r="M3486" t="s">
        <v>184</v>
      </c>
      <c r="N3486" t="s">
        <v>107</v>
      </c>
      <c r="O3486" t="s">
        <v>97</v>
      </c>
    </row>
    <row r="3487" spans="1:15" x14ac:dyDescent="0.2">
      <c r="A3487">
        <v>49</v>
      </c>
      <c r="B3487">
        <v>50</v>
      </c>
      <c r="C3487">
        <v>49</v>
      </c>
      <c r="D3487">
        <v>48</v>
      </c>
      <c r="E3487" t="s">
        <v>30</v>
      </c>
      <c r="F3487" t="s">
        <v>315</v>
      </c>
      <c r="G3487">
        <v>45</v>
      </c>
      <c r="H3487" t="s">
        <v>185</v>
      </c>
      <c r="I3487">
        <v>1</v>
      </c>
      <c r="J3487">
        <v>1</v>
      </c>
      <c r="K3487" t="s">
        <v>166</v>
      </c>
      <c r="L3487" t="s">
        <v>186</v>
      </c>
      <c r="M3487" t="s">
        <v>139</v>
      </c>
      <c r="N3487" t="s">
        <v>107</v>
      </c>
      <c r="O3487" t="s">
        <v>97</v>
      </c>
    </row>
    <row r="3488" spans="1:15" x14ac:dyDescent="0.2">
      <c r="A3488">
        <v>49</v>
      </c>
      <c r="B3488">
        <v>50</v>
      </c>
      <c r="C3488">
        <v>49</v>
      </c>
      <c r="D3488">
        <v>48</v>
      </c>
      <c r="E3488" t="s">
        <v>30</v>
      </c>
      <c r="F3488" t="s">
        <v>315</v>
      </c>
      <c r="G3488">
        <v>47</v>
      </c>
      <c r="H3488" t="s">
        <v>187</v>
      </c>
      <c r="I3488">
        <v>0</v>
      </c>
      <c r="J3488">
        <v>0.2</v>
      </c>
      <c r="K3488" t="s">
        <v>93</v>
      </c>
      <c r="L3488" t="s">
        <v>188</v>
      </c>
      <c r="M3488" t="s">
        <v>95</v>
      </c>
      <c r="N3488" t="s">
        <v>96</v>
      </c>
      <c r="O3488" t="s">
        <v>97</v>
      </c>
    </row>
    <row r="3489" spans="1:15" x14ac:dyDescent="0.2">
      <c r="A3489">
        <v>49</v>
      </c>
      <c r="B3489">
        <v>50</v>
      </c>
      <c r="C3489">
        <v>49</v>
      </c>
      <c r="D3489">
        <v>48</v>
      </c>
      <c r="E3489" t="s">
        <v>30</v>
      </c>
      <c r="F3489" t="s">
        <v>315</v>
      </c>
      <c r="G3489">
        <v>48</v>
      </c>
      <c r="H3489" t="s">
        <v>189</v>
      </c>
      <c r="I3489">
        <v>0.2</v>
      </c>
      <c r="J3489">
        <v>0.2</v>
      </c>
      <c r="K3489" t="s">
        <v>93</v>
      </c>
      <c r="L3489" t="s">
        <v>190</v>
      </c>
      <c r="M3489" t="s">
        <v>95</v>
      </c>
      <c r="N3489" t="s">
        <v>96</v>
      </c>
      <c r="O3489" t="s">
        <v>97</v>
      </c>
    </row>
    <row r="3490" spans="1:15" x14ac:dyDescent="0.2">
      <c r="A3490">
        <v>49</v>
      </c>
      <c r="B3490">
        <v>50</v>
      </c>
      <c r="C3490">
        <v>49</v>
      </c>
      <c r="D3490">
        <v>48</v>
      </c>
      <c r="E3490" t="s">
        <v>30</v>
      </c>
      <c r="F3490" t="s">
        <v>315</v>
      </c>
      <c r="G3490">
        <v>49</v>
      </c>
      <c r="H3490" t="s">
        <v>191</v>
      </c>
      <c r="I3490">
        <v>0</v>
      </c>
      <c r="J3490">
        <v>0.2</v>
      </c>
      <c r="K3490" t="s">
        <v>93</v>
      </c>
      <c r="L3490" t="s">
        <v>192</v>
      </c>
      <c r="M3490" t="s">
        <v>95</v>
      </c>
      <c r="N3490" t="s">
        <v>96</v>
      </c>
      <c r="O3490" t="s">
        <v>97</v>
      </c>
    </row>
    <row r="3491" spans="1:15" x14ac:dyDescent="0.2">
      <c r="A3491">
        <v>49</v>
      </c>
      <c r="B3491">
        <v>50</v>
      </c>
      <c r="C3491">
        <v>49</v>
      </c>
      <c r="D3491">
        <v>48</v>
      </c>
      <c r="E3491" t="s">
        <v>30</v>
      </c>
      <c r="F3491" t="s">
        <v>315</v>
      </c>
      <c r="G3491">
        <v>50</v>
      </c>
      <c r="H3491" t="s">
        <v>193</v>
      </c>
      <c r="I3491">
        <v>0.1</v>
      </c>
      <c r="J3491">
        <v>0.1</v>
      </c>
      <c r="K3491" t="s">
        <v>93</v>
      </c>
      <c r="L3491" t="s">
        <v>194</v>
      </c>
      <c r="M3491" t="s">
        <v>95</v>
      </c>
      <c r="N3491" t="s">
        <v>96</v>
      </c>
      <c r="O3491" t="s">
        <v>97</v>
      </c>
    </row>
    <row r="3492" spans="1:15" x14ac:dyDescent="0.2">
      <c r="A3492">
        <v>49</v>
      </c>
      <c r="B3492">
        <v>50</v>
      </c>
      <c r="C3492">
        <v>49</v>
      </c>
      <c r="D3492">
        <v>48</v>
      </c>
      <c r="E3492" t="s">
        <v>30</v>
      </c>
      <c r="F3492" t="s">
        <v>315</v>
      </c>
      <c r="G3492">
        <v>51</v>
      </c>
      <c r="H3492" t="s">
        <v>193</v>
      </c>
      <c r="I3492">
        <v>0.1</v>
      </c>
      <c r="J3492">
        <v>0.1</v>
      </c>
      <c r="K3492" t="s">
        <v>93</v>
      </c>
      <c r="L3492" t="s">
        <v>194</v>
      </c>
      <c r="M3492" t="s">
        <v>95</v>
      </c>
      <c r="N3492" t="s">
        <v>96</v>
      </c>
      <c r="O3492" t="s">
        <v>97</v>
      </c>
    </row>
    <row r="3493" spans="1:15" x14ac:dyDescent="0.2">
      <c r="A3493">
        <v>49</v>
      </c>
      <c r="B3493">
        <v>50</v>
      </c>
      <c r="C3493">
        <v>49</v>
      </c>
      <c r="D3493">
        <v>48</v>
      </c>
      <c r="E3493" t="s">
        <v>30</v>
      </c>
      <c r="F3493" t="s">
        <v>315</v>
      </c>
      <c r="G3493">
        <v>52</v>
      </c>
      <c r="H3493" t="s">
        <v>200</v>
      </c>
      <c r="I3493">
        <v>0</v>
      </c>
      <c r="J3493" t="s">
        <v>316</v>
      </c>
      <c r="K3493" t="e">
        <v>#N/A</v>
      </c>
      <c r="L3493" t="e">
        <v>#N/A</v>
      </c>
      <c r="M3493" t="e">
        <v>#N/A</v>
      </c>
      <c r="N3493" t="e">
        <v>#N/A</v>
      </c>
      <c r="O3493" t="s">
        <v>97</v>
      </c>
    </row>
    <row r="3494" spans="1:15" x14ac:dyDescent="0.2">
      <c r="A3494">
        <v>49</v>
      </c>
      <c r="B3494">
        <v>50</v>
      </c>
      <c r="C3494">
        <v>49</v>
      </c>
      <c r="D3494">
        <v>48</v>
      </c>
      <c r="E3494" t="s">
        <v>30</v>
      </c>
      <c r="F3494" t="s">
        <v>315</v>
      </c>
      <c r="G3494">
        <v>53</v>
      </c>
      <c r="H3494" t="s">
        <v>201</v>
      </c>
      <c r="I3494">
        <v>0</v>
      </c>
      <c r="J3494">
        <v>0</v>
      </c>
      <c r="K3494" t="e">
        <v>#N/A</v>
      </c>
      <c r="L3494" t="e">
        <v>#N/A</v>
      </c>
      <c r="M3494" t="e">
        <v>#N/A</v>
      </c>
      <c r="N3494" t="e">
        <v>#N/A</v>
      </c>
      <c r="O3494" t="s">
        <v>97</v>
      </c>
    </row>
    <row r="3495" spans="1:15" x14ac:dyDescent="0.2">
      <c r="A3495">
        <v>49</v>
      </c>
      <c r="B3495">
        <v>50</v>
      </c>
      <c r="C3495">
        <v>49</v>
      </c>
      <c r="D3495">
        <v>48</v>
      </c>
      <c r="E3495" t="s">
        <v>30</v>
      </c>
      <c r="F3495" t="s">
        <v>315</v>
      </c>
      <c r="G3495">
        <v>54</v>
      </c>
      <c r="H3495" t="s">
        <v>203</v>
      </c>
      <c r="I3495">
        <v>0</v>
      </c>
      <c r="J3495">
        <v>0</v>
      </c>
      <c r="K3495" t="e">
        <v>#N/A</v>
      </c>
      <c r="L3495" t="e">
        <v>#N/A</v>
      </c>
      <c r="M3495" t="e">
        <v>#N/A</v>
      </c>
      <c r="N3495" t="e">
        <v>#N/A</v>
      </c>
      <c r="O3495" t="s">
        <v>97</v>
      </c>
    </row>
    <row r="3496" spans="1:15" x14ac:dyDescent="0.2">
      <c r="A3496">
        <v>49</v>
      </c>
      <c r="B3496">
        <v>50</v>
      </c>
      <c r="C3496">
        <v>49</v>
      </c>
      <c r="D3496">
        <v>48</v>
      </c>
      <c r="E3496" t="s">
        <v>30</v>
      </c>
      <c r="F3496" t="s">
        <v>315</v>
      </c>
      <c r="G3496">
        <v>99</v>
      </c>
      <c r="H3496" t="s">
        <v>152</v>
      </c>
      <c r="I3496">
        <v>0</v>
      </c>
      <c r="J3496">
        <v>0</v>
      </c>
      <c r="K3496" t="s">
        <v>153</v>
      </c>
      <c r="L3496" t="s">
        <v>154</v>
      </c>
      <c r="M3496" t="s">
        <v>155</v>
      </c>
      <c r="N3496" t="s">
        <v>107</v>
      </c>
      <c r="O3496" t="s">
        <v>97</v>
      </c>
    </row>
    <row r="3497" spans="1:15" x14ac:dyDescent="0.2">
      <c r="A3497">
        <v>49</v>
      </c>
      <c r="B3497">
        <v>50</v>
      </c>
      <c r="C3497">
        <v>49</v>
      </c>
      <c r="D3497">
        <v>48</v>
      </c>
      <c r="E3497" t="s">
        <v>30</v>
      </c>
      <c r="F3497" t="s">
        <v>315</v>
      </c>
      <c r="G3497">
        <v>98</v>
      </c>
      <c r="H3497" t="s">
        <v>204</v>
      </c>
      <c r="I3497">
        <v>0</v>
      </c>
      <c r="J3497">
        <v>1</v>
      </c>
      <c r="K3497" t="s">
        <v>122</v>
      </c>
      <c r="L3497" t="s">
        <v>205</v>
      </c>
      <c r="M3497" t="s">
        <v>206</v>
      </c>
      <c r="N3497" t="s">
        <v>207</v>
      </c>
      <c r="O3497" t="s">
        <v>97</v>
      </c>
    </row>
    <row r="3498" spans="1:15" x14ac:dyDescent="0.2">
      <c r="A3498">
        <v>49</v>
      </c>
      <c r="B3498">
        <v>50</v>
      </c>
      <c r="C3498">
        <v>49</v>
      </c>
      <c r="D3498">
        <v>48</v>
      </c>
      <c r="E3498" t="s">
        <v>30</v>
      </c>
      <c r="F3498" t="s">
        <v>315</v>
      </c>
      <c r="G3498">
        <v>97</v>
      </c>
      <c r="H3498" t="s">
        <v>152</v>
      </c>
      <c r="I3498">
        <v>0.25</v>
      </c>
      <c r="J3498">
        <v>0.25</v>
      </c>
      <c r="K3498" t="s">
        <v>153</v>
      </c>
      <c r="L3498" t="s">
        <v>154</v>
      </c>
      <c r="M3498" t="s">
        <v>155</v>
      </c>
      <c r="N3498" t="s">
        <v>107</v>
      </c>
      <c r="O3498" t="s">
        <v>97</v>
      </c>
    </row>
    <row r="3499" spans="1:15" x14ac:dyDescent="0.2">
      <c r="A3499">
        <v>49</v>
      </c>
      <c r="B3499">
        <v>50</v>
      </c>
      <c r="C3499">
        <v>49</v>
      </c>
      <c r="D3499">
        <v>48</v>
      </c>
      <c r="E3499" t="s">
        <v>30</v>
      </c>
      <c r="F3499" t="s">
        <v>315</v>
      </c>
      <c r="G3499">
        <v>96</v>
      </c>
      <c r="H3499" t="s">
        <v>152</v>
      </c>
      <c r="I3499">
        <v>0</v>
      </c>
      <c r="J3499">
        <v>0</v>
      </c>
      <c r="K3499" t="s">
        <v>153</v>
      </c>
      <c r="L3499" t="s">
        <v>154</v>
      </c>
      <c r="M3499" t="s">
        <v>155</v>
      </c>
      <c r="N3499" t="s">
        <v>107</v>
      </c>
      <c r="O3499" t="s">
        <v>97</v>
      </c>
    </row>
    <row r="3500" spans="1:15" x14ac:dyDescent="0.2">
      <c r="A3500">
        <v>49</v>
      </c>
      <c r="B3500">
        <v>50</v>
      </c>
      <c r="C3500">
        <v>49</v>
      </c>
      <c r="D3500">
        <v>48</v>
      </c>
      <c r="E3500" t="s">
        <v>30</v>
      </c>
      <c r="F3500" t="s">
        <v>315</v>
      </c>
      <c r="G3500">
        <v>101</v>
      </c>
      <c r="H3500" t="s">
        <v>208</v>
      </c>
      <c r="I3500">
        <v>0</v>
      </c>
      <c r="J3500">
        <v>1</v>
      </c>
      <c r="K3500" t="e">
        <v>#N/A</v>
      </c>
      <c r="L3500" t="e">
        <v>#N/A</v>
      </c>
      <c r="M3500" t="e">
        <v>#N/A</v>
      </c>
      <c r="N3500" t="e">
        <v>#N/A</v>
      </c>
      <c r="O3500" t="s">
        <v>97</v>
      </c>
    </row>
    <row r="3501" spans="1:15" x14ac:dyDescent="0.2">
      <c r="A3501">
        <v>49</v>
      </c>
      <c r="B3501">
        <v>50</v>
      </c>
      <c r="C3501">
        <v>49</v>
      </c>
      <c r="D3501">
        <v>48</v>
      </c>
      <c r="E3501" t="s">
        <v>30</v>
      </c>
      <c r="F3501" t="s">
        <v>315</v>
      </c>
      <c r="G3501">
        <v>102</v>
      </c>
      <c r="H3501" t="s">
        <v>209</v>
      </c>
      <c r="I3501">
        <v>0</v>
      </c>
      <c r="J3501">
        <v>1</v>
      </c>
      <c r="K3501" t="e">
        <v>#N/A</v>
      </c>
      <c r="L3501" t="e">
        <v>#N/A</v>
      </c>
      <c r="M3501" t="e">
        <v>#N/A</v>
      </c>
      <c r="N3501" t="e">
        <v>#N/A</v>
      </c>
      <c r="O3501" t="s">
        <v>97</v>
      </c>
    </row>
    <row r="3502" spans="1:15" x14ac:dyDescent="0.2">
      <c r="A3502">
        <v>49</v>
      </c>
      <c r="B3502">
        <v>50</v>
      </c>
      <c r="C3502">
        <v>49</v>
      </c>
      <c r="D3502">
        <v>48</v>
      </c>
      <c r="E3502" t="s">
        <v>30</v>
      </c>
      <c r="F3502" t="s">
        <v>315</v>
      </c>
      <c r="G3502">
        <v>103</v>
      </c>
      <c r="H3502" t="s">
        <v>210</v>
      </c>
      <c r="I3502">
        <v>0</v>
      </c>
      <c r="J3502">
        <v>1</v>
      </c>
      <c r="K3502" t="e">
        <v>#N/A</v>
      </c>
      <c r="L3502" t="e">
        <v>#N/A</v>
      </c>
      <c r="M3502" t="e">
        <v>#N/A</v>
      </c>
      <c r="N3502" t="e">
        <v>#N/A</v>
      </c>
      <c r="O3502" t="s">
        <v>97</v>
      </c>
    </row>
    <row r="3503" spans="1:15" x14ac:dyDescent="0.2">
      <c r="A3503">
        <v>23</v>
      </c>
      <c r="B3503">
        <v>24</v>
      </c>
      <c r="C3503">
        <v>23</v>
      </c>
      <c r="D3503">
        <v>22</v>
      </c>
      <c r="E3503" t="s">
        <v>251</v>
      </c>
      <c r="F3503" t="s">
        <v>52</v>
      </c>
      <c r="G3503">
        <v>99</v>
      </c>
      <c r="H3503" t="s">
        <v>253</v>
      </c>
      <c r="I3503">
        <v>0.3</v>
      </c>
      <c r="J3503">
        <v>0.3</v>
      </c>
      <c r="K3503" t="s">
        <v>93</v>
      </c>
      <c r="L3503" t="s">
        <v>254</v>
      </c>
      <c r="M3503" t="s">
        <v>255</v>
      </c>
      <c r="N3503" t="s">
        <v>107</v>
      </c>
      <c r="O3503" t="s">
        <v>256</v>
      </c>
    </row>
    <row r="3504" spans="1:15" x14ac:dyDescent="0.2">
      <c r="A3504">
        <v>23</v>
      </c>
      <c r="B3504">
        <v>24</v>
      </c>
      <c r="C3504">
        <v>23</v>
      </c>
      <c r="D3504">
        <v>22</v>
      </c>
      <c r="E3504" t="s">
        <v>251</v>
      </c>
      <c r="F3504" t="s">
        <v>52</v>
      </c>
      <c r="G3504">
        <v>98</v>
      </c>
      <c r="H3504" t="s">
        <v>257</v>
      </c>
      <c r="I3504">
        <v>0.3</v>
      </c>
      <c r="J3504">
        <v>0.3</v>
      </c>
      <c r="K3504" t="s">
        <v>93</v>
      </c>
      <c r="L3504" t="s">
        <v>258</v>
      </c>
      <c r="M3504" t="s">
        <v>255</v>
      </c>
      <c r="N3504" t="s">
        <v>107</v>
      </c>
      <c r="O3504" t="s">
        <v>256</v>
      </c>
    </row>
    <row r="3505" spans="1:15" x14ac:dyDescent="0.2">
      <c r="A3505">
        <v>23</v>
      </c>
      <c r="B3505">
        <v>24</v>
      </c>
      <c r="C3505">
        <v>23</v>
      </c>
      <c r="D3505">
        <v>22</v>
      </c>
      <c r="E3505" t="s">
        <v>251</v>
      </c>
      <c r="F3505" t="s">
        <v>52</v>
      </c>
      <c r="G3505">
        <v>97</v>
      </c>
      <c r="H3505" t="s">
        <v>259</v>
      </c>
      <c r="I3505">
        <v>0.3</v>
      </c>
      <c r="J3505">
        <v>0.3</v>
      </c>
      <c r="K3505" t="s">
        <v>93</v>
      </c>
      <c r="L3505" t="s">
        <v>260</v>
      </c>
      <c r="M3505" t="s">
        <v>255</v>
      </c>
      <c r="N3505" t="s">
        <v>107</v>
      </c>
      <c r="O3505" t="s">
        <v>256</v>
      </c>
    </row>
    <row r="3506" spans="1:15" x14ac:dyDescent="0.2">
      <c r="A3506">
        <v>23</v>
      </c>
      <c r="B3506">
        <v>24</v>
      </c>
      <c r="C3506">
        <v>23</v>
      </c>
      <c r="D3506">
        <v>22</v>
      </c>
      <c r="E3506" t="s">
        <v>251</v>
      </c>
      <c r="F3506" t="s">
        <v>52</v>
      </c>
      <c r="G3506">
        <v>2</v>
      </c>
      <c r="H3506" t="s">
        <v>98</v>
      </c>
      <c r="I3506">
        <v>0.25</v>
      </c>
      <c r="J3506">
        <v>0.5</v>
      </c>
      <c r="K3506" t="s">
        <v>93</v>
      </c>
      <c r="L3506" t="s">
        <v>99</v>
      </c>
      <c r="M3506" t="s">
        <v>95</v>
      </c>
      <c r="N3506" t="s">
        <v>96</v>
      </c>
      <c r="O3506" t="s">
        <v>256</v>
      </c>
    </row>
    <row r="3507" spans="1:15" x14ac:dyDescent="0.2">
      <c r="A3507">
        <v>23</v>
      </c>
      <c r="B3507">
        <v>24</v>
      </c>
      <c r="C3507">
        <v>23</v>
      </c>
      <c r="D3507">
        <v>22</v>
      </c>
      <c r="E3507" t="s">
        <v>251</v>
      </c>
      <c r="F3507" t="s">
        <v>52</v>
      </c>
      <c r="G3507">
        <v>3</v>
      </c>
      <c r="H3507" t="s">
        <v>100</v>
      </c>
      <c r="I3507">
        <v>1</v>
      </c>
      <c r="J3507">
        <v>1</v>
      </c>
      <c r="K3507" t="s">
        <v>101</v>
      </c>
      <c r="L3507" t="s">
        <v>102</v>
      </c>
      <c r="M3507" t="s">
        <v>103</v>
      </c>
      <c r="N3507" t="s">
        <v>96</v>
      </c>
      <c r="O3507" t="s">
        <v>256</v>
      </c>
    </row>
    <row r="3508" spans="1:15" x14ac:dyDescent="0.2">
      <c r="A3508">
        <v>23</v>
      </c>
      <c r="B3508">
        <v>24</v>
      </c>
      <c r="C3508">
        <v>23</v>
      </c>
      <c r="D3508">
        <v>22</v>
      </c>
      <c r="E3508" t="s">
        <v>251</v>
      </c>
      <c r="F3508" t="s">
        <v>52</v>
      </c>
      <c r="G3508">
        <v>4</v>
      </c>
      <c r="H3508" t="s">
        <v>104</v>
      </c>
      <c r="I3508">
        <v>0.5</v>
      </c>
      <c r="J3508">
        <v>1</v>
      </c>
      <c r="K3508" t="s">
        <v>101</v>
      </c>
      <c r="L3508" t="s">
        <v>105</v>
      </c>
      <c r="M3508" t="s">
        <v>106</v>
      </c>
      <c r="N3508" t="s">
        <v>107</v>
      </c>
      <c r="O3508" t="s">
        <v>256</v>
      </c>
    </row>
    <row r="3509" spans="1:15" x14ac:dyDescent="0.2">
      <c r="A3509">
        <v>23</v>
      </c>
      <c r="B3509">
        <v>24</v>
      </c>
      <c r="C3509">
        <v>23</v>
      </c>
      <c r="D3509">
        <v>22</v>
      </c>
      <c r="E3509" t="s">
        <v>251</v>
      </c>
      <c r="F3509" t="s">
        <v>52</v>
      </c>
      <c r="G3509">
        <v>5</v>
      </c>
      <c r="H3509" t="s">
        <v>108</v>
      </c>
      <c r="I3509">
        <v>0</v>
      </c>
      <c r="J3509">
        <v>1</v>
      </c>
      <c r="K3509" t="s">
        <v>101</v>
      </c>
      <c r="L3509" t="s">
        <v>109</v>
      </c>
      <c r="M3509" t="s">
        <v>110</v>
      </c>
      <c r="N3509" t="s">
        <v>107</v>
      </c>
      <c r="O3509" t="s">
        <v>256</v>
      </c>
    </row>
    <row r="3510" spans="1:15" x14ac:dyDescent="0.2">
      <c r="A3510">
        <v>23</v>
      </c>
      <c r="B3510">
        <v>24</v>
      </c>
      <c r="C3510">
        <v>23</v>
      </c>
      <c r="D3510">
        <v>22</v>
      </c>
      <c r="E3510" t="s">
        <v>251</v>
      </c>
      <c r="F3510" t="s">
        <v>52</v>
      </c>
      <c r="G3510">
        <v>9</v>
      </c>
      <c r="H3510" t="s">
        <v>111</v>
      </c>
      <c r="I3510">
        <v>0.5</v>
      </c>
      <c r="J3510">
        <v>0.5</v>
      </c>
      <c r="K3510" t="s">
        <v>112</v>
      </c>
      <c r="L3510" t="s">
        <v>113</v>
      </c>
      <c r="M3510" t="s">
        <v>114</v>
      </c>
      <c r="N3510" t="s">
        <v>96</v>
      </c>
      <c r="O3510" t="s">
        <v>256</v>
      </c>
    </row>
    <row r="3511" spans="1:15" x14ac:dyDescent="0.2">
      <c r="A3511">
        <v>23</v>
      </c>
      <c r="B3511">
        <v>24</v>
      </c>
      <c r="C3511">
        <v>23</v>
      </c>
      <c r="D3511">
        <v>22</v>
      </c>
      <c r="E3511" t="s">
        <v>251</v>
      </c>
      <c r="F3511" t="s">
        <v>52</v>
      </c>
      <c r="G3511">
        <v>10</v>
      </c>
      <c r="H3511" t="s">
        <v>115</v>
      </c>
      <c r="I3511">
        <v>0.25</v>
      </c>
      <c r="J3511">
        <v>0.5</v>
      </c>
      <c r="K3511" t="s">
        <v>112</v>
      </c>
      <c r="L3511" t="s">
        <v>116</v>
      </c>
      <c r="M3511" t="s">
        <v>117</v>
      </c>
      <c r="N3511" t="s">
        <v>96</v>
      </c>
      <c r="O3511" t="s">
        <v>256</v>
      </c>
    </row>
    <row r="3512" spans="1:15" x14ac:dyDescent="0.2">
      <c r="A3512">
        <v>23</v>
      </c>
      <c r="B3512">
        <v>24</v>
      </c>
      <c r="C3512">
        <v>23</v>
      </c>
      <c r="D3512">
        <v>22</v>
      </c>
      <c r="E3512" t="s">
        <v>251</v>
      </c>
      <c r="F3512" t="s">
        <v>52</v>
      </c>
      <c r="G3512">
        <v>12</v>
      </c>
      <c r="H3512" t="s">
        <v>121</v>
      </c>
      <c r="I3512">
        <v>0.5</v>
      </c>
      <c r="J3512">
        <v>0.5</v>
      </c>
      <c r="K3512" t="s">
        <v>122</v>
      </c>
      <c r="L3512" t="s">
        <v>113</v>
      </c>
      <c r="M3512" t="s">
        <v>123</v>
      </c>
      <c r="N3512" t="s">
        <v>96</v>
      </c>
      <c r="O3512" t="s">
        <v>256</v>
      </c>
    </row>
    <row r="3513" spans="1:15" x14ac:dyDescent="0.2">
      <c r="A3513">
        <v>23</v>
      </c>
      <c r="B3513">
        <v>24</v>
      </c>
      <c r="C3513">
        <v>23</v>
      </c>
      <c r="D3513">
        <v>22</v>
      </c>
      <c r="E3513" t="s">
        <v>251</v>
      </c>
      <c r="F3513" t="s">
        <v>52</v>
      </c>
      <c r="G3513">
        <v>13</v>
      </c>
      <c r="H3513" t="s">
        <v>124</v>
      </c>
      <c r="I3513">
        <v>0.25</v>
      </c>
      <c r="J3513">
        <v>0.5</v>
      </c>
      <c r="K3513" t="s">
        <v>122</v>
      </c>
      <c r="L3513" t="s">
        <v>125</v>
      </c>
      <c r="M3513" t="s">
        <v>126</v>
      </c>
      <c r="N3513" t="s">
        <v>96</v>
      </c>
      <c r="O3513" t="s">
        <v>256</v>
      </c>
    </row>
    <row r="3514" spans="1:15" x14ac:dyDescent="0.2">
      <c r="A3514">
        <v>23</v>
      </c>
      <c r="B3514">
        <v>24</v>
      </c>
      <c r="C3514">
        <v>23</v>
      </c>
      <c r="D3514">
        <v>22</v>
      </c>
      <c r="E3514" t="s">
        <v>251</v>
      </c>
      <c r="F3514" t="s">
        <v>52</v>
      </c>
      <c r="G3514">
        <v>15</v>
      </c>
      <c r="H3514" t="s">
        <v>129</v>
      </c>
      <c r="I3514">
        <v>0</v>
      </c>
      <c r="J3514">
        <v>1</v>
      </c>
      <c r="K3514" t="s">
        <v>130</v>
      </c>
      <c r="L3514" t="s">
        <v>131</v>
      </c>
      <c r="M3514" t="s">
        <v>132</v>
      </c>
      <c r="N3514" t="s">
        <v>107</v>
      </c>
      <c r="O3514" t="s">
        <v>256</v>
      </c>
    </row>
    <row r="3515" spans="1:15" x14ac:dyDescent="0.2">
      <c r="A3515">
        <v>23</v>
      </c>
      <c r="B3515">
        <v>24</v>
      </c>
      <c r="C3515">
        <v>23</v>
      </c>
      <c r="D3515">
        <v>22</v>
      </c>
      <c r="E3515" t="s">
        <v>251</v>
      </c>
      <c r="F3515" t="s">
        <v>52</v>
      </c>
      <c r="G3515">
        <v>17</v>
      </c>
      <c r="H3515" t="s">
        <v>134</v>
      </c>
      <c r="I3515">
        <v>1</v>
      </c>
      <c r="J3515">
        <v>1</v>
      </c>
      <c r="K3515" t="s">
        <v>112</v>
      </c>
      <c r="L3515" t="s">
        <v>135</v>
      </c>
      <c r="M3515" t="s">
        <v>136</v>
      </c>
      <c r="N3515" t="s">
        <v>107</v>
      </c>
      <c r="O3515" t="s">
        <v>256</v>
      </c>
    </row>
    <row r="3516" spans="1:15" x14ac:dyDescent="0.2">
      <c r="A3516">
        <v>23</v>
      </c>
      <c r="B3516">
        <v>24</v>
      </c>
      <c r="C3516">
        <v>23</v>
      </c>
      <c r="D3516">
        <v>22</v>
      </c>
      <c r="E3516" t="s">
        <v>251</v>
      </c>
      <c r="F3516" t="s">
        <v>52</v>
      </c>
      <c r="G3516">
        <v>18</v>
      </c>
      <c r="H3516" t="s">
        <v>137</v>
      </c>
      <c r="I3516">
        <v>1</v>
      </c>
      <c r="J3516">
        <v>1</v>
      </c>
      <c r="K3516" t="s">
        <v>112</v>
      </c>
      <c r="L3516" t="s">
        <v>138</v>
      </c>
      <c r="M3516" t="s">
        <v>139</v>
      </c>
      <c r="N3516" t="s">
        <v>107</v>
      </c>
      <c r="O3516" t="s">
        <v>256</v>
      </c>
    </row>
    <row r="3517" spans="1:15" x14ac:dyDescent="0.2">
      <c r="A3517">
        <v>23</v>
      </c>
      <c r="B3517">
        <v>24</v>
      </c>
      <c r="C3517">
        <v>23</v>
      </c>
      <c r="D3517">
        <v>22</v>
      </c>
      <c r="E3517" t="s">
        <v>251</v>
      </c>
      <c r="F3517" t="s">
        <v>52</v>
      </c>
      <c r="G3517">
        <v>19</v>
      </c>
      <c r="H3517" t="s">
        <v>140</v>
      </c>
      <c r="I3517">
        <v>1</v>
      </c>
      <c r="J3517">
        <v>1</v>
      </c>
      <c r="K3517" t="s">
        <v>122</v>
      </c>
      <c r="L3517" t="s">
        <v>141</v>
      </c>
      <c r="M3517" t="s">
        <v>142</v>
      </c>
      <c r="N3517" t="s">
        <v>107</v>
      </c>
      <c r="O3517" t="s">
        <v>256</v>
      </c>
    </row>
    <row r="3518" spans="1:15" x14ac:dyDescent="0.2">
      <c r="A3518">
        <v>23</v>
      </c>
      <c r="B3518">
        <v>24</v>
      </c>
      <c r="C3518">
        <v>23</v>
      </c>
      <c r="D3518">
        <v>22</v>
      </c>
      <c r="E3518" t="s">
        <v>251</v>
      </c>
      <c r="F3518" t="s">
        <v>52</v>
      </c>
      <c r="G3518">
        <v>20</v>
      </c>
      <c r="H3518" t="s">
        <v>143</v>
      </c>
      <c r="I3518">
        <v>1</v>
      </c>
      <c r="J3518">
        <v>1</v>
      </c>
      <c r="K3518" t="s">
        <v>122</v>
      </c>
      <c r="L3518" t="s">
        <v>144</v>
      </c>
      <c r="M3518" t="s">
        <v>145</v>
      </c>
      <c r="N3518" t="s">
        <v>107</v>
      </c>
      <c r="O3518" t="s">
        <v>256</v>
      </c>
    </row>
    <row r="3519" spans="1:15" x14ac:dyDescent="0.2">
      <c r="A3519">
        <v>23</v>
      </c>
      <c r="B3519">
        <v>24</v>
      </c>
      <c r="C3519">
        <v>23</v>
      </c>
      <c r="D3519">
        <v>22</v>
      </c>
      <c r="E3519" t="s">
        <v>251</v>
      </c>
      <c r="F3519" t="s">
        <v>52</v>
      </c>
      <c r="G3519">
        <v>22</v>
      </c>
      <c r="H3519" t="s">
        <v>150</v>
      </c>
      <c r="I3519">
        <v>0</v>
      </c>
      <c r="J3519">
        <v>1</v>
      </c>
      <c r="K3519" t="s">
        <v>147</v>
      </c>
      <c r="L3519" t="s">
        <v>151</v>
      </c>
      <c r="M3519" t="s">
        <v>149</v>
      </c>
      <c r="N3519" t="s">
        <v>107</v>
      </c>
      <c r="O3519" t="s">
        <v>256</v>
      </c>
    </row>
    <row r="3520" spans="1:15" x14ac:dyDescent="0.2">
      <c r="A3520">
        <v>23</v>
      </c>
      <c r="B3520">
        <v>24</v>
      </c>
      <c r="C3520">
        <v>23</v>
      </c>
      <c r="D3520">
        <v>22</v>
      </c>
      <c r="E3520" t="s">
        <v>251</v>
      </c>
      <c r="F3520" t="s">
        <v>52</v>
      </c>
      <c r="G3520">
        <v>224</v>
      </c>
      <c r="H3520" t="s">
        <v>152</v>
      </c>
      <c r="I3520">
        <v>1</v>
      </c>
      <c r="J3520">
        <v>1</v>
      </c>
      <c r="K3520" t="s">
        <v>153</v>
      </c>
      <c r="L3520" t="s">
        <v>154</v>
      </c>
      <c r="M3520" t="s">
        <v>155</v>
      </c>
      <c r="N3520" t="s">
        <v>107</v>
      </c>
      <c r="O3520" t="s">
        <v>256</v>
      </c>
    </row>
    <row r="3521" spans="1:15" x14ac:dyDescent="0.2">
      <c r="A3521">
        <v>23</v>
      </c>
      <c r="B3521">
        <v>24</v>
      </c>
      <c r="C3521">
        <v>23</v>
      </c>
      <c r="D3521">
        <v>22</v>
      </c>
      <c r="E3521" t="s">
        <v>251</v>
      </c>
      <c r="F3521" t="s">
        <v>52</v>
      </c>
      <c r="G3521">
        <v>222</v>
      </c>
      <c r="H3521" t="s">
        <v>152</v>
      </c>
      <c r="I3521">
        <v>0</v>
      </c>
      <c r="J3521">
        <v>1</v>
      </c>
      <c r="K3521" t="s">
        <v>153</v>
      </c>
      <c r="L3521" t="s">
        <v>154</v>
      </c>
      <c r="M3521" t="s">
        <v>155</v>
      </c>
      <c r="N3521" t="s">
        <v>107</v>
      </c>
      <c r="O3521" t="s">
        <v>256</v>
      </c>
    </row>
    <row r="3522" spans="1:15" x14ac:dyDescent="0.2">
      <c r="A3522">
        <v>23</v>
      </c>
      <c r="B3522">
        <v>24</v>
      </c>
      <c r="C3522">
        <v>23</v>
      </c>
      <c r="D3522">
        <v>22</v>
      </c>
      <c r="E3522" t="s">
        <v>251</v>
      </c>
      <c r="F3522" t="s">
        <v>52</v>
      </c>
      <c r="G3522">
        <v>23</v>
      </c>
      <c r="H3522" t="s">
        <v>152</v>
      </c>
      <c r="I3522">
        <v>1</v>
      </c>
      <c r="J3522">
        <v>1</v>
      </c>
      <c r="K3522" t="s">
        <v>153</v>
      </c>
      <c r="L3522" t="s">
        <v>154</v>
      </c>
      <c r="M3522" t="s">
        <v>155</v>
      </c>
      <c r="N3522" t="s">
        <v>107</v>
      </c>
      <c r="O3522" t="s">
        <v>256</v>
      </c>
    </row>
    <row r="3523" spans="1:15" x14ac:dyDescent="0.2">
      <c r="A3523">
        <v>23</v>
      </c>
      <c r="B3523">
        <v>24</v>
      </c>
      <c r="C3523">
        <v>23</v>
      </c>
      <c r="D3523">
        <v>22</v>
      </c>
      <c r="E3523" t="s">
        <v>251</v>
      </c>
      <c r="F3523" t="s">
        <v>52</v>
      </c>
      <c r="G3523">
        <v>223</v>
      </c>
      <c r="H3523" t="s">
        <v>152</v>
      </c>
      <c r="I3523">
        <v>0</v>
      </c>
      <c r="J3523">
        <v>1</v>
      </c>
      <c r="K3523" t="s">
        <v>153</v>
      </c>
      <c r="L3523" t="s">
        <v>154</v>
      </c>
      <c r="M3523" t="s">
        <v>155</v>
      </c>
      <c r="N3523" t="s">
        <v>107</v>
      </c>
      <c r="O3523" t="s">
        <v>256</v>
      </c>
    </row>
    <row r="3524" spans="1:15" x14ac:dyDescent="0.2">
      <c r="A3524">
        <v>23</v>
      </c>
      <c r="B3524">
        <v>24</v>
      </c>
      <c r="C3524">
        <v>23</v>
      </c>
      <c r="D3524">
        <v>22</v>
      </c>
      <c r="E3524" t="s">
        <v>251</v>
      </c>
      <c r="F3524" t="s">
        <v>52</v>
      </c>
      <c r="G3524">
        <v>999</v>
      </c>
      <c r="H3524" t="s">
        <v>152</v>
      </c>
      <c r="I3524" t="s">
        <v>261</v>
      </c>
      <c r="J3524" t="s">
        <v>261</v>
      </c>
      <c r="K3524" t="s">
        <v>153</v>
      </c>
      <c r="L3524" t="s">
        <v>154</v>
      </c>
      <c r="M3524" t="s">
        <v>155</v>
      </c>
      <c r="N3524" t="s">
        <v>107</v>
      </c>
      <c r="O3524" t="s">
        <v>256</v>
      </c>
    </row>
    <row r="3525" spans="1:15" x14ac:dyDescent="0.2">
      <c r="A3525">
        <v>23</v>
      </c>
      <c r="B3525">
        <v>24</v>
      </c>
      <c r="C3525">
        <v>23</v>
      </c>
      <c r="D3525">
        <v>22</v>
      </c>
      <c r="E3525" t="s">
        <v>251</v>
      </c>
      <c r="F3525" t="s">
        <v>52</v>
      </c>
      <c r="G3525">
        <v>2222</v>
      </c>
      <c r="H3525" t="s">
        <v>152</v>
      </c>
      <c r="I3525" t="s">
        <v>261</v>
      </c>
      <c r="J3525" t="s">
        <v>261</v>
      </c>
      <c r="K3525" t="s">
        <v>153</v>
      </c>
      <c r="L3525" t="s">
        <v>154</v>
      </c>
      <c r="M3525" t="s">
        <v>155</v>
      </c>
      <c r="N3525" t="s">
        <v>107</v>
      </c>
      <c r="O3525" t="s">
        <v>256</v>
      </c>
    </row>
    <row r="3526" spans="1:15" x14ac:dyDescent="0.2">
      <c r="A3526">
        <v>23</v>
      </c>
      <c r="B3526">
        <v>24</v>
      </c>
      <c r="C3526">
        <v>23</v>
      </c>
      <c r="D3526">
        <v>22</v>
      </c>
      <c r="E3526" t="s">
        <v>251</v>
      </c>
      <c r="F3526" t="s">
        <v>52</v>
      </c>
      <c r="G3526">
        <v>1111</v>
      </c>
      <c r="H3526" t="s">
        <v>152</v>
      </c>
      <c r="I3526" t="s">
        <v>261</v>
      </c>
      <c r="J3526" t="s">
        <v>261</v>
      </c>
      <c r="K3526" t="s">
        <v>153</v>
      </c>
      <c r="L3526" t="s">
        <v>154</v>
      </c>
      <c r="M3526" t="s">
        <v>155</v>
      </c>
      <c r="N3526" t="s">
        <v>107</v>
      </c>
      <c r="O3526" t="s">
        <v>256</v>
      </c>
    </row>
    <row r="3527" spans="1:15" x14ac:dyDescent="0.2">
      <c r="A3527">
        <v>23</v>
      </c>
      <c r="B3527">
        <v>24</v>
      </c>
      <c r="C3527">
        <v>23</v>
      </c>
      <c r="D3527">
        <v>22</v>
      </c>
      <c r="E3527" t="s">
        <v>251</v>
      </c>
      <c r="F3527" t="s">
        <v>52</v>
      </c>
      <c r="G3527">
        <v>26</v>
      </c>
      <c r="H3527" t="s">
        <v>152</v>
      </c>
      <c r="I3527" t="s">
        <v>261</v>
      </c>
      <c r="J3527" t="s">
        <v>261</v>
      </c>
      <c r="K3527" t="s">
        <v>153</v>
      </c>
      <c r="L3527" t="s">
        <v>154</v>
      </c>
      <c r="M3527" t="s">
        <v>155</v>
      </c>
      <c r="N3527" t="s">
        <v>107</v>
      </c>
      <c r="O3527" t="s">
        <v>256</v>
      </c>
    </row>
    <row r="3528" spans="1:15" x14ac:dyDescent="0.2">
      <c r="A3528">
        <v>23</v>
      </c>
      <c r="B3528">
        <v>24</v>
      </c>
      <c r="C3528">
        <v>23</v>
      </c>
      <c r="D3528">
        <v>22</v>
      </c>
      <c r="E3528" t="s">
        <v>251</v>
      </c>
      <c r="F3528" t="s">
        <v>52</v>
      </c>
      <c r="G3528">
        <v>1112</v>
      </c>
      <c r="H3528" t="s">
        <v>152</v>
      </c>
      <c r="I3528" t="s">
        <v>261</v>
      </c>
      <c r="J3528" t="s">
        <v>261</v>
      </c>
      <c r="K3528" t="s">
        <v>153</v>
      </c>
      <c r="L3528" t="s">
        <v>154</v>
      </c>
      <c r="M3528" t="s">
        <v>155</v>
      </c>
      <c r="N3528" t="s">
        <v>107</v>
      </c>
      <c r="O3528" t="s">
        <v>256</v>
      </c>
    </row>
    <row r="3529" spans="1:15" x14ac:dyDescent="0.2">
      <c r="A3529">
        <v>23</v>
      </c>
      <c r="B3529">
        <v>24</v>
      </c>
      <c r="C3529">
        <v>23</v>
      </c>
      <c r="D3529">
        <v>22</v>
      </c>
      <c r="E3529" t="s">
        <v>251</v>
      </c>
      <c r="F3529" t="s">
        <v>52</v>
      </c>
      <c r="G3529">
        <v>1113</v>
      </c>
      <c r="H3529" t="s">
        <v>152</v>
      </c>
      <c r="I3529">
        <v>0</v>
      </c>
      <c r="J3529" t="s">
        <v>261</v>
      </c>
      <c r="K3529" t="s">
        <v>153</v>
      </c>
      <c r="L3529" t="s">
        <v>154</v>
      </c>
      <c r="M3529" t="s">
        <v>155</v>
      </c>
      <c r="N3529" t="s">
        <v>107</v>
      </c>
      <c r="O3529" t="s">
        <v>256</v>
      </c>
    </row>
    <row r="3530" spans="1:15" x14ac:dyDescent="0.2">
      <c r="A3530">
        <v>23</v>
      </c>
      <c r="B3530">
        <v>24</v>
      </c>
      <c r="C3530">
        <v>23</v>
      </c>
      <c r="D3530">
        <v>22</v>
      </c>
      <c r="E3530" t="s">
        <v>251</v>
      </c>
      <c r="F3530" t="s">
        <v>52</v>
      </c>
      <c r="G3530">
        <v>1114</v>
      </c>
      <c r="H3530" t="s">
        <v>152</v>
      </c>
      <c r="I3530">
        <v>0</v>
      </c>
      <c r="J3530">
        <v>0</v>
      </c>
      <c r="K3530" t="s">
        <v>153</v>
      </c>
      <c r="L3530" t="s">
        <v>154</v>
      </c>
      <c r="M3530" t="s">
        <v>155</v>
      </c>
      <c r="N3530" t="s">
        <v>107</v>
      </c>
      <c r="O3530" t="s">
        <v>256</v>
      </c>
    </row>
    <row r="3531" spans="1:15" x14ac:dyDescent="0.2">
      <c r="A3531">
        <v>23</v>
      </c>
      <c r="B3531">
        <v>24</v>
      </c>
      <c r="C3531">
        <v>23</v>
      </c>
      <c r="D3531">
        <v>22</v>
      </c>
      <c r="E3531" t="s">
        <v>251</v>
      </c>
      <c r="F3531" t="s">
        <v>52</v>
      </c>
      <c r="G3531">
        <v>500</v>
      </c>
      <c r="H3531" t="s">
        <v>156</v>
      </c>
      <c r="I3531">
        <v>0.5</v>
      </c>
      <c r="J3531">
        <v>1</v>
      </c>
      <c r="K3531" t="s">
        <v>122</v>
      </c>
      <c r="L3531" t="s">
        <v>157</v>
      </c>
      <c r="M3531" t="s">
        <v>158</v>
      </c>
      <c r="N3531" t="s">
        <v>107</v>
      </c>
      <c r="O3531" t="s">
        <v>256</v>
      </c>
    </row>
    <row r="3532" spans="1:15" x14ac:dyDescent="0.2">
      <c r="A3532">
        <v>23</v>
      </c>
      <c r="B3532">
        <v>24</v>
      </c>
      <c r="C3532">
        <v>23</v>
      </c>
      <c r="D3532">
        <v>22</v>
      </c>
      <c r="E3532" t="s">
        <v>251</v>
      </c>
      <c r="F3532" t="s">
        <v>52</v>
      </c>
      <c r="G3532">
        <v>501</v>
      </c>
      <c r="H3532" t="s">
        <v>156</v>
      </c>
      <c r="I3532">
        <v>0</v>
      </c>
      <c r="J3532">
        <v>0</v>
      </c>
      <c r="K3532" t="s">
        <v>122</v>
      </c>
      <c r="L3532" t="s">
        <v>157</v>
      </c>
      <c r="M3532" t="s">
        <v>158</v>
      </c>
      <c r="N3532" t="s">
        <v>107</v>
      </c>
      <c r="O3532" t="s">
        <v>256</v>
      </c>
    </row>
    <row r="3533" spans="1:15" x14ac:dyDescent="0.2">
      <c r="A3533">
        <v>23</v>
      </c>
      <c r="B3533">
        <v>24</v>
      </c>
      <c r="C3533">
        <v>23</v>
      </c>
      <c r="D3533">
        <v>22</v>
      </c>
      <c r="E3533" t="s">
        <v>251</v>
      </c>
      <c r="F3533" t="s">
        <v>52</v>
      </c>
      <c r="G3533">
        <v>502</v>
      </c>
      <c r="H3533" t="s">
        <v>156</v>
      </c>
      <c r="I3533">
        <v>0</v>
      </c>
      <c r="J3533">
        <v>0</v>
      </c>
      <c r="K3533" t="s">
        <v>122</v>
      </c>
      <c r="L3533" t="s">
        <v>157</v>
      </c>
      <c r="M3533" t="s">
        <v>158</v>
      </c>
      <c r="N3533" t="s">
        <v>107</v>
      </c>
      <c r="O3533" t="s">
        <v>256</v>
      </c>
    </row>
    <row r="3534" spans="1:15" x14ac:dyDescent="0.2">
      <c r="A3534">
        <v>23</v>
      </c>
      <c r="B3534">
        <v>24</v>
      </c>
      <c r="C3534">
        <v>23</v>
      </c>
      <c r="D3534">
        <v>22</v>
      </c>
      <c r="E3534" t="s">
        <v>251</v>
      </c>
      <c r="F3534" t="s">
        <v>52</v>
      </c>
      <c r="G3534">
        <v>504</v>
      </c>
      <c r="H3534" t="s">
        <v>262</v>
      </c>
      <c r="I3534">
        <v>0</v>
      </c>
      <c r="J3534">
        <v>0</v>
      </c>
      <c r="K3534" t="s">
        <v>153</v>
      </c>
      <c r="L3534" t="s">
        <v>263</v>
      </c>
      <c r="M3534" t="s">
        <v>264</v>
      </c>
      <c r="N3534" t="s">
        <v>107</v>
      </c>
      <c r="O3534" t="s">
        <v>256</v>
      </c>
    </row>
    <row r="3535" spans="1:15" x14ac:dyDescent="0.2">
      <c r="A3535">
        <v>23</v>
      </c>
      <c r="B3535">
        <v>24</v>
      </c>
      <c r="C3535">
        <v>23</v>
      </c>
      <c r="D3535">
        <v>22</v>
      </c>
      <c r="E3535" t="s">
        <v>251</v>
      </c>
      <c r="F3535" t="s">
        <v>52</v>
      </c>
      <c r="G3535">
        <v>505</v>
      </c>
      <c r="H3535" t="s">
        <v>262</v>
      </c>
      <c r="I3535">
        <v>0</v>
      </c>
      <c r="J3535">
        <v>0</v>
      </c>
      <c r="K3535" t="s">
        <v>153</v>
      </c>
      <c r="L3535" t="s">
        <v>263</v>
      </c>
      <c r="M3535" t="s">
        <v>264</v>
      </c>
      <c r="N3535" t="s">
        <v>107</v>
      </c>
      <c r="O3535" t="s">
        <v>256</v>
      </c>
    </row>
    <row r="3536" spans="1:15" x14ac:dyDescent="0.2">
      <c r="A3536">
        <v>23</v>
      </c>
      <c r="B3536">
        <v>24</v>
      </c>
      <c r="C3536">
        <v>23</v>
      </c>
      <c r="D3536">
        <v>22</v>
      </c>
      <c r="E3536" t="s">
        <v>251</v>
      </c>
      <c r="F3536" t="s">
        <v>52</v>
      </c>
      <c r="G3536">
        <v>225</v>
      </c>
      <c r="H3536" t="s">
        <v>265</v>
      </c>
      <c r="I3536">
        <v>0.25</v>
      </c>
      <c r="J3536">
        <v>0.25</v>
      </c>
      <c r="K3536" t="s">
        <v>112</v>
      </c>
      <c r="L3536" t="s">
        <v>266</v>
      </c>
      <c r="M3536" t="s">
        <v>267</v>
      </c>
      <c r="N3536" t="s">
        <v>96</v>
      </c>
      <c r="O3536" t="s">
        <v>256</v>
      </c>
    </row>
    <row r="3537" spans="1:15" x14ac:dyDescent="0.2">
      <c r="A3537">
        <v>23</v>
      </c>
      <c r="B3537">
        <v>24</v>
      </c>
      <c r="C3537">
        <v>23</v>
      </c>
      <c r="D3537">
        <v>22</v>
      </c>
      <c r="E3537" t="s">
        <v>251</v>
      </c>
      <c r="F3537" t="s">
        <v>52</v>
      </c>
      <c r="G3537">
        <v>35</v>
      </c>
      <c r="H3537" t="s">
        <v>165</v>
      </c>
      <c r="I3537">
        <v>1</v>
      </c>
      <c r="J3537">
        <v>1</v>
      </c>
      <c r="K3537" t="s">
        <v>166</v>
      </c>
      <c r="L3537" t="s">
        <v>167</v>
      </c>
      <c r="M3537" t="s">
        <v>168</v>
      </c>
      <c r="N3537" t="s">
        <v>107</v>
      </c>
      <c r="O3537" t="s">
        <v>256</v>
      </c>
    </row>
    <row r="3538" spans="1:15" x14ac:dyDescent="0.2">
      <c r="A3538">
        <v>23</v>
      </c>
      <c r="B3538">
        <v>24</v>
      </c>
      <c r="C3538">
        <v>23</v>
      </c>
      <c r="D3538">
        <v>22</v>
      </c>
      <c r="E3538" t="s">
        <v>251</v>
      </c>
      <c r="F3538" t="s">
        <v>52</v>
      </c>
      <c r="G3538">
        <v>44</v>
      </c>
      <c r="H3538" t="s">
        <v>182</v>
      </c>
      <c r="I3538">
        <v>0</v>
      </c>
      <c r="J3538">
        <v>1</v>
      </c>
      <c r="K3538" t="s">
        <v>166</v>
      </c>
      <c r="L3538" t="s">
        <v>183</v>
      </c>
      <c r="M3538" t="s">
        <v>184</v>
      </c>
      <c r="N3538" t="s">
        <v>107</v>
      </c>
      <c r="O3538" t="s">
        <v>256</v>
      </c>
    </row>
    <row r="3539" spans="1:15" x14ac:dyDescent="0.2">
      <c r="A3539">
        <v>28</v>
      </c>
      <c r="B3539">
        <v>29</v>
      </c>
      <c r="C3539">
        <v>28</v>
      </c>
      <c r="D3539">
        <v>27</v>
      </c>
      <c r="E3539" t="s">
        <v>251</v>
      </c>
      <c r="F3539" t="s">
        <v>53</v>
      </c>
      <c r="G3539">
        <v>99</v>
      </c>
      <c r="H3539" t="s">
        <v>253</v>
      </c>
      <c r="I3539">
        <v>0.3</v>
      </c>
      <c r="J3539">
        <v>0.3</v>
      </c>
      <c r="K3539" t="s">
        <v>93</v>
      </c>
      <c r="L3539" t="s">
        <v>254</v>
      </c>
      <c r="M3539" t="s">
        <v>255</v>
      </c>
      <c r="N3539" t="s">
        <v>107</v>
      </c>
      <c r="O3539" t="s">
        <v>256</v>
      </c>
    </row>
    <row r="3540" spans="1:15" x14ac:dyDescent="0.2">
      <c r="A3540">
        <v>28</v>
      </c>
      <c r="B3540">
        <v>29</v>
      </c>
      <c r="C3540">
        <v>28</v>
      </c>
      <c r="D3540">
        <v>27</v>
      </c>
      <c r="E3540" t="s">
        <v>251</v>
      </c>
      <c r="F3540" t="s">
        <v>53</v>
      </c>
      <c r="G3540">
        <v>98</v>
      </c>
      <c r="H3540" t="s">
        <v>257</v>
      </c>
      <c r="I3540">
        <v>0.3</v>
      </c>
      <c r="J3540">
        <v>0.3</v>
      </c>
      <c r="K3540" t="s">
        <v>93</v>
      </c>
      <c r="L3540" t="s">
        <v>258</v>
      </c>
      <c r="M3540" t="s">
        <v>255</v>
      </c>
      <c r="N3540" t="s">
        <v>107</v>
      </c>
      <c r="O3540" t="s">
        <v>256</v>
      </c>
    </row>
    <row r="3541" spans="1:15" x14ac:dyDescent="0.2">
      <c r="A3541">
        <v>28</v>
      </c>
      <c r="B3541">
        <v>29</v>
      </c>
      <c r="C3541">
        <v>28</v>
      </c>
      <c r="D3541">
        <v>27</v>
      </c>
      <c r="E3541" t="s">
        <v>251</v>
      </c>
      <c r="F3541" t="s">
        <v>53</v>
      </c>
      <c r="G3541">
        <v>97</v>
      </c>
      <c r="H3541" t="s">
        <v>259</v>
      </c>
      <c r="I3541">
        <v>0.3</v>
      </c>
      <c r="J3541">
        <v>0.3</v>
      </c>
      <c r="K3541" t="s">
        <v>93</v>
      </c>
      <c r="L3541" t="s">
        <v>260</v>
      </c>
      <c r="M3541" t="s">
        <v>255</v>
      </c>
      <c r="N3541" t="s">
        <v>107</v>
      </c>
      <c r="O3541" t="s">
        <v>256</v>
      </c>
    </row>
    <row r="3542" spans="1:15" x14ac:dyDescent="0.2">
      <c r="A3542">
        <v>28</v>
      </c>
      <c r="B3542">
        <v>29</v>
      </c>
      <c r="C3542">
        <v>28</v>
      </c>
      <c r="D3542">
        <v>27</v>
      </c>
      <c r="E3542" t="s">
        <v>251</v>
      </c>
      <c r="F3542" t="s">
        <v>53</v>
      </c>
      <c r="G3542">
        <v>2</v>
      </c>
      <c r="H3542" t="s">
        <v>98</v>
      </c>
      <c r="I3542">
        <v>0.5</v>
      </c>
      <c r="J3542">
        <v>0.5</v>
      </c>
      <c r="K3542" t="s">
        <v>93</v>
      </c>
      <c r="L3542" t="s">
        <v>99</v>
      </c>
      <c r="M3542" t="s">
        <v>95</v>
      </c>
      <c r="N3542" t="s">
        <v>96</v>
      </c>
      <c r="O3542" t="s">
        <v>256</v>
      </c>
    </row>
    <row r="3543" spans="1:15" x14ac:dyDescent="0.2">
      <c r="A3543">
        <v>28</v>
      </c>
      <c r="B3543">
        <v>29</v>
      </c>
      <c r="C3543">
        <v>28</v>
      </c>
      <c r="D3543">
        <v>27</v>
      </c>
      <c r="E3543" t="s">
        <v>251</v>
      </c>
      <c r="F3543" t="s">
        <v>53</v>
      </c>
      <c r="G3543">
        <v>3</v>
      </c>
      <c r="H3543" t="s">
        <v>100</v>
      </c>
      <c r="I3543">
        <v>1</v>
      </c>
      <c r="J3543">
        <v>1</v>
      </c>
      <c r="K3543" t="s">
        <v>101</v>
      </c>
      <c r="L3543" t="s">
        <v>102</v>
      </c>
      <c r="M3543" t="s">
        <v>103</v>
      </c>
      <c r="N3543" t="s">
        <v>96</v>
      </c>
      <c r="O3543" t="s">
        <v>256</v>
      </c>
    </row>
    <row r="3544" spans="1:15" x14ac:dyDescent="0.2">
      <c r="A3544">
        <v>28</v>
      </c>
      <c r="B3544">
        <v>29</v>
      </c>
      <c r="C3544">
        <v>28</v>
      </c>
      <c r="D3544">
        <v>27</v>
      </c>
      <c r="E3544" t="s">
        <v>251</v>
      </c>
      <c r="F3544" t="s">
        <v>53</v>
      </c>
      <c r="G3544">
        <v>4</v>
      </c>
      <c r="H3544" t="s">
        <v>104</v>
      </c>
      <c r="I3544">
        <v>0.5</v>
      </c>
      <c r="J3544">
        <v>1</v>
      </c>
      <c r="K3544" t="s">
        <v>101</v>
      </c>
      <c r="L3544" t="s">
        <v>105</v>
      </c>
      <c r="M3544" t="s">
        <v>106</v>
      </c>
      <c r="N3544" t="s">
        <v>107</v>
      </c>
      <c r="O3544" t="s">
        <v>256</v>
      </c>
    </row>
    <row r="3545" spans="1:15" x14ac:dyDescent="0.2">
      <c r="A3545">
        <v>28</v>
      </c>
      <c r="B3545">
        <v>29</v>
      </c>
      <c r="C3545">
        <v>28</v>
      </c>
      <c r="D3545">
        <v>27</v>
      </c>
      <c r="E3545" t="s">
        <v>251</v>
      </c>
      <c r="F3545" t="s">
        <v>53</v>
      </c>
      <c r="G3545">
        <v>5</v>
      </c>
      <c r="H3545" t="s">
        <v>108</v>
      </c>
      <c r="I3545">
        <v>0.5</v>
      </c>
      <c r="J3545">
        <v>1</v>
      </c>
      <c r="K3545" t="s">
        <v>101</v>
      </c>
      <c r="L3545" t="s">
        <v>109</v>
      </c>
      <c r="M3545" t="s">
        <v>110</v>
      </c>
      <c r="N3545" t="s">
        <v>107</v>
      </c>
      <c r="O3545" t="s">
        <v>256</v>
      </c>
    </row>
    <row r="3546" spans="1:15" x14ac:dyDescent="0.2">
      <c r="A3546">
        <v>28</v>
      </c>
      <c r="B3546">
        <v>29</v>
      </c>
      <c r="C3546">
        <v>28</v>
      </c>
      <c r="D3546">
        <v>27</v>
      </c>
      <c r="E3546" t="s">
        <v>251</v>
      </c>
      <c r="F3546" t="s">
        <v>53</v>
      </c>
      <c r="G3546">
        <v>9</v>
      </c>
      <c r="H3546" t="s">
        <v>111</v>
      </c>
      <c r="I3546">
        <v>0</v>
      </c>
      <c r="J3546">
        <v>0.5</v>
      </c>
      <c r="K3546" t="s">
        <v>112</v>
      </c>
      <c r="L3546" t="s">
        <v>113</v>
      </c>
      <c r="M3546" t="s">
        <v>114</v>
      </c>
      <c r="N3546" t="s">
        <v>96</v>
      </c>
      <c r="O3546" t="s">
        <v>256</v>
      </c>
    </row>
    <row r="3547" spans="1:15" x14ac:dyDescent="0.2">
      <c r="A3547">
        <v>28</v>
      </c>
      <c r="B3547">
        <v>29</v>
      </c>
      <c r="C3547">
        <v>28</v>
      </c>
      <c r="D3547">
        <v>27</v>
      </c>
      <c r="E3547" t="s">
        <v>251</v>
      </c>
      <c r="F3547" t="s">
        <v>53</v>
      </c>
      <c r="G3547">
        <v>10</v>
      </c>
      <c r="H3547" t="s">
        <v>115</v>
      </c>
      <c r="I3547">
        <v>0</v>
      </c>
      <c r="J3547">
        <v>0.5</v>
      </c>
      <c r="K3547" t="s">
        <v>112</v>
      </c>
      <c r="L3547" t="s">
        <v>116</v>
      </c>
      <c r="M3547" t="s">
        <v>117</v>
      </c>
      <c r="N3547" t="s">
        <v>96</v>
      </c>
      <c r="O3547" t="s">
        <v>256</v>
      </c>
    </row>
    <row r="3548" spans="1:15" x14ac:dyDescent="0.2">
      <c r="A3548">
        <v>28</v>
      </c>
      <c r="B3548">
        <v>29</v>
      </c>
      <c r="C3548">
        <v>28</v>
      </c>
      <c r="D3548">
        <v>27</v>
      </c>
      <c r="E3548" t="s">
        <v>251</v>
      </c>
      <c r="F3548" t="s">
        <v>53</v>
      </c>
      <c r="G3548">
        <v>12</v>
      </c>
      <c r="H3548" t="s">
        <v>121</v>
      </c>
      <c r="I3548">
        <v>0</v>
      </c>
      <c r="J3548">
        <v>0.5</v>
      </c>
      <c r="K3548" t="s">
        <v>122</v>
      </c>
      <c r="L3548" t="s">
        <v>113</v>
      </c>
      <c r="M3548" t="s">
        <v>123</v>
      </c>
      <c r="N3548" t="s">
        <v>96</v>
      </c>
      <c r="O3548" t="s">
        <v>256</v>
      </c>
    </row>
    <row r="3549" spans="1:15" x14ac:dyDescent="0.2">
      <c r="A3549">
        <v>28</v>
      </c>
      <c r="B3549">
        <v>29</v>
      </c>
      <c r="C3549">
        <v>28</v>
      </c>
      <c r="D3549">
        <v>27</v>
      </c>
      <c r="E3549" t="s">
        <v>251</v>
      </c>
      <c r="F3549" t="s">
        <v>53</v>
      </c>
      <c r="G3549">
        <v>13</v>
      </c>
      <c r="H3549" t="s">
        <v>124</v>
      </c>
      <c r="I3549">
        <v>0</v>
      </c>
      <c r="J3549">
        <v>0.5</v>
      </c>
      <c r="K3549" t="s">
        <v>122</v>
      </c>
      <c r="L3549" t="s">
        <v>125</v>
      </c>
      <c r="M3549" t="s">
        <v>126</v>
      </c>
      <c r="N3549" t="s">
        <v>96</v>
      </c>
      <c r="O3549" t="s">
        <v>256</v>
      </c>
    </row>
    <row r="3550" spans="1:15" x14ac:dyDescent="0.2">
      <c r="A3550">
        <v>28</v>
      </c>
      <c r="B3550">
        <v>29</v>
      </c>
      <c r="C3550">
        <v>28</v>
      </c>
      <c r="D3550">
        <v>27</v>
      </c>
      <c r="E3550" t="s">
        <v>251</v>
      </c>
      <c r="F3550" t="s">
        <v>53</v>
      </c>
      <c r="G3550">
        <v>15</v>
      </c>
      <c r="H3550" t="s">
        <v>129</v>
      </c>
      <c r="I3550">
        <v>0</v>
      </c>
      <c r="J3550">
        <v>1</v>
      </c>
      <c r="K3550" t="s">
        <v>130</v>
      </c>
      <c r="L3550" t="s">
        <v>131</v>
      </c>
      <c r="M3550" t="s">
        <v>132</v>
      </c>
      <c r="N3550" t="s">
        <v>107</v>
      </c>
      <c r="O3550" t="s">
        <v>256</v>
      </c>
    </row>
    <row r="3551" spans="1:15" x14ac:dyDescent="0.2">
      <c r="A3551">
        <v>28</v>
      </c>
      <c r="B3551">
        <v>29</v>
      </c>
      <c r="C3551">
        <v>28</v>
      </c>
      <c r="D3551">
        <v>27</v>
      </c>
      <c r="E3551" t="s">
        <v>251</v>
      </c>
      <c r="F3551" t="s">
        <v>53</v>
      </c>
      <c r="G3551">
        <v>17</v>
      </c>
      <c r="H3551" t="s">
        <v>134</v>
      </c>
      <c r="I3551">
        <v>1</v>
      </c>
      <c r="J3551">
        <v>1</v>
      </c>
      <c r="K3551" t="s">
        <v>112</v>
      </c>
      <c r="L3551" t="s">
        <v>135</v>
      </c>
      <c r="M3551" t="s">
        <v>136</v>
      </c>
      <c r="N3551" t="s">
        <v>107</v>
      </c>
      <c r="O3551" t="s">
        <v>256</v>
      </c>
    </row>
    <row r="3552" spans="1:15" x14ac:dyDescent="0.2">
      <c r="A3552">
        <v>28</v>
      </c>
      <c r="B3552">
        <v>29</v>
      </c>
      <c r="C3552">
        <v>28</v>
      </c>
      <c r="D3552">
        <v>27</v>
      </c>
      <c r="E3552" t="s">
        <v>251</v>
      </c>
      <c r="F3552" t="s">
        <v>53</v>
      </c>
      <c r="G3552">
        <v>18</v>
      </c>
      <c r="H3552" t="s">
        <v>137</v>
      </c>
      <c r="I3552">
        <v>1</v>
      </c>
      <c r="J3552">
        <v>1</v>
      </c>
      <c r="K3552" t="s">
        <v>112</v>
      </c>
      <c r="L3552" t="s">
        <v>138</v>
      </c>
      <c r="M3552" t="s">
        <v>139</v>
      </c>
      <c r="N3552" t="s">
        <v>107</v>
      </c>
      <c r="O3552" t="s">
        <v>256</v>
      </c>
    </row>
    <row r="3553" spans="1:15" x14ac:dyDescent="0.2">
      <c r="A3553">
        <v>28</v>
      </c>
      <c r="B3553">
        <v>29</v>
      </c>
      <c r="C3553">
        <v>28</v>
      </c>
      <c r="D3553">
        <v>27</v>
      </c>
      <c r="E3553" t="s">
        <v>251</v>
      </c>
      <c r="F3553" t="s">
        <v>53</v>
      </c>
      <c r="G3553">
        <v>19</v>
      </c>
      <c r="H3553" t="s">
        <v>140</v>
      </c>
      <c r="I3553">
        <v>0</v>
      </c>
      <c r="J3553">
        <v>1</v>
      </c>
      <c r="K3553" t="s">
        <v>122</v>
      </c>
      <c r="L3553" t="s">
        <v>141</v>
      </c>
      <c r="M3553" t="s">
        <v>142</v>
      </c>
      <c r="N3553" t="s">
        <v>107</v>
      </c>
      <c r="O3553" t="s">
        <v>256</v>
      </c>
    </row>
    <row r="3554" spans="1:15" x14ac:dyDescent="0.2">
      <c r="A3554">
        <v>28</v>
      </c>
      <c r="B3554">
        <v>29</v>
      </c>
      <c r="C3554">
        <v>28</v>
      </c>
      <c r="D3554">
        <v>27</v>
      </c>
      <c r="E3554" t="s">
        <v>251</v>
      </c>
      <c r="F3554" t="s">
        <v>53</v>
      </c>
      <c r="G3554">
        <v>20</v>
      </c>
      <c r="H3554" t="s">
        <v>143</v>
      </c>
      <c r="I3554">
        <v>0</v>
      </c>
      <c r="J3554">
        <v>1</v>
      </c>
      <c r="K3554" t="s">
        <v>122</v>
      </c>
      <c r="L3554" t="s">
        <v>144</v>
      </c>
      <c r="M3554" t="s">
        <v>145</v>
      </c>
      <c r="N3554" t="s">
        <v>107</v>
      </c>
      <c r="O3554" t="s">
        <v>256</v>
      </c>
    </row>
    <row r="3555" spans="1:15" x14ac:dyDescent="0.2">
      <c r="A3555">
        <v>28</v>
      </c>
      <c r="B3555">
        <v>29</v>
      </c>
      <c r="C3555">
        <v>28</v>
      </c>
      <c r="D3555">
        <v>27</v>
      </c>
      <c r="E3555" t="s">
        <v>251</v>
      </c>
      <c r="F3555" t="s">
        <v>53</v>
      </c>
      <c r="G3555">
        <v>22</v>
      </c>
      <c r="H3555" t="s">
        <v>150</v>
      </c>
      <c r="I3555">
        <v>0</v>
      </c>
      <c r="J3555">
        <v>1</v>
      </c>
      <c r="K3555" t="s">
        <v>147</v>
      </c>
      <c r="L3555" t="s">
        <v>151</v>
      </c>
      <c r="M3555" t="s">
        <v>149</v>
      </c>
      <c r="N3555" t="s">
        <v>107</v>
      </c>
      <c r="O3555" t="s">
        <v>256</v>
      </c>
    </row>
    <row r="3556" spans="1:15" x14ac:dyDescent="0.2">
      <c r="A3556">
        <v>28</v>
      </c>
      <c r="B3556">
        <v>29</v>
      </c>
      <c r="C3556">
        <v>28</v>
      </c>
      <c r="D3556">
        <v>27</v>
      </c>
      <c r="E3556" t="s">
        <v>251</v>
      </c>
      <c r="F3556" t="s">
        <v>53</v>
      </c>
      <c r="G3556">
        <v>224</v>
      </c>
      <c r="H3556" t="s">
        <v>152</v>
      </c>
      <c r="I3556">
        <v>0</v>
      </c>
      <c r="J3556">
        <v>1</v>
      </c>
      <c r="K3556" t="s">
        <v>153</v>
      </c>
      <c r="L3556" t="s">
        <v>154</v>
      </c>
      <c r="M3556" t="s">
        <v>155</v>
      </c>
      <c r="N3556" t="s">
        <v>107</v>
      </c>
      <c r="O3556" t="s">
        <v>256</v>
      </c>
    </row>
    <row r="3557" spans="1:15" x14ac:dyDescent="0.2">
      <c r="A3557">
        <v>28</v>
      </c>
      <c r="B3557">
        <v>29</v>
      </c>
      <c r="C3557">
        <v>28</v>
      </c>
      <c r="D3557">
        <v>27</v>
      </c>
      <c r="E3557" t="s">
        <v>251</v>
      </c>
      <c r="F3557" t="s">
        <v>53</v>
      </c>
      <c r="G3557">
        <v>222</v>
      </c>
      <c r="H3557" t="s">
        <v>152</v>
      </c>
      <c r="I3557">
        <v>0</v>
      </c>
      <c r="J3557">
        <v>1</v>
      </c>
      <c r="K3557" t="s">
        <v>153</v>
      </c>
      <c r="L3557" t="s">
        <v>154</v>
      </c>
      <c r="M3557" t="s">
        <v>155</v>
      </c>
      <c r="N3557" t="s">
        <v>107</v>
      </c>
      <c r="O3557" t="s">
        <v>256</v>
      </c>
    </row>
    <row r="3558" spans="1:15" x14ac:dyDescent="0.2">
      <c r="A3558">
        <v>28</v>
      </c>
      <c r="B3558">
        <v>29</v>
      </c>
      <c r="C3558">
        <v>28</v>
      </c>
      <c r="D3558">
        <v>27</v>
      </c>
      <c r="E3558" t="s">
        <v>251</v>
      </c>
      <c r="F3558" t="s">
        <v>53</v>
      </c>
      <c r="G3558">
        <v>23</v>
      </c>
      <c r="H3558" t="s">
        <v>152</v>
      </c>
      <c r="I3558">
        <v>0.5</v>
      </c>
      <c r="J3558">
        <v>1</v>
      </c>
      <c r="K3558" t="s">
        <v>153</v>
      </c>
      <c r="L3558" t="s">
        <v>154</v>
      </c>
      <c r="M3558" t="s">
        <v>155</v>
      </c>
      <c r="N3558" t="s">
        <v>107</v>
      </c>
      <c r="O3558" t="s">
        <v>256</v>
      </c>
    </row>
    <row r="3559" spans="1:15" x14ac:dyDescent="0.2">
      <c r="A3559">
        <v>28</v>
      </c>
      <c r="B3559">
        <v>29</v>
      </c>
      <c r="C3559">
        <v>28</v>
      </c>
      <c r="D3559">
        <v>27</v>
      </c>
      <c r="E3559" t="s">
        <v>251</v>
      </c>
      <c r="F3559" t="s">
        <v>53</v>
      </c>
      <c r="G3559">
        <v>223</v>
      </c>
      <c r="H3559" t="s">
        <v>152</v>
      </c>
      <c r="I3559">
        <v>0.5</v>
      </c>
      <c r="J3559">
        <v>1</v>
      </c>
      <c r="K3559" t="s">
        <v>153</v>
      </c>
      <c r="L3559" t="s">
        <v>154</v>
      </c>
      <c r="M3559" t="s">
        <v>155</v>
      </c>
      <c r="N3559" t="s">
        <v>107</v>
      </c>
      <c r="O3559" t="s">
        <v>256</v>
      </c>
    </row>
    <row r="3560" spans="1:15" x14ac:dyDescent="0.2">
      <c r="A3560">
        <v>28</v>
      </c>
      <c r="B3560">
        <v>29</v>
      </c>
      <c r="C3560">
        <v>28</v>
      </c>
      <c r="D3560">
        <v>27</v>
      </c>
      <c r="E3560" t="s">
        <v>251</v>
      </c>
      <c r="F3560" t="s">
        <v>53</v>
      </c>
      <c r="G3560">
        <v>999</v>
      </c>
      <c r="H3560" t="s">
        <v>152</v>
      </c>
      <c r="I3560" t="s">
        <v>261</v>
      </c>
      <c r="J3560" t="s">
        <v>261</v>
      </c>
      <c r="K3560" t="s">
        <v>153</v>
      </c>
      <c r="L3560" t="s">
        <v>154</v>
      </c>
      <c r="M3560" t="s">
        <v>155</v>
      </c>
      <c r="N3560" t="s">
        <v>107</v>
      </c>
      <c r="O3560" t="s">
        <v>256</v>
      </c>
    </row>
    <row r="3561" spans="1:15" x14ac:dyDescent="0.2">
      <c r="A3561">
        <v>28</v>
      </c>
      <c r="B3561">
        <v>29</v>
      </c>
      <c r="C3561">
        <v>28</v>
      </c>
      <c r="D3561">
        <v>27</v>
      </c>
      <c r="E3561" t="s">
        <v>251</v>
      </c>
      <c r="F3561" t="s">
        <v>53</v>
      </c>
      <c r="G3561">
        <v>2222</v>
      </c>
      <c r="H3561" t="s">
        <v>152</v>
      </c>
      <c r="I3561" t="s">
        <v>261</v>
      </c>
      <c r="J3561" t="s">
        <v>261</v>
      </c>
      <c r="K3561" t="s">
        <v>153</v>
      </c>
      <c r="L3561" t="s">
        <v>154</v>
      </c>
      <c r="M3561" t="s">
        <v>155</v>
      </c>
      <c r="N3561" t="s">
        <v>107</v>
      </c>
      <c r="O3561" t="s">
        <v>256</v>
      </c>
    </row>
    <row r="3562" spans="1:15" x14ac:dyDescent="0.2">
      <c r="A3562">
        <v>28</v>
      </c>
      <c r="B3562">
        <v>29</v>
      </c>
      <c r="C3562">
        <v>28</v>
      </c>
      <c r="D3562">
        <v>27</v>
      </c>
      <c r="E3562" t="s">
        <v>251</v>
      </c>
      <c r="F3562" t="s">
        <v>53</v>
      </c>
      <c r="G3562">
        <v>1111</v>
      </c>
      <c r="H3562" t="s">
        <v>152</v>
      </c>
      <c r="I3562" t="s">
        <v>261</v>
      </c>
      <c r="J3562" t="s">
        <v>261</v>
      </c>
      <c r="K3562" t="s">
        <v>153</v>
      </c>
      <c r="L3562" t="s">
        <v>154</v>
      </c>
      <c r="M3562" t="s">
        <v>155</v>
      </c>
      <c r="N3562" t="s">
        <v>107</v>
      </c>
      <c r="O3562" t="s">
        <v>256</v>
      </c>
    </row>
    <row r="3563" spans="1:15" x14ac:dyDescent="0.2">
      <c r="A3563">
        <v>28</v>
      </c>
      <c r="B3563">
        <v>29</v>
      </c>
      <c r="C3563">
        <v>28</v>
      </c>
      <c r="D3563">
        <v>27</v>
      </c>
      <c r="E3563" t="s">
        <v>251</v>
      </c>
      <c r="F3563" t="s">
        <v>53</v>
      </c>
      <c r="G3563">
        <v>26</v>
      </c>
      <c r="H3563" t="s">
        <v>152</v>
      </c>
      <c r="I3563" t="s">
        <v>261</v>
      </c>
      <c r="J3563" t="s">
        <v>261</v>
      </c>
      <c r="K3563" t="s">
        <v>153</v>
      </c>
      <c r="L3563" t="s">
        <v>154</v>
      </c>
      <c r="M3563" t="s">
        <v>155</v>
      </c>
      <c r="N3563" t="s">
        <v>107</v>
      </c>
      <c r="O3563" t="s">
        <v>256</v>
      </c>
    </row>
    <row r="3564" spans="1:15" x14ac:dyDescent="0.2">
      <c r="A3564">
        <v>28</v>
      </c>
      <c r="B3564">
        <v>29</v>
      </c>
      <c r="C3564">
        <v>28</v>
      </c>
      <c r="D3564">
        <v>27</v>
      </c>
      <c r="E3564" t="s">
        <v>251</v>
      </c>
      <c r="F3564" t="s">
        <v>53</v>
      </c>
      <c r="G3564">
        <v>1112</v>
      </c>
      <c r="H3564" t="s">
        <v>152</v>
      </c>
      <c r="I3564" t="s">
        <v>261</v>
      </c>
      <c r="J3564" t="s">
        <v>261</v>
      </c>
      <c r="K3564" t="s">
        <v>153</v>
      </c>
      <c r="L3564" t="s">
        <v>154</v>
      </c>
      <c r="M3564" t="s">
        <v>155</v>
      </c>
      <c r="N3564" t="s">
        <v>107</v>
      </c>
      <c r="O3564" t="s">
        <v>256</v>
      </c>
    </row>
    <row r="3565" spans="1:15" x14ac:dyDescent="0.2">
      <c r="A3565">
        <v>28</v>
      </c>
      <c r="B3565">
        <v>29</v>
      </c>
      <c r="C3565">
        <v>28</v>
      </c>
      <c r="D3565">
        <v>27</v>
      </c>
      <c r="E3565" t="s">
        <v>251</v>
      </c>
      <c r="F3565" t="s">
        <v>53</v>
      </c>
      <c r="G3565">
        <v>1113</v>
      </c>
      <c r="H3565" t="s">
        <v>152</v>
      </c>
      <c r="I3565">
        <v>0</v>
      </c>
      <c r="J3565" t="s">
        <v>261</v>
      </c>
      <c r="K3565" t="s">
        <v>153</v>
      </c>
      <c r="L3565" t="s">
        <v>154</v>
      </c>
      <c r="M3565" t="s">
        <v>155</v>
      </c>
      <c r="N3565" t="s">
        <v>107</v>
      </c>
      <c r="O3565" t="s">
        <v>256</v>
      </c>
    </row>
    <row r="3566" spans="1:15" x14ac:dyDescent="0.2">
      <c r="A3566">
        <v>28</v>
      </c>
      <c r="B3566">
        <v>29</v>
      </c>
      <c r="C3566">
        <v>28</v>
      </c>
      <c r="D3566">
        <v>27</v>
      </c>
      <c r="E3566" t="s">
        <v>251</v>
      </c>
      <c r="F3566" t="s">
        <v>53</v>
      </c>
      <c r="G3566">
        <v>1114</v>
      </c>
      <c r="H3566" t="s">
        <v>152</v>
      </c>
      <c r="I3566">
        <v>0</v>
      </c>
      <c r="J3566">
        <v>0</v>
      </c>
      <c r="K3566" t="s">
        <v>153</v>
      </c>
      <c r="L3566" t="s">
        <v>154</v>
      </c>
      <c r="M3566" t="s">
        <v>155</v>
      </c>
      <c r="N3566" t="s">
        <v>107</v>
      </c>
      <c r="O3566" t="s">
        <v>256</v>
      </c>
    </row>
    <row r="3567" spans="1:15" x14ac:dyDescent="0.2">
      <c r="A3567">
        <v>28</v>
      </c>
      <c r="B3567">
        <v>29</v>
      </c>
      <c r="C3567">
        <v>28</v>
      </c>
      <c r="D3567">
        <v>27</v>
      </c>
      <c r="E3567" t="s">
        <v>251</v>
      </c>
      <c r="F3567" t="s">
        <v>53</v>
      </c>
      <c r="G3567">
        <v>500</v>
      </c>
      <c r="H3567" t="s">
        <v>156</v>
      </c>
      <c r="I3567">
        <v>0</v>
      </c>
      <c r="J3567">
        <v>1</v>
      </c>
      <c r="K3567" t="s">
        <v>122</v>
      </c>
      <c r="L3567" t="s">
        <v>157</v>
      </c>
      <c r="M3567" t="s">
        <v>158</v>
      </c>
      <c r="N3567" t="s">
        <v>107</v>
      </c>
      <c r="O3567" t="s">
        <v>256</v>
      </c>
    </row>
    <row r="3568" spans="1:15" x14ac:dyDescent="0.2">
      <c r="A3568">
        <v>28</v>
      </c>
      <c r="B3568">
        <v>29</v>
      </c>
      <c r="C3568">
        <v>28</v>
      </c>
      <c r="D3568">
        <v>27</v>
      </c>
      <c r="E3568" t="s">
        <v>251</v>
      </c>
      <c r="F3568" t="s">
        <v>53</v>
      </c>
      <c r="G3568">
        <v>501</v>
      </c>
      <c r="H3568" t="s">
        <v>156</v>
      </c>
      <c r="I3568">
        <v>0</v>
      </c>
      <c r="J3568">
        <v>0</v>
      </c>
      <c r="K3568" t="s">
        <v>122</v>
      </c>
      <c r="L3568" t="s">
        <v>157</v>
      </c>
      <c r="M3568" t="s">
        <v>158</v>
      </c>
      <c r="N3568" t="s">
        <v>107</v>
      </c>
      <c r="O3568" t="s">
        <v>256</v>
      </c>
    </row>
    <row r="3569" spans="1:15" x14ac:dyDescent="0.2">
      <c r="A3569">
        <v>28</v>
      </c>
      <c r="B3569">
        <v>29</v>
      </c>
      <c r="C3569">
        <v>28</v>
      </c>
      <c r="D3569">
        <v>27</v>
      </c>
      <c r="E3569" t="s">
        <v>251</v>
      </c>
      <c r="F3569" t="s">
        <v>53</v>
      </c>
      <c r="G3569">
        <v>502</v>
      </c>
      <c r="H3569" t="s">
        <v>156</v>
      </c>
      <c r="I3569">
        <v>0</v>
      </c>
      <c r="J3569">
        <v>0</v>
      </c>
      <c r="K3569" t="s">
        <v>122</v>
      </c>
      <c r="L3569" t="s">
        <v>157</v>
      </c>
      <c r="M3569" t="s">
        <v>158</v>
      </c>
      <c r="N3569" t="s">
        <v>107</v>
      </c>
      <c r="O3569" t="s">
        <v>256</v>
      </c>
    </row>
    <row r="3570" spans="1:15" x14ac:dyDescent="0.2">
      <c r="A3570">
        <v>28</v>
      </c>
      <c r="B3570">
        <v>29</v>
      </c>
      <c r="C3570">
        <v>28</v>
      </c>
      <c r="D3570">
        <v>27</v>
      </c>
      <c r="E3570" t="s">
        <v>251</v>
      </c>
      <c r="F3570" t="s">
        <v>53</v>
      </c>
      <c r="G3570">
        <v>504</v>
      </c>
      <c r="H3570" t="s">
        <v>262</v>
      </c>
      <c r="I3570">
        <v>0</v>
      </c>
      <c r="J3570">
        <v>0</v>
      </c>
      <c r="K3570" t="s">
        <v>153</v>
      </c>
      <c r="L3570" t="s">
        <v>263</v>
      </c>
      <c r="M3570" t="s">
        <v>264</v>
      </c>
      <c r="N3570" t="s">
        <v>107</v>
      </c>
      <c r="O3570" t="s">
        <v>256</v>
      </c>
    </row>
    <row r="3571" spans="1:15" x14ac:dyDescent="0.2">
      <c r="A3571">
        <v>28</v>
      </c>
      <c r="B3571">
        <v>29</v>
      </c>
      <c r="C3571">
        <v>28</v>
      </c>
      <c r="D3571">
        <v>27</v>
      </c>
      <c r="E3571" t="s">
        <v>251</v>
      </c>
      <c r="F3571" t="s">
        <v>53</v>
      </c>
      <c r="G3571">
        <v>505</v>
      </c>
      <c r="H3571" t="s">
        <v>262</v>
      </c>
      <c r="I3571">
        <v>0</v>
      </c>
      <c r="J3571">
        <v>0</v>
      </c>
      <c r="K3571" t="s">
        <v>153</v>
      </c>
      <c r="L3571" t="s">
        <v>263</v>
      </c>
      <c r="M3571" t="s">
        <v>264</v>
      </c>
      <c r="N3571" t="s">
        <v>107</v>
      </c>
      <c r="O3571" t="s">
        <v>256</v>
      </c>
    </row>
    <row r="3572" spans="1:15" x14ac:dyDescent="0.2">
      <c r="A3572">
        <v>28</v>
      </c>
      <c r="B3572">
        <v>29</v>
      </c>
      <c r="C3572">
        <v>28</v>
      </c>
      <c r="D3572">
        <v>27</v>
      </c>
      <c r="E3572" t="s">
        <v>251</v>
      </c>
      <c r="F3572" t="s">
        <v>53</v>
      </c>
      <c r="G3572">
        <v>225</v>
      </c>
      <c r="H3572" t="s">
        <v>265</v>
      </c>
      <c r="I3572">
        <v>0.25</v>
      </c>
      <c r="J3572">
        <v>0.25</v>
      </c>
      <c r="K3572" t="s">
        <v>112</v>
      </c>
      <c r="L3572" t="s">
        <v>266</v>
      </c>
      <c r="M3572" t="s">
        <v>267</v>
      </c>
      <c r="N3572" t="s">
        <v>96</v>
      </c>
      <c r="O3572" t="s">
        <v>256</v>
      </c>
    </row>
    <row r="3573" spans="1:15" x14ac:dyDescent="0.2">
      <c r="A3573">
        <v>28</v>
      </c>
      <c r="B3573">
        <v>29</v>
      </c>
      <c r="C3573">
        <v>28</v>
      </c>
      <c r="D3573">
        <v>27</v>
      </c>
      <c r="E3573" t="s">
        <v>251</v>
      </c>
      <c r="F3573" t="s">
        <v>53</v>
      </c>
      <c r="G3573">
        <v>35</v>
      </c>
      <c r="H3573" t="s">
        <v>165</v>
      </c>
      <c r="I3573">
        <v>1</v>
      </c>
      <c r="J3573">
        <v>1</v>
      </c>
      <c r="K3573" t="s">
        <v>166</v>
      </c>
      <c r="L3573" t="s">
        <v>167</v>
      </c>
      <c r="M3573" t="s">
        <v>168</v>
      </c>
      <c r="N3573" t="s">
        <v>107</v>
      </c>
      <c r="O3573" t="s">
        <v>256</v>
      </c>
    </row>
    <row r="3574" spans="1:15" x14ac:dyDescent="0.2">
      <c r="A3574">
        <v>28</v>
      </c>
      <c r="B3574">
        <v>29</v>
      </c>
      <c r="C3574">
        <v>28</v>
      </c>
      <c r="D3574">
        <v>27</v>
      </c>
      <c r="E3574" t="s">
        <v>251</v>
      </c>
      <c r="F3574" t="s">
        <v>53</v>
      </c>
      <c r="G3574">
        <v>44</v>
      </c>
      <c r="H3574" t="s">
        <v>182</v>
      </c>
      <c r="I3574">
        <v>1</v>
      </c>
      <c r="J3574">
        <v>1</v>
      </c>
      <c r="K3574" t="s">
        <v>166</v>
      </c>
      <c r="L3574" t="s">
        <v>183</v>
      </c>
      <c r="M3574" t="s">
        <v>184</v>
      </c>
      <c r="N3574" t="s">
        <v>107</v>
      </c>
      <c r="O3574" t="s">
        <v>256</v>
      </c>
    </row>
    <row r="3575" spans="1:15" x14ac:dyDescent="0.2">
      <c r="A3575">
        <v>33</v>
      </c>
      <c r="B3575">
        <v>34</v>
      </c>
      <c r="C3575">
        <v>33</v>
      </c>
      <c r="D3575">
        <v>32</v>
      </c>
      <c r="E3575" t="s">
        <v>251</v>
      </c>
      <c r="F3575" t="s">
        <v>54</v>
      </c>
      <c r="G3575">
        <v>99</v>
      </c>
      <c r="H3575" t="s">
        <v>253</v>
      </c>
      <c r="I3575">
        <v>0</v>
      </c>
      <c r="J3575" t="s">
        <v>261</v>
      </c>
      <c r="K3575" t="s">
        <v>93</v>
      </c>
      <c r="L3575" t="s">
        <v>254</v>
      </c>
      <c r="M3575" t="s">
        <v>255</v>
      </c>
      <c r="N3575" t="s">
        <v>107</v>
      </c>
      <c r="O3575" t="s">
        <v>256</v>
      </c>
    </row>
    <row r="3576" spans="1:15" x14ac:dyDescent="0.2">
      <c r="A3576">
        <v>33</v>
      </c>
      <c r="B3576">
        <v>34</v>
      </c>
      <c r="C3576">
        <v>33</v>
      </c>
      <c r="D3576">
        <v>32</v>
      </c>
      <c r="E3576" t="s">
        <v>251</v>
      </c>
      <c r="F3576" t="s">
        <v>54</v>
      </c>
      <c r="G3576">
        <v>98</v>
      </c>
      <c r="H3576" t="s">
        <v>257</v>
      </c>
      <c r="I3576">
        <v>0</v>
      </c>
      <c r="J3576" t="s">
        <v>261</v>
      </c>
      <c r="K3576" t="s">
        <v>93</v>
      </c>
      <c r="L3576" t="s">
        <v>258</v>
      </c>
      <c r="M3576" t="s">
        <v>255</v>
      </c>
      <c r="N3576" t="s">
        <v>107</v>
      </c>
      <c r="O3576" t="s">
        <v>256</v>
      </c>
    </row>
    <row r="3577" spans="1:15" x14ac:dyDescent="0.2">
      <c r="A3577">
        <v>33</v>
      </c>
      <c r="B3577">
        <v>34</v>
      </c>
      <c r="C3577">
        <v>33</v>
      </c>
      <c r="D3577">
        <v>32</v>
      </c>
      <c r="E3577" t="s">
        <v>251</v>
      </c>
      <c r="F3577" t="s">
        <v>54</v>
      </c>
      <c r="G3577">
        <v>97</v>
      </c>
      <c r="H3577" t="s">
        <v>259</v>
      </c>
      <c r="I3577">
        <v>0</v>
      </c>
      <c r="J3577" t="s">
        <v>261</v>
      </c>
      <c r="K3577" t="s">
        <v>93</v>
      </c>
      <c r="L3577" t="s">
        <v>260</v>
      </c>
      <c r="M3577" t="s">
        <v>255</v>
      </c>
      <c r="N3577" t="s">
        <v>107</v>
      </c>
      <c r="O3577" t="s">
        <v>256</v>
      </c>
    </row>
    <row r="3578" spans="1:15" x14ac:dyDescent="0.2">
      <c r="A3578">
        <v>33</v>
      </c>
      <c r="B3578">
        <v>34</v>
      </c>
      <c r="C3578">
        <v>33</v>
      </c>
      <c r="D3578">
        <v>32</v>
      </c>
      <c r="E3578" t="s">
        <v>251</v>
      </c>
      <c r="F3578" t="s">
        <v>54</v>
      </c>
      <c r="G3578">
        <v>2</v>
      </c>
      <c r="H3578" t="s">
        <v>98</v>
      </c>
      <c r="I3578">
        <v>0.5</v>
      </c>
      <c r="J3578">
        <v>0.5</v>
      </c>
      <c r="K3578" t="s">
        <v>93</v>
      </c>
      <c r="L3578" t="s">
        <v>99</v>
      </c>
      <c r="M3578" t="s">
        <v>95</v>
      </c>
      <c r="N3578" t="s">
        <v>96</v>
      </c>
      <c r="O3578" t="s">
        <v>256</v>
      </c>
    </row>
    <row r="3579" spans="1:15" x14ac:dyDescent="0.2">
      <c r="A3579">
        <v>33</v>
      </c>
      <c r="B3579">
        <v>34</v>
      </c>
      <c r="C3579">
        <v>33</v>
      </c>
      <c r="D3579">
        <v>32</v>
      </c>
      <c r="E3579" t="s">
        <v>251</v>
      </c>
      <c r="F3579" t="s">
        <v>54</v>
      </c>
      <c r="G3579">
        <v>3</v>
      </c>
      <c r="H3579" t="s">
        <v>100</v>
      </c>
      <c r="I3579">
        <v>1</v>
      </c>
      <c r="J3579">
        <v>1</v>
      </c>
      <c r="K3579" t="s">
        <v>101</v>
      </c>
      <c r="L3579" t="s">
        <v>102</v>
      </c>
      <c r="M3579" t="s">
        <v>103</v>
      </c>
      <c r="N3579" t="s">
        <v>96</v>
      </c>
      <c r="O3579" t="s">
        <v>256</v>
      </c>
    </row>
    <row r="3580" spans="1:15" x14ac:dyDescent="0.2">
      <c r="A3580">
        <v>33</v>
      </c>
      <c r="B3580">
        <v>34</v>
      </c>
      <c r="C3580">
        <v>33</v>
      </c>
      <c r="D3580">
        <v>32</v>
      </c>
      <c r="E3580" t="s">
        <v>251</v>
      </c>
      <c r="F3580" t="s">
        <v>54</v>
      </c>
      <c r="G3580">
        <v>4</v>
      </c>
      <c r="H3580" t="s">
        <v>104</v>
      </c>
      <c r="I3580">
        <v>0.5</v>
      </c>
      <c r="J3580">
        <v>1</v>
      </c>
      <c r="K3580" t="s">
        <v>101</v>
      </c>
      <c r="L3580" t="s">
        <v>105</v>
      </c>
      <c r="M3580" t="s">
        <v>106</v>
      </c>
      <c r="N3580" t="s">
        <v>107</v>
      </c>
      <c r="O3580" t="s">
        <v>256</v>
      </c>
    </row>
    <row r="3581" spans="1:15" x14ac:dyDescent="0.2">
      <c r="A3581">
        <v>33</v>
      </c>
      <c r="B3581">
        <v>34</v>
      </c>
      <c r="C3581">
        <v>33</v>
      </c>
      <c r="D3581">
        <v>32</v>
      </c>
      <c r="E3581" t="s">
        <v>251</v>
      </c>
      <c r="F3581" t="s">
        <v>54</v>
      </c>
      <c r="G3581">
        <v>5</v>
      </c>
      <c r="H3581" t="s">
        <v>108</v>
      </c>
      <c r="I3581">
        <v>0</v>
      </c>
      <c r="J3581">
        <v>1</v>
      </c>
      <c r="K3581" t="s">
        <v>101</v>
      </c>
      <c r="L3581" t="s">
        <v>109</v>
      </c>
      <c r="M3581" t="s">
        <v>110</v>
      </c>
      <c r="N3581" t="s">
        <v>107</v>
      </c>
      <c r="O3581" t="s">
        <v>256</v>
      </c>
    </row>
    <row r="3582" spans="1:15" x14ac:dyDescent="0.2">
      <c r="A3582">
        <v>33</v>
      </c>
      <c r="B3582">
        <v>34</v>
      </c>
      <c r="C3582">
        <v>33</v>
      </c>
      <c r="D3582">
        <v>32</v>
      </c>
      <c r="E3582" t="s">
        <v>251</v>
      </c>
      <c r="F3582" t="s">
        <v>54</v>
      </c>
      <c r="G3582">
        <v>9</v>
      </c>
      <c r="H3582" t="s">
        <v>111</v>
      </c>
      <c r="I3582">
        <v>0.5</v>
      </c>
      <c r="J3582">
        <v>0.5</v>
      </c>
      <c r="K3582" t="s">
        <v>112</v>
      </c>
      <c r="L3582" t="s">
        <v>113</v>
      </c>
      <c r="M3582" t="s">
        <v>114</v>
      </c>
      <c r="N3582" t="s">
        <v>96</v>
      </c>
      <c r="O3582" t="s">
        <v>256</v>
      </c>
    </row>
    <row r="3583" spans="1:15" x14ac:dyDescent="0.2">
      <c r="A3583">
        <v>33</v>
      </c>
      <c r="B3583">
        <v>34</v>
      </c>
      <c r="C3583">
        <v>33</v>
      </c>
      <c r="D3583">
        <v>32</v>
      </c>
      <c r="E3583" t="s">
        <v>251</v>
      </c>
      <c r="F3583" t="s">
        <v>54</v>
      </c>
      <c r="G3583">
        <v>10</v>
      </c>
      <c r="H3583" t="s">
        <v>115</v>
      </c>
      <c r="I3583">
        <v>0.25</v>
      </c>
      <c r="J3583">
        <v>0.5</v>
      </c>
      <c r="K3583" t="s">
        <v>112</v>
      </c>
      <c r="L3583" t="s">
        <v>116</v>
      </c>
      <c r="M3583" t="s">
        <v>117</v>
      </c>
      <c r="N3583" t="s">
        <v>96</v>
      </c>
      <c r="O3583" t="s">
        <v>256</v>
      </c>
    </row>
    <row r="3584" spans="1:15" x14ac:dyDescent="0.2">
      <c r="A3584">
        <v>33</v>
      </c>
      <c r="B3584">
        <v>34</v>
      </c>
      <c r="C3584">
        <v>33</v>
      </c>
      <c r="D3584">
        <v>32</v>
      </c>
      <c r="E3584" t="s">
        <v>251</v>
      </c>
      <c r="F3584" t="s">
        <v>54</v>
      </c>
      <c r="G3584">
        <v>12</v>
      </c>
      <c r="H3584" t="s">
        <v>121</v>
      </c>
      <c r="I3584">
        <v>0</v>
      </c>
      <c r="J3584">
        <v>0.5</v>
      </c>
      <c r="K3584" t="s">
        <v>122</v>
      </c>
      <c r="L3584" t="s">
        <v>113</v>
      </c>
      <c r="M3584" t="s">
        <v>123</v>
      </c>
      <c r="N3584" t="s">
        <v>96</v>
      </c>
      <c r="O3584" t="s">
        <v>256</v>
      </c>
    </row>
    <row r="3585" spans="1:15" x14ac:dyDescent="0.2">
      <c r="A3585">
        <v>33</v>
      </c>
      <c r="B3585">
        <v>34</v>
      </c>
      <c r="C3585">
        <v>33</v>
      </c>
      <c r="D3585">
        <v>32</v>
      </c>
      <c r="E3585" t="s">
        <v>251</v>
      </c>
      <c r="F3585" t="s">
        <v>54</v>
      </c>
      <c r="G3585">
        <v>13</v>
      </c>
      <c r="H3585" t="s">
        <v>124</v>
      </c>
      <c r="I3585">
        <v>0</v>
      </c>
      <c r="J3585">
        <v>0.5</v>
      </c>
      <c r="K3585" t="s">
        <v>122</v>
      </c>
      <c r="L3585" t="s">
        <v>125</v>
      </c>
      <c r="M3585" t="s">
        <v>126</v>
      </c>
      <c r="N3585" t="s">
        <v>96</v>
      </c>
      <c r="O3585" t="s">
        <v>256</v>
      </c>
    </row>
    <row r="3586" spans="1:15" x14ac:dyDescent="0.2">
      <c r="A3586">
        <v>33</v>
      </c>
      <c r="B3586">
        <v>34</v>
      </c>
      <c r="C3586">
        <v>33</v>
      </c>
      <c r="D3586">
        <v>32</v>
      </c>
      <c r="E3586" t="s">
        <v>251</v>
      </c>
      <c r="F3586" t="s">
        <v>54</v>
      </c>
      <c r="G3586">
        <v>15</v>
      </c>
      <c r="H3586" t="s">
        <v>129</v>
      </c>
      <c r="I3586">
        <v>1</v>
      </c>
      <c r="J3586">
        <v>1</v>
      </c>
      <c r="K3586" t="s">
        <v>130</v>
      </c>
      <c r="L3586" t="s">
        <v>131</v>
      </c>
      <c r="M3586" t="s">
        <v>132</v>
      </c>
      <c r="N3586" t="s">
        <v>107</v>
      </c>
      <c r="O3586" t="s">
        <v>256</v>
      </c>
    </row>
    <row r="3587" spans="1:15" x14ac:dyDescent="0.2">
      <c r="A3587">
        <v>33</v>
      </c>
      <c r="B3587">
        <v>34</v>
      </c>
      <c r="C3587">
        <v>33</v>
      </c>
      <c r="D3587">
        <v>32</v>
      </c>
      <c r="E3587" t="s">
        <v>251</v>
      </c>
      <c r="F3587" t="s">
        <v>54</v>
      </c>
      <c r="G3587">
        <v>17</v>
      </c>
      <c r="H3587" t="s">
        <v>134</v>
      </c>
      <c r="I3587">
        <v>0.5</v>
      </c>
      <c r="J3587">
        <v>1</v>
      </c>
      <c r="K3587" t="s">
        <v>112</v>
      </c>
      <c r="L3587" t="s">
        <v>135</v>
      </c>
      <c r="M3587" t="s">
        <v>136</v>
      </c>
      <c r="N3587" t="s">
        <v>107</v>
      </c>
      <c r="O3587" t="s">
        <v>256</v>
      </c>
    </row>
    <row r="3588" spans="1:15" x14ac:dyDescent="0.2">
      <c r="A3588">
        <v>33</v>
      </c>
      <c r="B3588">
        <v>34</v>
      </c>
      <c r="C3588">
        <v>33</v>
      </c>
      <c r="D3588">
        <v>32</v>
      </c>
      <c r="E3588" t="s">
        <v>251</v>
      </c>
      <c r="F3588" t="s">
        <v>54</v>
      </c>
      <c r="G3588">
        <v>18</v>
      </c>
      <c r="H3588" t="s">
        <v>137</v>
      </c>
      <c r="I3588">
        <v>1</v>
      </c>
      <c r="J3588">
        <v>1</v>
      </c>
      <c r="K3588" t="s">
        <v>112</v>
      </c>
      <c r="L3588" t="s">
        <v>138</v>
      </c>
      <c r="M3588" t="s">
        <v>139</v>
      </c>
      <c r="N3588" t="s">
        <v>107</v>
      </c>
      <c r="O3588" t="s">
        <v>256</v>
      </c>
    </row>
    <row r="3589" spans="1:15" x14ac:dyDescent="0.2">
      <c r="A3589">
        <v>33</v>
      </c>
      <c r="B3589">
        <v>34</v>
      </c>
      <c r="C3589">
        <v>33</v>
      </c>
      <c r="D3589">
        <v>32</v>
      </c>
      <c r="E3589" t="s">
        <v>251</v>
      </c>
      <c r="F3589" t="s">
        <v>54</v>
      </c>
      <c r="G3589">
        <v>19</v>
      </c>
      <c r="H3589" t="s">
        <v>140</v>
      </c>
      <c r="I3589">
        <v>0.25</v>
      </c>
      <c r="J3589">
        <v>1</v>
      </c>
      <c r="K3589" t="s">
        <v>122</v>
      </c>
      <c r="L3589" t="s">
        <v>141</v>
      </c>
      <c r="M3589" t="s">
        <v>142</v>
      </c>
      <c r="N3589" t="s">
        <v>107</v>
      </c>
      <c r="O3589" t="s">
        <v>256</v>
      </c>
    </row>
    <row r="3590" spans="1:15" x14ac:dyDescent="0.2">
      <c r="A3590">
        <v>33</v>
      </c>
      <c r="B3590">
        <v>34</v>
      </c>
      <c r="C3590">
        <v>33</v>
      </c>
      <c r="D3590">
        <v>32</v>
      </c>
      <c r="E3590" t="s">
        <v>251</v>
      </c>
      <c r="F3590" t="s">
        <v>54</v>
      </c>
      <c r="G3590">
        <v>20</v>
      </c>
      <c r="H3590" t="s">
        <v>143</v>
      </c>
      <c r="I3590">
        <v>0</v>
      </c>
      <c r="J3590">
        <v>1</v>
      </c>
      <c r="K3590" t="s">
        <v>122</v>
      </c>
      <c r="L3590" t="s">
        <v>144</v>
      </c>
      <c r="M3590" t="s">
        <v>145</v>
      </c>
      <c r="N3590" t="s">
        <v>107</v>
      </c>
      <c r="O3590" t="s">
        <v>256</v>
      </c>
    </row>
    <row r="3591" spans="1:15" x14ac:dyDescent="0.2">
      <c r="A3591">
        <v>33</v>
      </c>
      <c r="B3591">
        <v>34</v>
      </c>
      <c r="C3591">
        <v>33</v>
      </c>
      <c r="D3591">
        <v>32</v>
      </c>
      <c r="E3591" t="s">
        <v>251</v>
      </c>
      <c r="F3591" t="s">
        <v>54</v>
      </c>
      <c r="G3591">
        <v>22</v>
      </c>
      <c r="H3591" t="s">
        <v>150</v>
      </c>
      <c r="I3591">
        <v>1</v>
      </c>
      <c r="J3591">
        <v>1</v>
      </c>
      <c r="K3591" t="s">
        <v>147</v>
      </c>
      <c r="L3591" t="s">
        <v>151</v>
      </c>
      <c r="M3591" t="s">
        <v>149</v>
      </c>
      <c r="N3591" t="s">
        <v>107</v>
      </c>
      <c r="O3591" t="s">
        <v>256</v>
      </c>
    </row>
    <row r="3592" spans="1:15" x14ac:dyDescent="0.2">
      <c r="A3592">
        <v>33</v>
      </c>
      <c r="B3592">
        <v>34</v>
      </c>
      <c r="C3592">
        <v>33</v>
      </c>
      <c r="D3592">
        <v>32</v>
      </c>
      <c r="E3592" t="s">
        <v>251</v>
      </c>
      <c r="F3592" t="s">
        <v>54</v>
      </c>
      <c r="G3592">
        <v>224</v>
      </c>
      <c r="H3592" t="s">
        <v>152</v>
      </c>
      <c r="I3592" t="s">
        <v>261</v>
      </c>
      <c r="J3592" t="s">
        <v>261</v>
      </c>
      <c r="K3592" t="s">
        <v>153</v>
      </c>
      <c r="L3592" t="s">
        <v>154</v>
      </c>
      <c r="M3592" t="s">
        <v>155</v>
      </c>
      <c r="N3592" t="s">
        <v>107</v>
      </c>
      <c r="O3592" t="s">
        <v>256</v>
      </c>
    </row>
    <row r="3593" spans="1:15" x14ac:dyDescent="0.2">
      <c r="A3593">
        <v>33</v>
      </c>
      <c r="B3593">
        <v>34</v>
      </c>
      <c r="C3593">
        <v>33</v>
      </c>
      <c r="D3593">
        <v>32</v>
      </c>
      <c r="E3593" t="s">
        <v>251</v>
      </c>
      <c r="F3593" t="s">
        <v>54</v>
      </c>
      <c r="G3593">
        <v>222</v>
      </c>
      <c r="H3593" t="s">
        <v>152</v>
      </c>
      <c r="I3593" t="s">
        <v>261</v>
      </c>
      <c r="J3593" t="s">
        <v>261</v>
      </c>
      <c r="K3593" t="s">
        <v>153</v>
      </c>
      <c r="L3593" t="s">
        <v>154</v>
      </c>
      <c r="M3593" t="s">
        <v>155</v>
      </c>
      <c r="N3593" t="s">
        <v>107</v>
      </c>
      <c r="O3593" t="s">
        <v>256</v>
      </c>
    </row>
    <row r="3594" spans="1:15" x14ac:dyDescent="0.2">
      <c r="A3594">
        <v>33</v>
      </c>
      <c r="B3594">
        <v>34</v>
      </c>
      <c r="C3594">
        <v>33</v>
      </c>
      <c r="D3594">
        <v>32</v>
      </c>
      <c r="E3594" t="s">
        <v>251</v>
      </c>
      <c r="F3594" t="s">
        <v>54</v>
      </c>
      <c r="G3594">
        <v>23</v>
      </c>
      <c r="H3594" t="s">
        <v>152</v>
      </c>
      <c r="I3594" t="s">
        <v>261</v>
      </c>
      <c r="J3594" t="s">
        <v>261</v>
      </c>
      <c r="K3594" t="s">
        <v>153</v>
      </c>
      <c r="L3594" t="s">
        <v>154</v>
      </c>
      <c r="M3594" t="s">
        <v>155</v>
      </c>
      <c r="N3594" t="s">
        <v>107</v>
      </c>
      <c r="O3594" t="s">
        <v>256</v>
      </c>
    </row>
    <row r="3595" spans="1:15" x14ac:dyDescent="0.2">
      <c r="A3595">
        <v>33</v>
      </c>
      <c r="B3595">
        <v>34</v>
      </c>
      <c r="C3595">
        <v>33</v>
      </c>
      <c r="D3595">
        <v>32</v>
      </c>
      <c r="E3595" t="s">
        <v>251</v>
      </c>
      <c r="F3595" t="s">
        <v>54</v>
      </c>
      <c r="G3595">
        <v>223</v>
      </c>
      <c r="H3595" t="s">
        <v>152</v>
      </c>
      <c r="I3595" t="s">
        <v>261</v>
      </c>
      <c r="J3595" t="s">
        <v>261</v>
      </c>
      <c r="K3595" t="s">
        <v>153</v>
      </c>
      <c r="L3595" t="s">
        <v>154</v>
      </c>
      <c r="M3595" t="s">
        <v>155</v>
      </c>
      <c r="N3595" t="s">
        <v>107</v>
      </c>
      <c r="O3595" t="s">
        <v>256</v>
      </c>
    </row>
    <row r="3596" spans="1:15" x14ac:dyDescent="0.2">
      <c r="A3596">
        <v>33</v>
      </c>
      <c r="B3596">
        <v>34</v>
      </c>
      <c r="C3596">
        <v>33</v>
      </c>
      <c r="D3596">
        <v>32</v>
      </c>
      <c r="E3596" t="s">
        <v>251</v>
      </c>
      <c r="F3596" t="s">
        <v>54</v>
      </c>
      <c r="G3596">
        <v>999</v>
      </c>
      <c r="H3596" t="s">
        <v>152</v>
      </c>
      <c r="I3596">
        <v>0</v>
      </c>
      <c r="J3596">
        <v>1</v>
      </c>
      <c r="K3596" t="s">
        <v>153</v>
      </c>
      <c r="L3596" t="s">
        <v>154</v>
      </c>
      <c r="M3596" t="s">
        <v>155</v>
      </c>
      <c r="N3596" t="s">
        <v>107</v>
      </c>
      <c r="O3596" t="s">
        <v>256</v>
      </c>
    </row>
    <row r="3597" spans="1:15" x14ac:dyDescent="0.2">
      <c r="A3597">
        <v>33</v>
      </c>
      <c r="B3597">
        <v>34</v>
      </c>
      <c r="C3597">
        <v>33</v>
      </c>
      <c r="D3597">
        <v>32</v>
      </c>
      <c r="E3597" t="s">
        <v>251</v>
      </c>
      <c r="F3597" t="s">
        <v>54</v>
      </c>
      <c r="G3597">
        <v>2222</v>
      </c>
      <c r="H3597" t="s">
        <v>152</v>
      </c>
      <c r="I3597">
        <v>1</v>
      </c>
      <c r="J3597">
        <v>1</v>
      </c>
      <c r="K3597" t="s">
        <v>153</v>
      </c>
      <c r="L3597" t="s">
        <v>154</v>
      </c>
      <c r="M3597" t="s">
        <v>155</v>
      </c>
      <c r="N3597" t="s">
        <v>107</v>
      </c>
      <c r="O3597" t="s">
        <v>256</v>
      </c>
    </row>
    <row r="3598" spans="1:15" x14ac:dyDescent="0.2">
      <c r="A3598">
        <v>33</v>
      </c>
      <c r="B3598">
        <v>34</v>
      </c>
      <c r="C3598">
        <v>33</v>
      </c>
      <c r="D3598">
        <v>32</v>
      </c>
      <c r="E3598" t="s">
        <v>251</v>
      </c>
      <c r="F3598" t="s">
        <v>54</v>
      </c>
      <c r="G3598">
        <v>1111</v>
      </c>
      <c r="H3598" t="s">
        <v>152</v>
      </c>
      <c r="I3598">
        <v>1</v>
      </c>
      <c r="J3598">
        <v>1</v>
      </c>
      <c r="K3598" t="s">
        <v>153</v>
      </c>
      <c r="L3598" t="s">
        <v>154</v>
      </c>
      <c r="M3598" t="s">
        <v>155</v>
      </c>
      <c r="N3598" t="s">
        <v>107</v>
      </c>
      <c r="O3598" t="s">
        <v>256</v>
      </c>
    </row>
    <row r="3599" spans="1:15" x14ac:dyDescent="0.2">
      <c r="A3599">
        <v>33</v>
      </c>
      <c r="B3599">
        <v>34</v>
      </c>
      <c r="C3599">
        <v>33</v>
      </c>
      <c r="D3599">
        <v>32</v>
      </c>
      <c r="E3599" t="s">
        <v>251</v>
      </c>
      <c r="F3599" t="s">
        <v>54</v>
      </c>
      <c r="G3599">
        <v>26</v>
      </c>
      <c r="H3599" t="s">
        <v>152</v>
      </c>
      <c r="I3599">
        <v>0</v>
      </c>
      <c r="J3599">
        <v>1</v>
      </c>
      <c r="K3599" t="s">
        <v>153</v>
      </c>
      <c r="L3599" t="s">
        <v>154</v>
      </c>
      <c r="M3599" t="s">
        <v>155</v>
      </c>
      <c r="N3599" t="s">
        <v>107</v>
      </c>
      <c r="O3599" t="s">
        <v>256</v>
      </c>
    </row>
    <row r="3600" spans="1:15" x14ac:dyDescent="0.2">
      <c r="A3600">
        <v>33</v>
      </c>
      <c r="B3600">
        <v>34</v>
      </c>
      <c r="C3600">
        <v>33</v>
      </c>
      <c r="D3600">
        <v>32</v>
      </c>
      <c r="E3600" t="s">
        <v>251</v>
      </c>
      <c r="F3600" t="s">
        <v>54</v>
      </c>
      <c r="G3600">
        <v>1112</v>
      </c>
      <c r="H3600" t="s">
        <v>152</v>
      </c>
      <c r="I3600">
        <v>0</v>
      </c>
      <c r="J3600">
        <v>1</v>
      </c>
      <c r="K3600" t="s">
        <v>153</v>
      </c>
      <c r="L3600" t="s">
        <v>154</v>
      </c>
      <c r="M3600" t="s">
        <v>155</v>
      </c>
      <c r="N3600" t="s">
        <v>107</v>
      </c>
      <c r="O3600" t="s">
        <v>256</v>
      </c>
    </row>
    <row r="3601" spans="1:15" x14ac:dyDescent="0.2">
      <c r="A3601">
        <v>33</v>
      </c>
      <c r="B3601">
        <v>34</v>
      </c>
      <c r="C3601">
        <v>33</v>
      </c>
      <c r="D3601">
        <v>32</v>
      </c>
      <c r="E3601" t="s">
        <v>251</v>
      </c>
      <c r="F3601" t="s">
        <v>54</v>
      </c>
      <c r="G3601">
        <v>1113</v>
      </c>
      <c r="H3601" t="s">
        <v>152</v>
      </c>
      <c r="I3601">
        <v>0.5</v>
      </c>
      <c r="J3601">
        <v>1</v>
      </c>
      <c r="K3601" t="s">
        <v>153</v>
      </c>
      <c r="L3601" t="s">
        <v>154</v>
      </c>
      <c r="M3601" t="s">
        <v>155</v>
      </c>
      <c r="N3601" t="s">
        <v>107</v>
      </c>
      <c r="O3601" t="s">
        <v>256</v>
      </c>
    </row>
    <row r="3602" spans="1:15" x14ac:dyDescent="0.2">
      <c r="A3602">
        <v>33</v>
      </c>
      <c r="B3602">
        <v>34</v>
      </c>
      <c r="C3602">
        <v>33</v>
      </c>
      <c r="D3602">
        <v>32</v>
      </c>
      <c r="E3602" t="s">
        <v>251</v>
      </c>
      <c r="F3602" t="s">
        <v>54</v>
      </c>
      <c r="G3602">
        <v>1114</v>
      </c>
      <c r="H3602" t="s">
        <v>152</v>
      </c>
      <c r="I3602">
        <v>0</v>
      </c>
      <c r="J3602">
        <v>0</v>
      </c>
      <c r="K3602" t="s">
        <v>153</v>
      </c>
      <c r="L3602" t="s">
        <v>154</v>
      </c>
      <c r="M3602" t="s">
        <v>155</v>
      </c>
      <c r="N3602" t="s">
        <v>107</v>
      </c>
      <c r="O3602" t="s">
        <v>256</v>
      </c>
    </row>
    <row r="3603" spans="1:15" x14ac:dyDescent="0.2">
      <c r="A3603">
        <v>33</v>
      </c>
      <c r="B3603">
        <v>34</v>
      </c>
      <c r="C3603">
        <v>33</v>
      </c>
      <c r="D3603">
        <v>32</v>
      </c>
      <c r="E3603" t="s">
        <v>251</v>
      </c>
      <c r="F3603" t="s">
        <v>54</v>
      </c>
      <c r="G3603">
        <v>500</v>
      </c>
      <c r="H3603" t="s">
        <v>156</v>
      </c>
      <c r="I3603">
        <v>0.5</v>
      </c>
      <c r="J3603">
        <v>1</v>
      </c>
      <c r="K3603" t="s">
        <v>122</v>
      </c>
      <c r="L3603" t="s">
        <v>157</v>
      </c>
      <c r="M3603" t="s">
        <v>158</v>
      </c>
      <c r="N3603" t="s">
        <v>107</v>
      </c>
      <c r="O3603" t="s">
        <v>256</v>
      </c>
    </row>
    <row r="3604" spans="1:15" x14ac:dyDescent="0.2">
      <c r="A3604">
        <v>33</v>
      </c>
      <c r="B3604">
        <v>34</v>
      </c>
      <c r="C3604">
        <v>33</v>
      </c>
      <c r="D3604">
        <v>32</v>
      </c>
      <c r="E3604" t="s">
        <v>251</v>
      </c>
      <c r="F3604" t="s">
        <v>54</v>
      </c>
      <c r="G3604">
        <v>501</v>
      </c>
      <c r="H3604" t="s">
        <v>156</v>
      </c>
      <c r="I3604">
        <v>0</v>
      </c>
      <c r="J3604">
        <v>0</v>
      </c>
      <c r="K3604" t="s">
        <v>122</v>
      </c>
      <c r="L3604" t="s">
        <v>157</v>
      </c>
      <c r="M3604" t="s">
        <v>158</v>
      </c>
      <c r="N3604" t="s">
        <v>107</v>
      </c>
      <c r="O3604" t="s">
        <v>256</v>
      </c>
    </row>
    <row r="3605" spans="1:15" x14ac:dyDescent="0.2">
      <c r="A3605">
        <v>33</v>
      </c>
      <c r="B3605">
        <v>34</v>
      </c>
      <c r="C3605">
        <v>33</v>
      </c>
      <c r="D3605">
        <v>32</v>
      </c>
      <c r="E3605" t="s">
        <v>251</v>
      </c>
      <c r="F3605" t="s">
        <v>54</v>
      </c>
      <c r="G3605">
        <v>502</v>
      </c>
      <c r="H3605" t="s">
        <v>156</v>
      </c>
      <c r="I3605">
        <v>0</v>
      </c>
      <c r="J3605">
        <v>0</v>
      </c>
      <c r="K3605" t="s">
        <v>122</v>
      </c>
      <c r="L3605" t="s">
        <v>157</v>
      </c>
      <c r="M3605" t="s">
        <v>158</v>
      </c>
      <c r="N3605" t="s">
        <v>107</v>
      </c>
      <c r="O3605" t="s">
        <v>256</v>
      </c>
    </row>
    <row r="3606" spans="1:15" x14ac:dyDescent="0.2">
      <c r="A3606">
        <v>33</v>
      </c>
      <c r="B3606">
        <v>34</v>
      </c>
      <c r="C3606">
        <v>33</v>
      </c>
      <c r="D3606">
        <v>32</v>
      </c>
      <c r="E3606" t="s">
        <v>251</v>
      </c>
      <c r="F3606" t="s">
        <v>54</v>
      </c>
      <c r="G3606">
        <v>504</v>
      </c>
      <c r="H3606" t="s">
        <v>262</v>
      </c>
      <c r="I3606">
        <v>0</v>
      </c>
      <c r="J3606">
        <v>0</v>
      </c>
      <c r="K3606" t="s">
        <v>153</v>
      </c>
      <c r="L3606" t="s">
        <v>263</v>
      </c>
      <c r="M3606" t="s">
        <v>264</v>
      </c>
      <c r="N3606" t="s">
        <v>107</v>
      </c>
      <c r="O3606" t="s">
        <v>256</v>
      </c>
    </row>
    <row r="3607" spans="1:15" x14ac:dyDescent="0.2">
      <c r="A3607">
        <v>33</v>
      </c>
      <c r="B3607">
        <v>34</v>
      </c>
      <c r="C3607">
        <v>33</v>
      </c>
      <c r="D3607">
        <v>32</v>
      </c>
      <c r="E3607" t="s">
        <v>251</v>
      </c>
      <c r="F3607" t="s">
        <v>54</v>
      </c>
      <c r="G3607">
        <v>505</v>
      </c>
      <c r="H3607" t="s">
        <v>262</v>
      </c>
      <c r="I3607">
        <v>1</v>
      </c>
      <c r="J3607">
        <v>1</v>
      </c>
      <c r="K3607" t="s">
        <v>153</v>
      </c>
      <c r="L3607" t="s">
        <v>263</v>
      </c>
      <c r="M3607" t="s">
        <v>264</v>
      </c>
      <c r="N3607" t="s">
        <v>107</v>
      </c>
      <c r="O3607" t="s">
        <v>256</v>
      </c>
    </row>
    <row r="3608" spans="1:15" x14ac:dyDescent="0.2">
      <c r="A3608">
        <v>33</v>
      </c>
      <c r="B3608">
        <v>34</v>
      </c>
      <c r="C3608">
        <v>33</v>
      </c>
      <c r="D3608">
        <v>32</v>
      </c>
      <c r="E3608" t="s">
        <v>251</v>
      </c>
      <c r="F3608" t="s">
        <v>54</v>
      </c>
      <c r="G3608">
        <v>225</v>
      </c>
      <c r="H3608" t="s">
        <v>265</v>
      </c>
      <c r="I3608">
        <v>0.25</v>
      </c>
      <c r="J3608">
        <v>0.25</v>
      </c>
      <c r="K3608" t="s">
        <v>112</v>
      </c>
      <c r="L3608" t="s">
        <v>266</v>
      </c>
      <c r="M3608" t="s">
        <v>267</v>
      </c>
      <c r="N3608" t="s">
        <v>96</v>
      </c>
      <c r="O3608" t="s">
        <v>256</v>
      </c>
    </row>
    <row r="3609" spans="1:15" x14ac:dyDescent="0.2">
      <c r="A3609">
        <v>33</v>
      </c>
      <c r="B3609">
        <v>34</v>
      </c>
      <c r="C3609">
        <v>33</v>
      </c>
      <c r="D3609">
        <v>32</v>
      </c>
      <c r="E3609" t="s">
        <v>251</v>
      </c>
      <c r="F3609" t="s">
        <v>54</v>
      </c>
      <c r="G3609">
        <v>35</v>
      </c>
      <c r="H3609" t="s">
        <v>165</v>
      </c>
      <c r="I3609">
        <v>0.5</v>
      </c>
      <c r="J3609">
        <v>1</v>
      </c>
      <c r="K3609" t="s">
        <v>166</v>
      </c>
      <c r="L3609" t="s">
        <v>167</v>
      </c>
      <c r="M3609" t="s">
        <v>168</v>
      </c>
      <c r="N3609" t="s">
        <v>107</v>
      </c>
      <c r="O3609" t="s">
        <v>256</v>
      </c>
    </row>
    <row r="3610" spans="1:15" x14ac:dyDescent="0.2">
      <c r="A3610">
        <v>33</v>
      </c>
      <c r="B3610">
        <v>34</v>
      </c>
      <c r="C3610">
        <v>33</v>
      </c>
      <c r="D3610">
        <v>32</v>
      </c>
      <c r="E3610" t="s">
        <v>251</v>
      </c>
      <c r="F3610" t="s">
        <v>54</v>
      </c>
      <c r="G3610">
        <v>44</v>
      </c>
      <c r="H3610" t="s">
        <v>182</v>
      </c>
      <c r="I3610">
        <v>0</v>
      </c>
      <c r="J3610">
        <v>1</v>
      </c>
      <c r="K3610" t="s">
        <v>166</v>
      </c>
      <c r="L3610" t="s">
        <v>183</v>
      </c>
      <c r="M3610" t="s">
        <v>184</v>
      </c>
      <c r="N3610" t="s">
        <v>107</v>
      </c>
      <c r="O3610" t="s">
        <v>256</v>
      </c>
    </row>
    <row r="3611" spans="1:15" x14ac:dyDescent="0.2">
      <c r="A3611">
        <v>38</v>
      </c>
      <c r="B3611">
        <v>39</v>
      </c>
      <c r="C3611">
        <v>38</v>
      </c>
      <c r="D3611">
        <v>37</v>
      </c>
      <c r="E3611" t="s">
        <v>251</v>
      </c>
      <c r="F3611" t="s">
        <v>55</v>
      </c>
      <c r="G3611">
        <v>99</v>
      </c>
      <c r="H3611" t="s">
        <v>253</v>
      </c>
      <c r="I3611">
        <v>0</v>
      </c>
      <c r="J3611" t="s">
        <v>261</v>
      </c>
      <c r="K3611" t="s">
        <v>93</v>
      </c>
      <c r="L3611" t="s">
        <v>254</v>
      </c>
      <c r="M3611" t="s">
        <v>255</v>
      </c>
      <c r="N3611" t="s">
        <v>107</v>
      </c>
      <c r="O3611" t="s">
        <v>256</v>
      </c>
    </row>
    <row r="3612" spans="1:15" x14ac:dyDescent="0.2">
      <c r="A3612">
        <v>38</v>
      </c>
      <c r="B3612">
        <v>39</v>
      </c>
      <c r="C3612">
        <v>38</v>
      </c>
      <c r="D3612">
        <v>37</v>
      </c>
      <c r="E3612" t="s">
        <v>251</v>
      </c>
      <c r="F3612" t="s">
        <v>55</v>
      </c>
      <c r="G3612">
        <v>98</v>
      </c>
      <c r="H3612" t="s">
        <v>257</v>
      </c>
      <c r="I3612">
        <v>0</v>
      </c>
      <c r="J3612" t="s">
        <v>261</v>
      </c>
      <c r="K3612" t="s">
        <v>93</v>
      </c>
      <c r="L3612" t="s">
        <v>258</v>
      </c>
      <c r="M3612" t="s">
        <v>255</v>
      </c>
      <c r="N3612" t="s">
        <v>107</v>
      </c>
      <c r="O3612" t="s">
        <v>256</v>
      </c>
    </row>
    <row r="3613" spans="1:15" x14ac:dyDescent="0.2">
      <c r="A3613">
        <v>38</v>
      </c>
      <c r="B3613">
        <v>39</v>
      </c>
      <c r="C3613">
        <v>38</v>
      </c>
      <c r="D3613">
        <v>37</v>
      </c>
      <c r="E3613" t="s">
        <v>251</v>
      </c>
      <c r="F3613" t="s">
        <v>55</v>
      </c>
      <c r="G3613">
        <v>97</v>
      </c>
      <c r="H3613" t="s">
        <v>259</v>
      </c>
      <c r="I3613">
        <v>0</v>
      </c>
      <c r="J3613" t="s">
        <v>261</v>
      </c>
      <c r="K3613" t="s">
        <v>93</v>
      </c>
      <c r="L3613" t="s">
        <v>260</v>
      </c>
      <c r="M3613" t="s">
        <v>255</v>
      </c>
      <c r="N3613" t="s">
        <v>107</v>
      </c>
      <c r="O3613" t="s">
        <v>256</v>
      </c>
    </row>
    <row r="3614" spans="1:15" x14ac:dyDescent="0.2">
      <c r="A3614">
        <v>38</v>
      </c>
      <c r="B3614">
        <v>39</v>
      </c>
      <c r="C3614">
        <v>38</v>
      </c>
      <c r="D3614">
        <v>37</v>
      </c>
      <c r="E3614" t="s">
        <v>251</v>
      </c>
      <c r="F3614" t="s">
        <v>55</v>
      </c>
      <c r="G3614">
        <v>2</v>
      </c>
      <c r="H3614" t="s">
        <v>98</v>
      </c>
      <c r="I3614">
        <v>0.25</v>
      </c>
      <c r="J3614">
        <v>0.5</v>
      </c>
      <c r="K3614" t="s">
        <v>93</v>
      </c>
      <c r="L3614" t="s">
        <v>99</v>
      </c>
      <c r="M3614" t="s">
        <v>95</v>
      </c>
      <c r="N3614" t="s">
        <v>96</v>
      </c>
      <c r="O3614" t="s">
        <v>256</v>
      </c>
    </row>
    <row r="3615" spans="1:15" x14ac:dyDescent="0.2">
      <c r="A3615">
        <v>38</v>
      </c>
      <c r="B3615">
        <v>39</v>
      </c>
      <c r="C3615">
        <v>38</v>
      </c>
      <c r="D3615">
        <v>37</v>
      </c>
      <c r="E3615" t="s">
        <v>251</v>
      </c>
      <c r="F3615" t="s">
        <v>55</v>
      </c>
      <c r="G3615">
        <v>3</v>
      </c>
      <c r="H3615" t="s">
        <v>100</v>
      </c>
      <c r="I3615">
        <v>1</v>
      </c>
      <c r="J3615">
        <v>1</v>
      </c>
      <c r="K3615" t="s">
        <v>101</v>
      </c>
      <c r="L3615" t="s">
        <v>102</v>
      </c>
      <c r="M3615" t="s">
        <v>103</v>
      </c>
      <c r="N3615" t="s">
        <v>96</v>
      </c>
      <c r="O3615" t="s">
        <v>256</v>
      </c>
    </row>
    <row r="3616" spans="1:15" x14ac:dyDescent="0.2">
      <c r="A3616">
        <v>38</v>
      </c>
      <c r="B3616">
        <v>39</v>
      </c>
      <c r="C3616">
        <v>38</v>
      </c>
      <c r="D3616">
        <v>37</v>
      </c>
      <c r="E3616" t="s">
        <v>251</v>
      </c>
      <c r="F3616" t="s">
        <v>55</v>
      </c>
      <c r="G3616">
        <v>4</v>
      </c>
      <c r="H3616" t="s">
        <v>104</v>
      </c>
      <c r="I3616">
        <v>0.5</v>
      </c>
      <c r="J3616">
        <v>1</v>
      </c>
      <c r="K3616" t="s">
        <v>101</v>
      </c>
      <c r="L3616" t="s">
        <v>105</v>
      </c>
      <c r="M3616" t="s">
        <v>106</v>
      </c>
      <c r="N3616" t="s">
        <v>107</v>
      </c>
      <c r="O3616" t="s">
        <v>256</v>
      </c>
    </row>
    <row r="3617" spans="1:15" x14ac:dyDescent="0.2">
      <c r="A3617">
        <v>38</v>
      </c>
      <c r="B3617">
        <v>39</v>
      </c>
      <c r="C3617">
        <v>38</v>
      </c>
      <c r="D3617">
        <v>37</v>
      </c>
      <c r="E3617" t="s">
        <v>251</v>
      </c>
      <c r="F3617" t="s">
        <v>55</v>
      </c>
      <c r="G3617">
        <v>5</v>
      </c>
      <c r="H3617" t="s">
        <v>108</v>
      </c>
      <c r="I3617">
        <v>0.5</v>
      </c>
      <c r="J3617">
        <v>1</v>
      </c>
      <c r="K3617" t="s">
        <v>101</v>
      </c>
      <c r="L3617" t="s">
        <v>109</v>
      </c>
      <c r="M3617" t="s">
        <v>110</v>
      </c>
      <c r="N3617" t="s">
        <v>107</v>
      </c>
      <c r="O3617" t="s">
        <v>256</v>
      </c>
    </row>
    <row r="3618" spans="1:15" x14ac:dyDescent="0.2">
      <c r="A3618">
        <v>38</v>
      </c>
      <c r="B3618">
        <v>39</v>
      </c>
      <c r="C3618">
        <v>38</v>
      </c>
      <c r="D3618">
        <v>37</v>
      </c>
      <c r="E3618" t="s">
        <v>251</v>
      </c>
      <c r="F3618" t="s">
        <v>55</v>
      </c>
      <c r="G3618">
        <v>9</v>
      </c>
      <c r="H3618" t="s">
        <v>111</v>
      </c>
      <c r="I3618">
        <v>0.5</v>
      </c>
      <c r="J3618">
        <v>0.5</v>
      </c>
      <c r="K3618" t="s">
        <v>112</v>
      </c>
      <c r="L3618" t="s">
        <v>113</v>
      </c>
      <c r="M3618" t="s">
        <v>114</v>
      </c>
      <c r="N3618" t="s">
        <v>96</v>
      </c>
      <c r="O3618" t="s">
        <v>256</v>
      </c>
    </row>
    <row r="3619" spans="1:15" x14ac:dyDescent="0.2">
      <c r="A3619">
        <v>38</v>
      </c>
      <c r="B3619">
        <v>39</v>
      </c>
      <c r="C3619">
        <v>38</v>
      </c>
      <c r="D3619">
        <v>37</v>
      </c>
      <c r="E3619" t="s">
        <v>251</v>
      </c>
      <c r="F3619" t="s">
        <v>55</v>
      </c>
      <c r="G3619">
        <v>10</v>
      </c>
      <c r="H3619" t="s">
        <v>115</v>
      </c>
      <c r="I3619">
        <v>0.25</v>
      </c>
      <c r="J3619">
        <v>0.5</v>
      </c>
      <c r="K3619" t="s">
        <v>112</v>
      </c>
      <c r="L3619" t="s">
        <v>116</v>
      </c>
      <c r="M3619" t="s">
        <v>117</v>
      </c>
      <c r="N3619" t="s">
        <v>96</v>
      </c>
      <c r="O3619" t="s">
        <v>256</v>
      </c>
    </row>
    <row r="3620" spans="1:15" x14ac:dyDescent="0.2">
      <c r="A3620">
        <v>38</v>
      </c>
      <c r="B3620">
        <v>39</v>
      </c>
      <c r="C3620">
        <v>38</v>
      </c>
      <c r="D3620">
        <v>37</v>
      </c>
      <c r="E3620" t="s">
        <v>251</v>
      </c>
      <c r="F3620" t="s">
        <v>55</v>
      </c>
      <c r="G3620">
        <v>12</v>
      </c>
      <c r="H3620" t="s">
        <v>121</v>
      </c>
      <c r="I3620">
        <v>0.5</v>
      </c>
      <c r="J3620">
        <v>0.5</v>
      </c>
      <c r="K3620" t="s">
        <v>122</v>
      </c>
      <c r="L3620" t="s">
        <v>113</v>
      </c>
      <c r="M3620" t="s">
        <v>123</v>
      </c>
      <c r="N3620" t="s">
        <v>96</v>
      </c>
      <c r="O3620" t="s">
        <v>256</v>
      </c>
    </row>
    <row r="3621" spans="1:15" x14ac:dyDescent="0.2">
      <c r="A3621">
        <v>38</v>
      </c>
      <c r="B3621">
        <v>39</v>
      </c>
      <c r="C3621">
        <v>38</v>
      </c>
      <c r="D3621">
        <v>37</v>
      </c>
      <c r="E3621" t="s">
        <v>251</v>
      </c>
      <c r="F3621" t="s">
        <v>55</v>
      </c>
      <c r="G3621">
        <v>13</v>
      </c>
      <c r="H3621" t="s">
        <v>124</v>
      </c>
      <c r="I3621">
        <v>0.25</v>
      </c>
      <c r="J3621">
        <v>0.5</v>
      </c>
      <c r="K3621" t="s">
        <v>122</v>
      </c>
      <c r="L3621" t="s">
        <v>125</v>
      </c>
      <c r="M3621" t="s">
        <v>126</v>
      </c>
      <c r="N3621" t="s">
        <v>96</v>
      </c>
      <c r="O3621" t="s">
        <v>256</v>
      </c>
    </row>
    <row r="3622" spans="1:15" x14ac:dyDescent="0.2">
      <c r="A3622">
        <v>38</v>
      </c>
      <c r="B3622">
        <v>39</v>
      </c>
      <c r="C3622">
        <v>38</v>
      </c>
      <c r="D3622">
        <v>37</v>
      </c>
      <c r="E3622" t="s">
        <v>251</v>
      </c>
      <c r="F3622" t="s">
        <v>55</v>
      </c>
      <c r="G3622">
        <v>15</v>
      </c>
      <c r="H3622" t="s">
        <v>129</v>
      </c>
      <c r="I3622">
        <v>1</v>
      </c>
      <c r="J3622">
        <v>1</v>
      </c>
      <c r="K3622" t="s">
        <v>130</v>
      </c>
      <c r="L3622" t="s">
        <v>131</v>
      </c>
      <c r="M3622" t="s">
        <v>132</v>
      </c>
      <c r="N3622" t="s">
        <v>107</v>
      </c>
      <c r="O3622" t="s">
        <v>256</v>
      </c>
    </row>
    <row r="3623" spans="1:15" x14ac:dyDescent="0.2">
      <c r="A3623">
        <v>38</v>
      </c>
      <c r="B3623">
        <v>39</v>
      </c>
      <c r="C3623">
        <v>38</v>
      </c>
      <c r="D3623">
        <v>37</v>
      </c>
      <c r="E3623" t="s">
        <v>251</v>
      </c>
      <c r="F3623" t="s">
        <v>55</v>
      </c>
      <c r="G3623">
        <v>17</v>
      </c>
      <c r="H3623" t="s">
        <v>134</v>
      </c>
      <c r="I3623">
        <v>0.25</v>
      </c>
      <c r="J3623">
        <v>1</v>
      </c>
      <c r="K3623" t="s">
        <v>112</v>
      </c>
      <c r="L3623" t="s">
        <v>135</v>
      </c>
      <c r="M3623" t="s">
        <v>136</v>
      </c>
      <c r="N3623" t="s">
        <v>107</v>
      </c>
      <c r="O3623" t="s">
        <v>256</v>
      </c>
    </row>
    <row r="3624" spans="1:15" x14ac:dyDescent="0.2">
      <c r="A3624">
        <v>38</v>
      </c>
      <c r="B3624">
        <v>39</v>
      </c>
      <c r="C3624">
        <v>38</v>
      </c>
      <c r="D3624">
        <v>37</v>
      </c>
      <c r="E3624" t="s">
        <v>251</v>
      </c>
      <c r="F3624" t="s">
        <v>55</v>
      </c>
      <c r="G3624">
        <v>18</v>
      </c>
      <c r="H3624" t="s">
        <v>137</v>
      </c>
      <c r="I3624">
        <v>0</v>
      </c>
      <c r="J3624">
        <v>1</v>
      </c>
      <c r="K3624" t="s">
        <v>112</v>
      </c>
      <c r="L3624" t="s">
        <v>138</v>
      </c>
      <c r="M3624" t="s">
        <v>139</v>
      </c>
      <c r="N3624" t="s">
        <v>107</v>
      </c>
      <c r="O3624" t="s">
        <v>256</v>
      </c>
    </row>
    <row r="3625" spans="1:15" x14ac:dyDescent="0.2">
      <c r="A3625">
        <v>38</v>
      </c>
      <c r="B3625">
        <v>39</v>
      </c>
      <c r="C3625">
        <v>38</v>
      </c>
      <c r="D3625">
        <v>37</v>
      </c>
      <c r="E3625" t="s">
        <v>251</v>
      </c>
      <c r="F3625" t="s">
        <v>55</v>
      </c>
      <c r="G3625">
        <v>19</v>
      </c>
      <c r="H3625" t="s">
        <v>140</v>
      </c>
      <c r="I3625">
        <v>0.25</v>
      </c>
      <c r="J3625">
        <v>1</v>
      </c>
      <c r="K3625" t="s">
        <v>122</v>
      </c>
      <c r="L3625" t="s">
        <v>141</v>
      </c>
      <c r="M3625" t="s">
        <v>142</v>
      </c>
      <c r="N3625" t="s">
        <v>107</v>
      </c>
      <c r="O3625" t="s">
        <v>256</v>
      </c>
    </row>
    <row r="3626" spans="1:15" x14ac:dyDescent="0.2">
      <c r="A3626">
        <v>38</v>
      </c>
      <c r="B3626">
        <v>39</v>
      </c>
      <c r="C3626">
        <v>38</v>
      </c>
      <c r="D3626">
        <v>37</v>
      </c>
      <c r="E3626" t="s">
        <v>251</v>
      </c>
      <c r="F3626" t="s">
        <v>55</v>
      </c>
      <c r="G3626">
        <v>20</v>
      </c>
      <c r="H3626" t="s">
        <v>143</v>
      </c>
      <c r="I3626">
        <v>0</v>
      </c>
      <c r="J3626">
        <v>1</v>
      </c>
      <c r="K3626" t="s">
        <v>122</v>
      </c>
      <c r="L3626" t="s">
        <v>144</v>
      </c>
      <c r="M3626" t="s">
        <v>145</v>
      </c>
      <c r="N3626" t="s">
        <v>107</v>
      </c>
      <c r="O3626" t="s">
        <v>256</v>
      </c>
    </row>
    <row r="3627" spans="1:15" x14ac:dyDescent="0.2">
      <c r="A3627">
        <v>38</v>
      </c>
      <c r="B3627">
        <v>39</v>
      </c>
      <c r="C3627">
        <v>38</v>
      </c>
      <c r="D3627">
        <v>37</v>
      </c>
      <c r="E3627" t="s">
        <v>251</v>
      </c>
      <c r="F3627" t="s">
        <v>55</v>
      </c>
      <c r="G3627">
        <v>22</v>
      </c>
      <c r="H3627" t="s">
        <v>150</v>
      </c>
      <c r="I3627">
        <v>0</v>
      </c>
      <c r="J3627">
        <v>1</v>
      </c>
      <c r="K3627" t="s">
        <v>147</v>
      </c>
      <c r="L3627" t="s">
        <v>151</v>
      </c>
      <c r="M3627" t="s">
        <v>149</v>
      </c>
      <c r="N3627" t="s">
        <v>107</v>
      </c>
      <c r="O3627" t="s">
        <v>256</v>
      </c>
    </row>
    <row r="3628" spans="1:15" x14ac:dyDescent="0.2">
      <c r="A3628">
        <v>38</v>
      </c>
      <c r="B3628">
        <v>39</v>
      </c>
      <c r="C3628">
        <v>38</v>
      </c>
      <c r="D3628">
        <v>37</v>
      </c>
      <c r="E3628" t="s">
        <v>251</v>
      </c>
      <c r="F3628" t="s">
        <v>55</v>
      </c>
      <c r="G3628">
        <v>224</v>
      </c>
      <c r="H3628" t="s">
        <v>152</v>
      </c>
      <c r="I3628" t="s">
        <v>261</v>
      </c>
      <c r="J3628" t="s">
        <v>261</v>
      </c>
      <c r="K3628" t="s">
        <v>153</v>
      </c>
      <c r="L3628" t="s">
        <v>154</v>
      </c>
      <c r="M3628" t="s">
        <v>155</v>
      </c>
      <c r="N3628" t="s">
        <v>107</v>
      </c>
      <c r="O3628" t="s">
        <v>256</v>
      </c>
    </row>
    <row r="3629" spans="1:15" x14ac:dyDescent="0.2">
      <c r="A3629">
        <v>38</v>
      </c>
      <c r="B3629">
        <v>39</v>
      </c>
      <c r="C3629">
        <v>38</v>
      </c>
      <c r="D3629">
        <v>37</v>
      </c>
      <c r="E3629" t="s">
        <v>251</v>
      </c>
      <c r="F3629" t="s">
        <v>55</v>
      </c>
      <c r="G3629">
        <v>222</v>
      </c>
      <c r="H3629" t="s">
        <v>152</v>
      </c>
      <c r="I3629" t="s">
        <v>261</v>
      </c>
      <c r="J3629" t="s">
        <v>261</v>
      </c>
      <c r="K3629" t="s">
        <v>153</v>
      </c>
      <c r="L3629" t="s">
        <v>154</v>
      </c>
      <c r="M3629" t="s">
        <v>155</v>
      </c>
      <c r="N3629" t="s">
        <v>107</v>
      </c>
      <c r="O3629" t="s">
        <v>256</v>
      </c>
    </row>
    <row r="3630" spans="1:15" x14ac:dyDescent="0.2">
      <c r="A3630">
        <v>38</v>
      </c>
      <c r="B3630">
        <v>39</v>
      </c>
      <c r="C3630">
        <v>38</v>
      </c>
      <c r="D3630">
        <v>37</v>
      </c>
      <c r="E3630" t="s">
        <v>251</v>
      </c>
      <c r="F3630" t="s">
        <v>55</v>
      </c>
      <c r="G3630">
        <v>23</v>
      </c>
      <c r="H3630" t="s">
        <v>152</v>
      </c>
      <c r="I3630" t="s">
        <v>261</v>
      </c>
      <c r="J3630" t="s">
        <v>261</v>
      </c>
      <c r="K3630" t="s">
        <v>153</v>
      </c>
      <c r="L3630" t="s">
        <v>154</v>
      </c>
      <c r="M3630" t="s">
        <v>155</v>
      </c>
      <c r="N3630" t="s">
        <v>107</v>
      </c>
      <c r="O3630" t="s">
        <v>256</v>
      </c>
    </row>
    <row r="3631" spans="1:15" x14ac:dyDescent="0.2">
      <c r="A3631">
        <v>38</v>
      </c>
      <c r="B3631">
        <v>39</v>
      </c>
      <c r="C3631">
        <v>38</v>
      </c>
      <c r="D3631">
        <v>37</v>
      </c>
      <c r="E3631" t="s">
        <v>251</v>
      </c>
      <c r="F3631" t="s">
        <v>55</v>
      </c>
      <c r="G3631">
        <v>223</v>
      </c>
      <c r="H3631" t="s">
        <v>152</v>
      </c>
      <c r="I3631" t="s">
        <v>261</v>
      </c>
      <c r="J3631" t="s">
        <v>261</v>
      </c>
      <c r="K3631" t="s">
        <v>153</v>
      </c>
      <c r="L3631" t="s">
        <v>154</v>
      </c>
      <c r="M3631" t="s">
        <v>155</v>
      </c>
      <c r="N3631" t="s">
        <v>107</v>
      </c>
      <c r="O3631" t="s">
        <v>256</v>
      </c>
    </row>
    <row r="3632" spans="1:15" x14ac:dyDescent="0.2">
      <c r="A3632">
        <v>38</v>
      </c>
      <c r="B3632">
        <v>39</v>
      </c>
      <c r="C3632">
        <v>38</v>
      </c>
      <c r="D3632">
        <v>37</v>
      </c>
      <c r="E3632" t="s">
        <v>251</v>
      </c>
      <c r="F3632" t="s">
        <v>55</v>
      </c>
      <c r="G3632">
        <v>999</v>
      </c>
      <c r="H3632" t="s">
        <v>152</v>
      </c>
      <c r="I3632">
        <v>0.5</v>
      </c>
      <c r="J3632">
        <v>1</v>
      </c>
      <c r="K3632" t="s">
        <v>153</v>
      </c>
      <c r="L3632" t="s">
        <v>154</v>
      </c>
      <c r="M3632" t="s">
        <v>155</v>
      </c>
      <c r="N3632" t="s">
        <v>107</v>
      </c>
      <c r="O3632" t="s">
        <v>256</v>
      </c>
    </row>
    <row r="3633" spans="1:15" x14ac:dyDescent="0.2">
      <c r="A3633">
        <v>38</v>
      </c>
      <c r="B3633">
        <v>39</v>
      </c>
      <c r="C3633">
        <v>38</v>
      </c>
      <c r="D3633">
        <v>37</v>
      </c>
      <c r="E3633" t="s">
        <v>251</v>
      </c>
      <c r="F3633" t="s">
        <v>55</v>
      </c>
      <c r="G3633">
        <v>2222</v>
      </c>
      <c r="H3633" t="s">
        <v>152</v>
      </c>
      <c r="I3633">
        <v>1</v>
      </c>
      <c r="J3633">
        <v>1</v>
      </c>
      <c r="K3633" t="s">
        <v>153</v>
      </c>
      <c r="L3633" t="s">
        <v>154</v>
      </c>
      <c r="M3633" t="s">
        <v>155</v>
      </c>
      <c r="N3633" t="s">
        <v>107</v>
      </c>
      <c r="O3633" t="s">
        <v>256</v>
      </c>
    </row>
    <row r="3634" spans="1:15" x14ac:dyDescent="0.2">
      <c r="A3634">
        <v>38</v>
      </c>
      <c r="B3634">
        <v>39</v>
      </c>
      <c r="C3634">
        <v>38</v>
      </c>
      <c r="D3634">
        <v>37</v>
      </c>
      <c r="E3634" t="s">
        <v>251</v>
      </c>
      <c r="F3634" t="s">
        <v>55</v>
      </c>
      <c r="G3634">
        <v>1111</v>
      </c>
      <c r="H3634" t="s">
        <v>152</v>
      </c>
      <c r="I3634">
        <v>1</v>
      </c>
      <c r="J3634">
        <v>1</v>
      </c>
      <c r="K3634" t="s">
        <v>153</v>
      </c>
      <c r="L3634" t="s">
        <v>154</v>
      </c>
      <c r="M3634" t="s">
        <v>155</v>
      </c>
      <c r="N3634" t="s">
        <v>107</v>
      </c>
      <c r="O3634" t="s">
        <v>256</v>
      </c>
    </row>
    <row r="3635" spans="1:15" x14ac:dyDescent="0.2">
      <c r="A3635">
        <v>38</v>
      </c>
      <c r="B3635">
        <v>39</v>
      </c>
      <c r="C3635">
        <v>38</v>
      </c>
      <c r="D3635">
        <v>37</v>
      </c>
      <c r="E3635" t="s">
        <v>251</v>
      </c>
      <c r="F3635" t="s">
        <v>55</v>
      </c>
      <c r="G3635">
        <v>26</v>
      </c>
      <c r="H3635" t="s">
        <v>152</v>
      </c>
      <c r="I3635">
        <v>0</v>
      </c>
      <c r="J3635">
        <v>1</v>
      </c>
      <c r="K3635" t="s">
        <v>153</v>
      </c>
      <c r="L3635" t="s">
        <v>154</v>
      </c>
      <c r="M3635" t="s">
        <v>155</v>
      </c>
      <c r="N3635" t="s">
        <v>107</v>
      </c>
      <c r="O3635" t="s">
        <v>256</v>
      </c>
    </row>
    <row r="3636" spans="1:15" x14ac:dyDescent="0.2">
      <c r="A3636">
        <v>38</v>
      </c>
      <c r="B3636">
        <v>39</v>
      </c>
      <c r="C3636">
        <v>38</v>
      </c>
      <c r="D3636">
        <v>37</v>
      </c>
      <c r="E3636" t="s">
        <v>251</v>
      </c>
      <c r="F3636" t="s">
        <v>55</v>
      </c>
      <c r="G3636">
        <v>1112</v>
      </c>
      <c r="H3636" t="s">
        <v>152</v>
      </c>
      <c r="I3636">
        <v>1</v>
      </c>
      <c r="J3636">
        <v>1</v>
      </c>
      <c r="K3636" t="s">
        <v>153</v>
      </c>
      <c r="L3636" t="s">
        <v>154</v>
      </c>
      <c r="M3636" t="s">
        <v>155</v>
      </c>
      <c r="N3636" t="s">
        <v>107</v>
      </c>
      <c r="O3636" t="s">
        <v>256</v>
      </c>
    </row>
    <row r="3637" spans="1:15" x14ac:dyDescent="0.2">
      <c r="A3637">
        <v>38</v>
      </c>
      <c r="B3637">
        <v>39</v>
      </c>
      <c r="C3637">
        <v>38</v>
      </c>
      <c r="D3637">
        <v>37</v>
      </c>
      <c r="E3637" t="s">
        <v>251</v>
      </c>
      <c r="F3637" t="s">
        <v>55</v>
      </c>
      <c r="G3637">
        <v>1113</v>
      </c>
      <c r="H3637" t="s">
        <v>152</v>
      </c>
      <c r="I3637">
        <v>1</v>
      </c>
      <c r="J3637">
        <v>1</v>
      </c>
      <c r="K3637" t="s">
        <v>153</v>
      </c>
      <c r="L3637" t="s">
        <v>154</v>
      </c>
      <c r="M3637" t="s">
        <v>155</v>
      </c>
      <c r="N3637" t="s">
        <v>107</v>
      </c>
      <c r="O3637" t="s">
        <v>256</v>
      </c>
    </row>
    <row r="3638" spans="1:15" x14ac:dyDescent="0.2">
      <c r="A3638">
        <v>38</v>
      </c>
      <c r="B3638">
        <v>39</v>
      </c>
      <c r="C3638">
        <v>38</v>
      </c>
      <c r="D3638">
        <v>37</v>
      </c>
      <c r="E3638" t="s">
        <v>251</v>
      </c>
      <c r="F3638" t="s">
        <v>55</v>
      </c>
      <c r="G3638">
        <v>1114</v>
      </c>
      <c r="H3638" t="s">
        <v>152</v>
      </c>
      <c r="I3638">
        <v>0</v>
      </c>
      <c r="J3638">
        <v>0</v>
      </c>
      <c r="K3638" t="s">
        <v>153</v>
      </c>
      <c r="L3638" t="s">
        <v>154</v>
      </c>
      <c r="M3638" t="s">
        <v>155</v>
      </c>
      <c r="N3638" t="s">
        <v>107</v>
      </c>
      <c r="O3638" t="s">
        <v>256</v>
      </c>
    </row>
    <row r="3639" spans="1:15" x14ac:dyDescent="0.2">
      <c r="A3639">
        <v>38</v>
      </c>
      <c r="B3639">
        <v>39</v>
      </c>
      <c r="C3639">
        <v>38</v>
      </c>
      <c r="D3639">
        <v>37</v>
      </c>
      <c r="E3639" t="s">
        <v>251</v>
      </c>
      <c r="F3639" t="s">
        <v>55</v>
      </c>
      <c r="G3639">
        <v>500</v>
      </c>
      <c r="H3639" t="s">
        <v>156</v>
      </c>
      <c r="I3639">
        <v>0.25</v>
      </c>
      <c r="J3639">
        <v>0.5</v>
      </c>
      <c r="K3639" t="s">
        <v>122</v>
      </c>
      <c r="L3639" t="s">
        <v>157</v>
      </c>
      <c r="M3639" t="s">
        <v>158</v>
      </c>
      <c r="N3639" t="s">
        <v>107</v>
      </c>
      <c r="O3639" t="s">
        <v>256</v>
      </c>
    </row>
    <row r="3640" spans="1:15" x14ac:dyDescent="0.2">
      <c r="A3640">
        <v>38</v>
      </c>
      <c r="B3640">
        <v>39</v>
      </c>
      <c r="C3640">
        <v>38</v>
      </c>
      <c r="D3640">
        <v>37</v>
      </c>
      <c r="E3640" t="s">
        <v>251</v>
      </c>
      <c r="F3640" t="s">
        <v>55</v>
      </c>
      <c r="G3640">
        <v>501</v>
      </c>
      <c r="H3640" t="s">
        <v>156</v>
      </c>
      <c r="I3640">
        <v>0</v>
      </c>
      <c r="J3640">
        <v>0</v>
      </c>
      <c r="K3640" t="s">
        <v>122</v>
      </c>
      <c r="L3640" t="s">
        <v>157</v>
      </c>
      <c r="M3640" t="s">
        <v>158</v>
      </c>
      <c r="N3640" t="s">
        <v>107</v>
      </c>
      <c r="O3640" t="s">
        <v>256</v>
      </c>
    </row>
    <row r="3641" spans="1:15" x14ac:dyDescent="0.2">
      <c r="A3641">
        <v>38</v>
      </c>
      <c r="B3641">
        <v>39</v>
      </c>
      <c r="C3641">
        <v>38</v>
      </c>
      <c r="D3641">
        <v>37</v>
      </c>
      <c r="E3641" t="s">
        <v>251</v>
      </c>
      <c r="F3641" t="s">
        <v>55</v>
      </c>
      <c r="G3641">
        <v>502</v>
      </c>
      <c r="H3641" t="s">
        <v>156</v>
      </c>
      <c r="I3641">
        <v>0</v>
      </c>
      <c r="J3641">
        <v>0</v>
      </c>
      <c r="K3641" t="s">
        <v>122</v>
      </c>
      <c r="L3641" t="s">
        <v>157</v>
      </c>
      <c r="M3641" t="s">
        <v>158</v>
      </c>
      <c r="N3641" t="s">
        <v>107</v>
      </c>
      <c r="O3641" t="s">
        <v>256</v>
      </c>
    </row>
    <row r="3642" spans="1:15" x14ac:dyDescent="0.2">
      <c r="A3642">
        <v>38</v>
      </c>
      <c r="B3642">
        <v>39</v>
      </c>
      <c r="C3642">
        <v>38</v>
      </c>
      <c r="D3642">
        <v>37</v>
      </c>
      <c r="E3642" t="s">
        <v>251</v>
      </c>
      <c r="F3642" t="s">
        <v>55</v>
      </c>
      <c r="G3642">
        <v>504</v>
      </c>
      <c r="H3642" t="s">
        <v>262</v>
      </c>
      <c r="I3642">
        <v>1</v>
      </c>
      <c r="J3642">
        <v>0</v>
      </c>
      <c r="K3642" t="s">
        <v>153</v>
      </c>
      <c r="L3642" t="s">
        <v>263</v>
      </c>
      <c r="M3642" t="s">
        <v>264</v>
      </c>
      <c r="N3642" t="s">
        <v>107</v>
      </c>
      <c r="O3642" t="s">
        <v>256</v>
      </c>
    </row>
    <row r="3643" spans="1:15" x14ac:dyDescent="0.2">
      <c r="A3643">
        <v>38</v>
      </c>
      <c r="B3643">
        <v>39</v>
      </c>
      <c r="C3643">
        <v>38</v>
      </c>
      <c r="D3643">
        <v>37</v>
      </c>
      <c r="E3643" t="s">
        <v>251</v>
      </c>
      <c r="F3643" t="s">
        <v>55</v>
      </c>
      <c r="G3643">
        <v>505</v>
      </c>
      <c r="H3643" t="s">
        <v>262</v>
      </c>
      <c r="I3643">
        <v>0.5</v>
      </c>
      <c r="J3643">
        <v>1</v>
      </c>
      <c r="K3643" t="s">
        <v>153</v>
      </c>
      <c r="L3643" t="s">
        <v>263</v>
      </c>
      <c r="M3643" t="s">
        <v>264</v>
      </c>
      <c r="N3643" t="s">
        <v>107</v>
      </c>
      <c r="O3643" t="s">
        <v>256</v>
      </c>
    </row>
    <row r="3644" spans="1:15" x14ac:dyDescent="0.2">
      <c r="A3644">
        <v>38</v>
      </c>
      <c r="B3644">
        <v>39</v>
      </c>
      <c r="C3644">
        <v>38</v>
      </c>
      <c r="D3644">
        <v>37</v>
      </c>
      <c r="E3644" t="s">
        <v>251</v>
      </c>
      <c r="F3644" t="s">
        <v>55</v>
      </c>
      <c r="G3644">
        <v>225</v>
      </c>
      <c r="H3644" t="s">
        <v>265</v>
      </c>
      <c r="I3644">
        <v>0.25</v>
      </c>
      <c r="J3644">
        <v>0.25</v>
      </c>
      <c r="K3644" t="s">
        <v>112</v>
      </c>
      <c r="L3644" t="s">
        <v>266</v>
      </c>
      <c r="M3644" t="s">
        <v>267</v>
      </c>
      <c r="N3644" t="s">
        <v>96</v>
      </c>
      <c r="O3644" t="s">
        <v>256</v>
      </c>
    </row>
    <row r="3645" spans="1:15" x14ac:dyDescent="0.2">
      <c r="A3645">
        <v>38</v>
      </c>
      <c r="B3645">
        <v>39</v>
      </c>
      <c r="C3645">
        <v>38</v>
      </c>
      <c r="D3645">
        <v>37</v>
      </c>
      <c r="E3645" t="s">
        <v>251</v>
      </c>
      <c r="F3645" t="s">
        <v>55</v>
      </c>
      <c r="G3645">
        <v>35</v>
      </c>
      <c r="H3645" t="s">
        <v>165</v>
      </c>
      <c r="I3645">
        <v>0</v>
      </c>
      <c r="J3645">
        <v>1</v>
      </c>
      <c r="K3645" t="s">
        <v>166</v>
      </c>
      <c r="L3645" t="s">
        <v>167</v>
      </c>
      <c r="M3645" t="s">
        <v>168</v>
      </c>
      <c r="N3645" t="s">
        <v>107</v>
      </c>
      <c r="O3645" t="s">
        <v>256</v>
      </c>
    </row>
    <row r="3646" spans="1:15" x14ac:dyDescent="0.2">
      <c r="A3646">
        <v>38</v>
      </c>
      <c r="B3646">
        <v>39</v>
      </c>
      <c r="C3646">
        <v>38</v>
      </c>
      <c r="D3646">
        <v>37</v>
      </c>
      <c r="E3646" t="s">
        <v>251</v>
      </c>
      <c r="F3646" t="s">
        <v>55</v>
      </c>
      <c r="G3646">
        <v>44</v>
      </c>
      <c r="H3646" t="s">
        <v>182</v>
      </c>
      <c r="I3646">
        <v>0</v>
      </c>
      <c r="J3646">
        <v>1</v>
      </c>
      <c r="K3646" t="s">
        <v>166</v>
      </c>
      <c r="L3646" t="s">
        <v>183</v>
      </c>
      <c r="M3646" t="s">
        <v>184</v>
      </c>
      <c r="N3646" t="s">
        <v>107</v>
      </c>
      <c r="O3646" t="s">
        <v>256</v>
      </c>
    </row>
    <row r="3647" spans="1:15" x14ac:dyDescent="0.2">
      <c r="A3647">
        <v>43</v>
      </c>
      <c r="B3647">
        <v>44</v>
      </c>
      <c r="C3647">
        <v>43</v>
      </c>
      <c r="D3647">
        <v>42</v>
      </c>
      <c r="E3647" t="s">
        <v>251</v>
      </c>
      <c r="F3647" t="s">
        <v>56</v>
      </c>
      <c r="G3647">
        <v>99</v>
      </c>
      <c r="H3647" t="s">
        <v>253</v>
      </c>
      <c r="I3647">
        <v>0</v>
      </c>
      <c r="J3647" t="s">
        <v>261</v>
      </c>
      <c r="K3647" t="s">
        <v>93</v>
      </c>
      <c r="L3647" t="s">
        <v>254</v>
      </c>
      <c r="M3647" t="s">
        <v>255</v>
      </c>
      <c r="N3647" t="s">
        <v>107</v>
      </c>
      <c r="O3647" t="s">
        <v>256</v>
      </c>
    </row>
    <row r="3648" spans="1:15" x14ac:dyDescent="0.2">
      <c r="A3648">
        <v>43</v>
      </c>
      <c r="B3648">
        <v>44</v>
      </c>
      <c r="C3648">
        <v>43</v>
      </c>
      <c r="D3648">
        <v>42</v>
      </c>
      <c r="E3648" t="s">
        <v>251</v>
      </c>
      <c r="F3648" t="s">
        <v>56</v>
      </c>
      <c r="G3648">
        <v>98</v>
      </c>
      <c r="H3648" t="s">
        <v>257</v>
      </c>
      <c r="I3648">
        <v>0</v>
      </c>
      <c r="J3648" t="s">
        <v>261</v>
      </c>
      <c r="K3648" t="s">
        <v>93</v>
      </c>
      <c r="L3648" t="s">
        <v>258</v>
      </c>
      <c r="M3648" t="s">
        <v>255</v>
      </c>
      <c r="N3648" t="s">
        <v>107</v>
      </c>
      <c r="O3648" t="s">
        <v>256</v>
      </c>
    </row>
    <row r="3649" spans="1:15" x14ac:dyDescent="0.2">
      <c r="A3649">
        <v>43</v>
      </c>
      <c r="B3649">
        <v>44</v>
      </c>
      <c r="C3649">
        <v>43</v>
      </c>
      <c r="D3649">
        <v>42</v>
      </c>
      <c r="E3649" t="s">
        <v>251</v>
      </c>
      <c r="F3649" t="s">
        <v>56</v>
      </c>
      <c r="G3649">
        <v>97</v>
      </c>
      <c r="H3649" t="s">
        <v>259</v>
      </c>
      <c r="I3649">
        <v>0</v>
      </c>
      <c r="J3649" t="s">
        <v>261</v>
      </c>
      <c r="K3649" t="s">
        <v>93</v>
      </c>
      <c r="L3649" t="s">
        <v>260</v>
      </c>
      <c r="M3649" t="s">
        <v>255</v>
      </c>
      <c r="N3649" t="s">
        <v>107</v>
      </c>
      <c r="O3649" t="s">
        <v>256</v>
      </c>
    </row>
    <row r="3650" spans="1:15" x14ac:dyDescent="0.2">
      <c r="A3650">
        <v>43</v>
      </c>
      <c r="B3650">
        <v>44</v>
      </c>
      <c r="C3650">
        <v>43</v>
      </c>
      <c r="D3650">
        <v>42</v>
      </c>
      <c r="E3650" t="s">
        <v>251</v>
      </c>
      <c r="F3650" t="s">
        <v>56</v>
      </c>
      <c r="G3650">
        <v>2</v>
      </c>
      <c r="H3650" t="s">
        <v>98</v>
      </c>
      <c r="I3650">
        <v>0.5</v>
      </c>
      <c r="J3650">
        <v>0.5</v>
      </c>
      <c r="K3650" t="s">
        <v>93</v>
      </c>
      <c r="L3650" t="s">
        <v>99</v>
      </c>
      <c r="M3650" t="s">
        <v>95</v>
      </c>
      <c r="N3650" t="s">
        <v>96</v>
      </c>
      <c r="O3650" t="s">
        <v>256</v>
      </c>
    </row>
    <row r="3651" spans="1:15" x14ac:dyDescent="0.2">
      <c r="A3651">
        <v>43</v>
      </c>
      <c r="B3651">
        <v>44</v>
      </c>
      <c r="C3651">
        <v>43</v>
      </c>
      <c r="D3651">
        <v>42</v>
      </c>
      <c r="E3651" t="s">
        <v>251</v>
      </c>
      <c r="F3651" t="s">
        <v>56</v>
      </c>
      <c r="G3651">
        <v>3</v>
      </c>
      <c r="H3651" t="s">
        <v>100</v>
      </c>
      <c r="I3651">
        <v>1</v>
      </c>
      <c r="J3651">
        <v>1</v>
      </c>
      <c r="K3651" t="s">
        <v>101</v>
      </c>
      <c r="L3651" t="s">
        <v>102</v>
      </c>
      <c r="M3651" t="s">
        <v>103</v>
      </c>
      <c r="N3651" t="s">
        <v>96</v>
      </c>
      <c r="O3651" t="s">
        <v>256</v>
      </c>
    </row>
    <row r="3652" spans="1:15" x14ac:dyDescent="0.2">
      <c r="A3652">
        <v>43</v>
      </c>
      <c r="B3652">
        <v>44</v>
      </c>
      <c r="C3652">
        <v>43</v>
      </c>
      <c r="D3652">
        <v>42</v>
      </c>
      <c r="E3652" t="s">
        <v>251</v>
      </c>
      <c r="F3652" t="s">
        <v>56</v>
      </c>
      <c r="G3652">
        <v>4</v>
      </c>
      <c r="H3652" t="s">
        <v>104</v>
      </c>
      <c r="I3652">
        <v>0.5</v>
      </c>
      <c r="J3652">
        <v>1</v>
      </c>
      <c r="K3652" t="s">
        <v>101</v>
      </c>
      <c r="L3652" t="s">
        <v>105</v>
      </c>
      <c r="M3652" t="s">
        <v>106</v>
      </c>
      <c r="N3652" t="s">
        <v>107</v>
      </c>
      <c r="O3652" t="s">
        <v>256</v>
      </c>
    </row>
    <row r="3653" spans="1:15" x14ac:dyDescent="0.2">
      <c r="A3653">
        <v>43</v>
      </c>
      <c r="B3653">
        <v>44</v>
      </c>
      <c r="C3653">
        <v>43</v>
      </c>
      <c r="D3653">
        <v>42</v>
      </c>
      <c r="E3653" t="s">
        <v>251</v>
      </c>
      <c r="F3653" t="s">
        <v>56</v>
      </c>
      <c r="G3653">
        <v>5</v>
      </c>
      <c r="H3653" t="s">
        <v>108</v>
      </c>
      <c r="I3653">
        <v>0</v>
      </c>
      <c r="J3653">
        <v>1</v>
      </c>
      <c r="K3653" t="s">
        <v>101</v>
      </c>
      <c r="L3653" t="s">
        <v>109</v>
      </c>
      <c r="M3653" t="s">
        <v>110</v>
      </c>
      <c r="N3653" t="s">
        <v>107</v>
      </c>
      <c r="O3653" t="s">
        <v>256</v>
      </c>
    </row>
    <row r="3654" spans="1:15" x14ac:dyDescent="0.2">
      <c r="A3654">
        <v>43</v>
      </c>
      <c r="B3654">
        <v>44</v>
      </c>
      <c r="C3654">
        <v>43</v>
      </c>
      <c r="D3654">
        <v>42</v>
      </c>
      <c r="E3654" t="s">
        <v>251</v>
      </c>
      <c r="F3654" t="s">
        <v>56</v>
      </c>
      <c r="G3654">
        <v>9</v>
      </c>
      <c r="H3654" t="s">
        <v>111</v>
      </c>
      <c r="I3654">
        <v>0.25</v>
      </c>
      <c r="J3654">
        <v>0.5</v>
      </c>
      <c r="K3654" t="s">
        <v>112</v>
      </c>
      <c r="L3654" t="s">
        <v>113</v>
      </c>
      <c r="M3654" t="s">
        <v>114</v>
      </c>
      <c r="N3654" t="s">
        <v>96</v>
      </c>
      <c r="O3654" t="s">
        <v>256</v>
      </c>
    </row>
    <row r="3655" spans="1:15" x14ac:dyDescent="0.2">
      <c r="A3655">
        <v>43</v>
      </c>
      <c r="B3655">
        <v>44</v>
      </c>
      <c r="C3655">
        <v>43</v>
      </c>
      <c r="D3655">
        <v>42</v>
      </c>
      <c r="E3655" t="s">
        <v>251</v>
      </c>
      <c r="F3655" t="s">
        <v>56</v>
      </c>
      <c r="G3655">
        <v>10</v>
      </c>
      <c r="H3655" t="s">
        <v>115</v>
      </c>
      <c r="I3655">
        <v>0.5</v>
      </c>
      <c r="J3655">
        <v>0.5</v>
      </c>
      <c r="K3655" t="s">
        <v>112</v>
      </c>
      <c r="L3655" t="s">
        <v>116</v>
      </c>
      <c r="M3655" t="s">
        <v>117</v>
      </c>
      <c r="N3655" t="s">
        <v>96</v>
      </c>
      <c r="O3655" t="s">
        <v>256</v>
      </c>
    </row>
    <row r="3656" spans="1:15" x14ac:dyDescent="0.2">
      <c r="A3656">
        <v>43</v>
      </c>
      <c r="B3656">
        <v>44</v>
      </c>
      <c r="C3656">
        <v>43</v>
      </c>
      <c r="D3656">
        <v>42</v>
      </c>
      <c r="E3656" t="s">
        <v>251</v>
      </c>
      <c r="F3656" t="s">
        <v>56</v>
      </c>
      <c r="G3656">
        <v>12</v>
      </c>
      <c r="H3656" t="s">
        <v>121</v>
      </c>
      <c r="I3656">
        <v>0</v>
      </c>
      <c r="J3656">
        <v>0.5</v>
      </c>
      <c r="K3656" t="s">
        <v>122</v>
      </c>
      <c r="L3656" t="s">
        <v>113</v>
      </c>
      <c r="M3656" t="s">
        <v>123</v>
      </c>
      <c r="N3656" t="s">
        <v>96</v>
      </c>
      <c r="O3656" t="s">
        <v>256</v>
      </c>
    </row>
    <row r="3657" spans="1:15" x14ac:dyDescent="0.2">
      <c r="A3657">
        <v>43</v>
      </c>
      <c r="B3657">
        <v>44</v>
      </c>
      <c r="C3657">
        <v>43</v>
      </c>
      <c r="D3657">
        <v>42</v>
      </c>
      <c r="E3657" t="s">
        <v>251</v>
      </c>
      <c r="F3657" t="s">
        <v>56</v>
      </c>
      <c r="G3657">
        <v>13</v>
      </c>
      <c r="H3657" t="s">
        <v>124</v>
      </c>
      <c r="I3657">
        <v>0</v>
      </c>
      <c r="J3657">
        <v>0.5</v>
      </c>
      <c r="K3657" t="s">
        <v>122</v>
      </c>
      <c r="L3657" t="s">
        <v>125</v>
      </c>
      <c r="M3657" t="s">
        <v>126</v>
      </c>
      <c r="N3657" t="s">
        <v>96</v>
      </c>
      <c r="O3657" t="s">
        <v>256</v>
      </c>
    </row>
    <row r="3658" spans="1:15" x14ac:dyDescent="0.2">
      <c r="A3658">
        <v>43</v>
      </c>
      <c r="B3658">
        <v>44</v>
      </c>
      <c r="C3658">
        <v>43</v>
      </c>
      <c r="D3658">
        <v>42</v>
      </c>
      <c r="E3658" t="s">
        <v>251</v>
      </c>
      <c r="F3658" t="s">
        <v>56</v>
      </c>
      <c r="G3658">
        <v>15</v>
      </c>
      <c r="H3658" t="s">
        <v>129</v>
      </c>
      <c r="I3658">
        <v>0</v>
      </c>
      <c r="J3658">
        <v>1</v>
      </c>
      <c r="K3658" t="s">
        <v>130</v>
      </c>
      <c r="L3658" t="s">
        <v>131</v>
      </c>
      <c r="M3658" t="s">
        <v>132</v>
      </c>
      <c r="N3658" t="s">
        <v>107</v>
      </c>
      <c r="O3658" t="s">
        <v>256</v>
      </c>
    </row>
    <row r="3659" spans="1:15" x14ac:dyDescent="0.2">
      <c r="A3659">
        <v>43</v>
      </c>
      <c r="B3659">
        <v>44</v>
      </c>
      <c r="C3659">
        <v>43</v>
      </c>
      <c r="D3659">
        <v>42</v>
      </c>
      <c r="E3659" t="s">
        <v>251</v>
      </c>
      <c r="F3659" t="s">
        <v>56</v>
      </c>
      <c r="G3659">
        <v>17</v>
      </c>
      <c r="H3659" t="s">
        <v>134</v>
      </c>
      <c r="I3659">
        <v>0.5</v>
      </c>
      <c r="J3659">
        <v>1</v>
      </c>
      <c r="K3659" t="s">
        <v>112</v>
      </c>
      <c r="L3659" t="s">
        <v>135</v>
      </c>
      <c r="M3659" t="s">
        <v>136</v>
      </c>
      <c r="N3659" t="s">
        <v>107</v>
      </c>
      <c r="O3659" t="s">
        <v>256</v>
      </c>
    </row>
    <row r="3660" spans="1:15" x14ac:dyDescent="0.2">
      <c r="A3660">
        <v>43</v>
      </c>
      <c r="B3660">
        <v>44</v>
      </c>
      <c r="C3660">
        <v>43</v>
      </c>
      <c r="D3660">
        <v>42</v>
      </c>
      <c r="E3660" t="s">
        <v>251</v>
      </c>
      <c r="F3660" t="s">
        <v>56</v>
      </c>
      <c r="G3660">
        <v>18</v>
      </c>
      <c r="H3660" t="s">
        <v>137</v>
      </c>
      <c r="I3660">
        <v>1</v>
      </c>
      <c r="J3660">
        <v>1</v>
      </c>
      <c r="K3660" t="s">
        <v>112</v>
      </c>
      <c r="L3660" t="s">
        <v>138</v>
      </c>
      <c r="M3660" t="s">
        <v>139</v>
      </c>
      <c r="N3660" t="s">
        <v>107</v>
      </c>
      <c r="O3660" t="s">
        <v>256</v>
      </c>
    </row>
    <row r="3661" spans="1:15" x14ac:dyDescent="0.2">
      <c r="A3661">
        <v>43</v>
      </c>
      <c r="B3661">
        <v>44</v>
      </c>
      <c r="C3661">
        <v>43</v>
      </c>
      <c r="D3661">
        <v>42</v>
      </c>
      <c r="E3661" t="s">
        <v>251</v>
      </c>
      <c r="F3661" t="s">
        <v>56</v>
      </c>
      <c r="G3661">
        <v>19</v>
      </c>
      <c r="H3661" t="s">
        <v>140</v>
      </c>
      <c r="I3661">
        <v>0.25</v>
      </c>
      <c r="J3661">
        <v>1</v>
      </c>
      <c r="K3661" t="s">
        <v>122</v>
      </c>
      <c r="L3661" t="s">
        <v>141</v>
      </c>
      <c r="M3661" t="s">
        <v>142</v>
      </c>
      <c r="N3661" t="s">
        <v>107</v>
      </c>
      <c r="O3661" t="s">
        <v>256</v>
      </c>
    </row>
    <row r="3662" spans="1:15" x14ac:dyDescent="0.2">
      <c r="A3662">
        <v>43</v>
      </c>
      <c r="B3662">
        <v>44</v>
      </c>
      <c r="C3662">
        <v>43</v>
      </c>
      <c r="D3662">
        <v>42</v>
      </c>
      <c r="E3662" t="s">
        <v>251</v>
      </c>
      <c r="F3662" t="s">
        <v>56</v>
      </c>
      <c r="G3662">
        <v>20</v>
      </c>
      <c r="H3662" t="s">
        <v>143</v>
      </c>
      <c r="I3662">
        <v>0</v>
      </c>
      <c r="J3662">
        <v>1</v>
      </c>
      <c r="K3662" t="s">
        <v>122</v>
      </c>
      <c r="L3662" t="s">
        <v>144</v>
      </c>
      <c r="M3662" t="s">
        <v>145</v>
      </c>
      <c r="N3662" t="s">
        <v>107</v>
      </c>
      <c r="O3662" t="s">
        <v>256</v>
      </c>
    </row>
    <row r="3663" spans="1:15" x14ac:dyDescent="0.2">
      <c r="A3663">
        <v>43</v>
      </c>
      <c r="B3663">
        <v>44</v>
      </c>
      <c r="C3663">
        <v>43</v>
      </c>
      <c r="D3663">
        <v>42</v>
      </c>
      <c r="E3663" t="s">
        <v>251</v>
      </c>
      <c r="F3663" t="s">
        <v>56</v>
      </c>
      <c r="G3663">
        <v>22</v>
      </c>
      <c r="H3663" t="s">
        <v>150</v>
      </c>
      <c r="I3663">
        <v>0</v>
      </c>
      <c r="J3663">
        <v>1</v>
      </c>
      <c r="K3663" t="s">
        <v>147</v>
      </c>
      <c r="L3663" t="s">
        <v>151</v>
      </c>
      <c r="M3663" t="s">
        <v>149</v>
      </c>
      <c r="N3663" t="s">
        <v>107</v>
      </c>
      <c r="O3663" t="s">
        <v>256</v>
      </c>
    </row>
    <row r="3664" spans="1:15" x14ac:dyDescent="0.2">
      <c r="A3664">
        <v>43</v>
      </c>
      <c r="B3664">
        <v>44</v>
      </c>
      <c r="C3664">
        <v>43</v>
      </c>
      <c r="D3664">
        <v>42</v>
      </c>
      <c r="E3664" t="s">
        <v>251</v>
      </c>
      <c r="F3664" t="s">
        <v>56</v>
      </c>
      <c r="G3664">
        <v>224</v>
      </c>
      <c r="H3664" t="s">
        <v>152</v>
      </c>
      <c r="I3664" t="s">
        <v>261</v>
      </c>
      <c r="J3664" t="s">
        <v>261</v>
      </c>
      <c r="K3664" t="s">
        <v>153</v>
      </c>
      <c r="L3664" t="s">
        <v>154</v>
      </c>
      <c r="M3664" t="s">
        <v>155</v>
      </c>
      <c r="N3664" t="s">
        <v>107</v>
      </c>
      <c r="O3664" t="s">
        <v>256</v>
      </c>
    </row>
    <row r="3665" spans="1:15" x14ac:dyDescent="0.2">
      <c r="A3665">
        <v>43</v>
      </c>
      <c r="B3665">
        <v>44</v>
      </c>
      <c r="C3665">
        <v>43</v>
      </c>
      <c r="D3665">
        <v>42</v>
      </c>
      <c r="E3665" t="s">
        <v>251</v>
      </c>
      <c r="F3665" t="s">
        <v>56</v>
      </c>
      <c r="G3665">
        <v>222</v>
      </c>
      <c r="H3665" t="s">
        <v>152</v>
      </c>
      <c r="I3665" t="s">
        <v>261</v>
      </c>
      <c r="J3665" t="s">
        <v>261</v>
      </c>
      <c r="K3665" t="s">
        <v>153</v>
      </c>
      <c r="L3665" t="s">
        <v>154</v>
      </c>
      <c r="M3665" t="s">
        <v>155</v>
      </c>
      <c r="N3665" t="s">
        <v>107</v>
      </c>
      <c r="O3665" t="s">
        <v>256</v>
      </c>
    </row>
    <row r="3666" spans="1:15" x14ac:dyDescent="0.2">
      <c r="A3666">
        <v>43</v>
      </c>
      <c r="B3666">
        <v>44</v>
      </c>
      <c r="C3666">
        <v>43</v>
      </c>
      <c r="D3666">
        <v>42</v>
      </c>
      <c r="E3666" t="s">
        <v>251</v>
      </c>
      <c r="F3666" t="s">
        <v>56</v>
      </c>
      <c r="G3666">
        <v>23</v>
      </c>
      <c r="H3666" t="s">
        <v>152</v>
      </c>
      <c r="I3666" t="s">
        <v>261</v>
      </c>
      <c r="J3666" t="s">
        <v>261</v>
      </c>
      <c r="K3666" t="s">
        <v>153</v>
      </c>
      <c r="L3666" t="s">
        <v>154</v>
      </c>
      <c r="M3666" t="s">
        <v>155</v>
      </c>
      <c r="N3666" t="s">
        <v>107</v>
      </c>
      <c r="O3666" t="s">
        <v>256</v>
      </c>
    </row>
    <row r="3667" spans="1:15" x14ac:dyDescent="0.2">
      <c r="A3667">
        <v>43</v>
      </c>
      <c r="B3667">
        <v>44</v>
      </c>
      <c r="C3667">
        <v>43</v>
      </c>
      <c r="D3667">
        <v>42</v>
      </c>
      <c r="E3667" t="s">
        <v>251</v>
      </c>
      <c r="F3667" t="s">
        <v>56</v>
      </c>
      <c r="G3667">
        <v>223</v>
      </c>
      <c r="H3667" t="s">
        <v>152</v>
      </c>
      <c r="I3667" t="s">
        <v>261</v>
      </c>
      <c r="J3667" t="s">
        <v>261</v>
      </c>
      <c r="K3667" t="s">
        <v>153</v>
      </c>
      <c r="L3667" t="s">
        <v>154</v>
      </c>
      <c r="M3667" t="s">
        <v>155</v>
      </c>
      <c r="N3667" t="s">
        <v>107</v>
      </c>
      <c r="O3667" t="s">
        <v>256</v>
      </c>
    </row>
    <row r="3668" spans="1:15" x14ac:dyDescent="0.2">
      <c r="A3668">
        <v>43</v>
      </c>
      <c r="B3668">
        <v>44</v>
      </c>
      <c r="C3668">
        <v>43</v>
      </c>
      <c r="D3668">
        <v>42</v>
      </c>
      <c r="E3668" t="s">
        <v>251</v>
      </c>
      <c r="F3668" t="s">
        <v>56</v>
      </c>
      <c r="G3668">
        <v>999</v>
      </c>
      <c r="H3668" t="s">
        <v>152</v>
      </c>
      <c r="I3668">
        <v>0</v>
      </c>
      <c r="J3668">
        <v>1</v>
      </c>
      <c r="K3668" t="s">
        <v>153</v>
      </c>
      <c r="L3668" t="s">
        <v>154</v>
      </c>
      <c r="M3668" t="s">
        <v>155</v>
      </c>
      <c r="N3668" t="s">
        <v>107</v>
      </c>
      <c r="O3668" t="s">
        <v>256</v>
      </c>
    </row>
    <row r="3669" spans="1:15" x14ac:dyDescent="0.2">
      <c r="A3669">
        <v>43</v>
      </c>
      <c r="B3669">
        <v>44</v>
      </c>
      <c r="C3669">
        <v>43</v>
      </c>
      <c r="D3669">
        <v>42</v>
      </c>
      <c r="E3669" t="s">
        <v>251</v>
      </c>
      <c r="F3669" t="s">
        <v>56</v>
      </c>
      <c r="G3669">
        <v>2222</v>
      </c>
      <c r="H3669" t="s">
        <v>152</v>
      </c>
      <c r="I3669">
        <v>0.25</v>
      </c>
      <c r="J3669">
        <v>1</v>
      </c>
      <c r="K3669" t="s">
        <v>153</v>
      </c>
      <c r="L3669" t="s">
        <v>154</v>
      </c>
      <c r="M3669" t="s">
        <v>155</v>
      </c>
      <c r="N3669" t="s">
        <v>107</v>
      </c>
      <c r="O3669" t="s">
        <v>256</v>
      </c>
    </row>
    <row r="3670" spans="1:15" x14ac:dyDescent="0.2">
      <c r="A3670">
        <v>43</v>
      </c>
      <c r="B3670">
        <v>44</v>
      </c>
      <c r="C3670">
        <v>43</v>
      </c>
      <c r="D3670">
        <v>42</v>
      </c>
      <c r="E3670" t="s">
        <v>251</v>
      </c>
      <c r="F3670" t="s">
        <v>56</v>
      </c>
      <c r="G3670">
        <v>1111</v>
      </c>
      <c r="H3670" t="s">
        <v>152</v>
      </c>
      <c r="I3670">
        <v>0.5</v>
      </c>
      <c r="J3670">
        <v>1</v>
      </c>
      <c r="K3670" t="s">
        <v>153</v>
      </c>
      <c r="L3670" t="s">
        <v>154</v>
      </c>
      <c r="M3670" t="s">
        <v>155</v>
      </c>
      <c r="N3670" t="s">
        <v>107</v>
      </c>
      <c r="O3670" t="s">
        <v>256</v>
      </c>
    </row>
    <row r="3671" spans="1:15" x14ac:dyDescent="0.2">
      <c r="A3671">
        <v>43</v>
      </c>
      <c r="B3671">
        <v>44</v>
      </c>
      <c r="C3671">
        <v>43</v>
      </c>
      <c r="D3671">
        <v>42</v>
      </c>
      <c r="E3671" t="s">
        <v>251</v>
      </c>
      <c r="F3671" t="s">
        <v>56</v>
      </c>
      <c r="G3671">
        <v>26</v>
      </c>
      <c r="H3671" t="s">
        <v>152</v>
      </c>
      <c r="I3671">
        <v>0</v>
      </c>
      <c r="J3671">
        <v>1</v>
      </c>
      <c r="K3671" t="s">
        <v>153</v>
      </c>
      <c r="L3671" t="s">
        <v>154</v>
      </c>
      <c r="M3671" t="s">
        <v>155</v>
      </c>
      <c r="N3671" t="s">
        <v>107</v>
      </c>
      <c r="O3671" t="s">
        <v>256</v>
      </c>
    </row>
    <row r="3672" spans="1:15" x14ac:dyDescent="0.2">
      <c r="A3672">
        <v>43</v>
      </c>
      <c r="B3672">
        <v>44</v>
      </c>
      <c r="C3672">
        <v>43</v>
      </c>
      <c r="D3672">
        <v>42</v>
      </c>
      <c r="E3672" t="s">
        <v>251</v>
      </c>
      <c r="F3672" t="s">
        <v>56</v>
      </c>
      <c r="G3672">
        <v>1112</v>
      </c>
      <c r="H3672" t="s">
        <v>152</v>
      </c>
      <c r="I3672">
        <v>1</v>
      </c>
      <c r="J3672">
        <v>1</v>
      </c>
      <c r="K3672" t="s">
        <v>153</v>
      </c>
      <c r="L3672" t="s">
        <v>154</v>
      </c>
      <c r="M3672" t="s">
        <v>155</v>
      </c>
      <c r="N3672" t="s">
        <v>107</v>
      </c>
      <c r="O3672" t="s">
        <v>256</v>
      </c>
    </row>
    <row r="3673" spans="1:15" x14ac:dyDescent="0.2">
      <c r="A3673">
        <v>43</v>
      </c>
      <c r="B3673">
        <v>44</v>
      </c>
      <c r="C3673">
        <v>43</v>
      </c>
      <c r="D3673">
        <v>42</v>
      </c>
      <c r="E3673" t="s">
        <v>251</v>
      </c>
      <c r="F3673" t="s">
        <v>56</v>
      </c>
      <c r="G3673">
        <v>1113</v>
      </c>
      <c r="H3673" t="s">
        <v>152</v>
      </c>
      <c r="I3673">
        <v>0.25</v>
      </c>
      <c r="J3673">
        <v>1</v>
      </c>
      <c r="K3673" t="s">
        <v>153</v>
      </c>
      <c r="L3673" t="s">
        <v>154</v>
      </c>
      <c r="M3673" t="s">
        <v>155</v>
      </c>
      <c r="N3673" t="s">
        <v>107</v>
      </c>
      <c r="O3673" t="s">
        <v>256</v>
      </c>
    </row>
    <row r="3674" spans="1:15" x14ac:dyDescent="0.2">
      <c r="A3674">
        <v>43</v>
      </c>
      <c r="B3674">
        <v>44</v>
      </c>
      <c r="C3674">
        <v>43</v>
      </c>
      <c r="D3674">
        <v>42</v>
      </c>
      <c r="E3674" t="s">
        <v>251</v>
      </c>
      <c r="F3674" t="s">
        <v>56</v>
      </c>
      <c r="G3674">
        <v>1114</v>
      </c>
      <c r="H3674" t="s">
        <v>152</v>
      </c>
      <c r="I3674">
        <v>0</v>
      </c>
      <c r="J3674">
        <v>0</v>
      </c>
      <c r="K3674" t="s">
        <v>153</v>
      </c>
      <c r="L3674" t="s">
        <v>154</v>
      </c>
      <c r="M3674" t="s">
        <v>155</v>
      </c>
      <c r="N3674" t="s">
        <v>107</v>
      </c>
      <c r="O3674" t="s">
        <v>256</v>
      </c>
    </row>
    <row r="3675" spans="1:15" x14ac:dyDescent="0.2">
      <c r="A3675">
        <v>43</v>
      </c>
      <c r="B3675">
        <v>44</v>
      </c>
      <c r="C3675">
        <v>43</v>
      </c>
      <c r="D3675">
        <v>42</v>
      </c>
      <c r="E3675" t="s">
        <v>251</v>
      </c>
      <c r="F3675" t="s">
        <v>56</v>
      </c>
      <c r="G3675">
        <v>500</v>
      </c>
      <c r="H3675" t="s">
        <v>156</v>
      </c>
      <c r="I3675">
        <v>0</v>
      </c>
      <c r="J3675">
        <v>0.5</v>
      </c>
      <c r="K3675" t="s">
        <v>122</v>
      </c>
      <c r="L3675" t="s">
        <v>157</v>
      </c>
      <c r="M3675" t="s">
        <v>158</v>
      </c>
      <c r="N3675" t="s">
        <v>107</v>
      </c>
      <c r="O3675" t="s">
        <v>256</v>
      </c>
    </row>
    <row r="3676" spans="1:15" x14ac:dyDescent="0.2">
      <c r="A3676">
        <v>43</v>
      </c>
      <c r="B3676">
        <v>44</v>
      </c>
      <c r="C3676">
        <v>43</v>
      </c>
      <c r="D3676">
        <v>42</v>
      </c>
      <c r="E3676" t="s">
        <v>251</v>
      </c>
      <c r="F3676" t="s">
        <v>56</v>
      </c>
      <c r="G3676">
        <v>501</v>
      </c>
      <c r="H3676" t="s">
        <v>156</v>
      </c>
      <c r="I3676">
        <v>0</v>
      </c>
      <c r="J3676">
        <v>0</v>
      </c>
      <c r="K3676" t="s">
        <v>122</v>
      </c>
      <c r="L3676" t="s">
        <v>157</v>
      </c>
      <c r="M3676" t="s">
        <v>158</v>
      </c>
      <c r="N3676" t="s">
        <v>107</v>
      </c>
      <c r="O3676" t="s">
        <v>256</v>
      </c>
    </row>
    <row r="3677" spans="1:15" x14ac:dyDescent="0.2">
      <c r="A3677">
        <v>43</v>
      </c>
      <c r="B3677">
        <v>44</v>
      </c>
      <c r="C3677">
        <v>43</v>
      </c>
      <c r="D3677">
        <v>42</v>
      </c>
      <c r="E3677" t="s">
        <v>251</v>
      </c>
      <c r="F3677" t="s">
        <v>56</v>
      </c>
      <c r="G3677">
        <v>502</v>
      </c>
      <c r="H3677" t="s">
        <v>156</v>
      </c>
      <c r="I3677">
        <v>0</v>
      </c>
      <c r="J3677">
        <v>0</v>
      </c>
      <c r="K3677" t="s">
        <v>122</v>
      </c>
      <c r="L3677" t="s">
        <v>157</v>
      </c>
      <c r="M3677" t="s">
        <v>158</v>
      </c>
      <c r="N3677" t="s">
        <v>107</v>
      </c>
      <c r="O3677" t="s">
        <v>256</v>
      </c>
    </row>
    <row r="3678" spans="1:15" x14ac:dyDescent="0.2">
      <c r="A3678">
        <v>43</v>
      </c>
      <c r="B3678">
        <v>44</v>
      </c>
      <c r="C3678">
        <v>43</v>
      </c>
      <c r="D3678">
        <v>42</v>
      </c>
      <c r="E3678" t="s">
        <v>251</v>
      </c>
      <c r="F3678" t="s">
        <v>56</v>
      </c>
      <c r="G3678">
        <v>504</v>
      </c>
      <c r="H3678" t="s">
        <v>262</v>
      </c>
      <c r="I3678">
        <v>1</v>
      </c>
      <c r="J3678">
        <v>0</v>
      </c>
      <c r="K3678" t="s">
        <v>153</v>
      </c>
      <c r="L3678" t="s">
        <v>263</v>
      </c>
      <c r="M3678" t="s">
        <v>264</v>
      </c>
      <c r="N3678" t="s">
        <v>107</v>
      </c>
      <c r="O3678" t="s">
        <v>256</v>
      </c>
    </row>
    <row r="3679" spans="1:15" x14ac:dyDescent="0.2">
      <c r="A3679">
        <v>43</v>
      </c>
      <c r="B3679">
        <v>44</v>
      </c>
      <c r="C3679">
        <v>43</v>
      </c>
      <c r="D3679">
        <v>42</v>
      </c>
      <c r="E3679" t="s">
        <v>251</v>
      </c>
      <c r="F3679" t="s">
        <v>56</v>
      </c>
      <c r="G3679">
        <v>505</v>
      </c>
      <c r="H3679" t="s">
        <v>262</v>
      </c>
      <c r="I3679">
        <v>0.25</v>
      </c>
      <c r="J3679">
        <v>1</v>
      </c>
      <c r="K3679" t="s">
        <v>153</v>
      </c>
      <c r="L3679" t="s">
        <v>263</v>
      </c>
      <c r="M3679" t="s">
        <v>264</v>
      </c>
      <c r="N3679" t="s">
        <v>107</v>
      </c>
      <c r="O3679" t="s">
        <v>256</v>
      </c>
    </row>
    <row r="3680" spans="1:15" x14ac:dyDescent="0.2">
      <c r="A3680">
        <v>43</v>
      </c>
      <c r="B3680">
        <v>44</v>
      </c>
      <c r="C3680">
        <v>43</v>
      </c>
      <c r="D3680">
        <v>42</v>
      </c>
      <c r="E3680" t="s">
        <v>251</v>
      </c>
      <c r="F3680" t="s">
        <v>56</v>
      </c>
      <c r="G3680">
        <v>225</v>
      </c>
      <c r="H3680" t="s">
        <v>265</v>
      </c>
      <c r="I3680">
        <v>0.25</v>
      </c>
      <c r="J3680">
        <v>0.25</v>
      </c>
      <c r="K3680" t="s">
        <v>112</v>
      </c>
      <c r="L3680" t="s">
        <v>266</v>
      </c>
      <c r="M3680" t="s">
        <v>267</v>
      </c>
      <c r="N3680" t="s">
        <v>96</v>
      </c>
      <c r="O3680" t="s">
        <v>256</v>
      </c>
    </row>
    <row r="3681" spans="1:15" x14ac:dyDescent="0.2">
      <c r="A3681">
        <v>43</v>
      </c>
      <c r="B3681">
        <v>44</v>
      </c>
      <c r="C3681">
        <v>43</v>
      </c>
      <c r="D3681">
        <v>42</v>
      </c>
      <c r="E3681" t="s">
        <v>251</v>
      </c>
      <c r="F3681" t="s">
        <v>56</v>
      </c>
      <c r="G3681">
        <v>35</v>
      </c>
      <c r="H3681" t="s">
        <v>165</v>
      </c>
      <c r="I3681">
        <v>0</v>
      </c>
      <c r="J3681">
        <v>1</v>
      </c>
      <c r="K3681" t="s">
        <v>166</v>
      </c>
      <c r="L3681" t="s">
        <v>167</v>
      </c>
      <c r="M3681" t="s">
        <v>168</v>
      </c>
      <c r="N3681" t="s">
        <v>107</v>
      </c>
      <c r="O3681" t="s">
        <v>256</v>
      </c>
    </row>
    <row r="3682" spans="1:15" x14ac:dyDescent="0.2">
      <c r="A3682">
        <v>43</v>
      </c>
      <c r="B3682">
        <v>44</v>
      </c>
      <c r="C3682">
        <v>43</v>
      </c>
      <c r="D3682">
        <v>42</v>
      </c>
      <c r="E3682" t="s">
        <v>251</v>
      </c>
      <c r="F3682" t="s">
        <v>56</v>
      </c>
      <c r="G3682">
        <v>44</v>
      </c>
      <c r="H3682" t="s">
        <v>182</v>
      </c>
      <c r="I3682">
        <v>0</v>
      </c>
      <c r="J3682">
        <v>1</v>
      </c>
      <c r="K3682" t="s">
        <v>166</v>
      </c>
      <c r="L3682" t="s">
        <v>183</v>
      </c>
      <c r="M3682" t="s">
        <v>184</v>
      </c>
      <c r="N3682" t="s">
        <v>107</v>
      </c>
      <c r="O3682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титул</vt:lpstr>
      <vt:lpstr>деталка</vt:lpstr>
      <vt:lpstr>metric_dict</vt:lpstr>
      <vt:lpstr>резерв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Черкова Мария Юрьевна</dc:creator>
  <cp:lastModifiedBy>Roman</cp:lastModifiedBy>
  <dcterms:created xsi:type="dcterms:W3CDTF">2026-07-02T17:02:15Z</dcterms:created>
  <dcterms:modified xsi:type="dcterms:W3CDTF">2026-07-06T14:22:42Z</dcterms:modified>
</cp:coreProperties>
</file>