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4" autoFilterDateGrouping="1"/>
  </bookViews>
  <sheets>
    <sheet name="Лист1" sheetId="1" state="visible" r:id="rId1"/>
    <sheet name="УБ" sheetId="2" state="visible" r:id="rId2"/>
    <sheet name="ВЗР" sheetId="3" state="visible" r:id="rId3"/>
    <sheet name="DB" sheetId="4" state="visible" r:id="rId4"/>
    <sheet name="СВР" sheetId="5" state="visible" r:id="rId5"/>
    <sheet name="CX" sheetId="6" state="visible" r:id="rId6"/>
    <sheet name="Data" sheetId="7" state="visible" r:id="rId7"/>
    <sheet name="DP" sheetId="8" state="visible" r:id="rId8"/>
    <sheet name="PC" sheetId="9" state="visible" r:id="rId9"/>
    <sheet name="ДомКлик" sheetId="10" state="visible" r:id="rId10"/>
  </sheets>
  <externalReferences>
    <externalReference r:id="rId12"/>
    <externalReference r:id="rId13"/>
  </externalReferences>
  <definedNames>
    <definedName name="_xlnm._FilterDatabase" localSheetId="1" hidden="1">'УБ'!$B$1:$J$313</definedName>
    <definedName name="_xlnm._FilterDatabase" localSheetId="2" hidden="1">'ВЗР'!$A$1:$K$1</definedName>
    <definedName name="_xlnm._FilterDatabase" localSheetId="5" hidden="1">'CX'!$B$1:$J$34</definedName>
  </definedNames>
  <calcPr calcId="162913" fullCalcOnLoad="1"/>
  <pivotCaches>
    <pivotCache cacheId="1" r:id="rId11"/>
  </pivotCaches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yyyy-mm-dd h:mm:ss"/>
  </numFmts>
  <fonts count="31">
    <font>
      <name val="Times New Roman"/>
      <charset val="204"/>
      <family val="2"/>
      <color theme="1"/>
      <sz val="12"/>
    </font>
    <font>
      <name val="Times New Roman"/>
      <charset val="204"/>
      <family val="2"/>
      <color theme="1"/>
      <sz val="12"/>
    </font>
    <font>
      <name val="Times New Roman"/>
      <charset val="204"/>
      <family val="2"/>
      <color rgb="FF006100"/>
      <sz val="12"/>
    </font>
    <font>
      <name val="Times New Roman"/>
      <charset val="204"/>
      <family val="2"/>
      <color rgb="FF9C0006"/>
      <sz val="12"/>
    </font>
    <font>
      <name val="Times New Roman"/>
      <charset val="204"/>
      <family val="2"/>
      <color rgb="FF9C6500"/>
      <sz val="12"/>
    </font>
    <font>
      <name val="Liberation Sans"/>
      <color rgb="FF172B4D"/>
      <sz val="10.5"/>
    </font>
    <font>
      <name val="Liberation Sans"/>
      <charset val="204"/>
      <b val="1"/>
      <color rgb="FF172B4D"/>
      <sz val="10.5"/>
    </font>
    <font>
      <name val="Liberation Sans"/>
      <b val="1"/>
      <color rgb="FF172B4D"/>
      <sz val="10.5"/>
    </font>
    <font>
      <name val="Liberation Sans"/>
      <color theme="10"/>
      <sz val="11"/>
      <u val="single"/>
    </font>
    <font>
      <name val="Times New Roman"/>
      <charset val="204"/>
      <family val="1"/>
      <color indexed="64"/>
      <sz val="10"/>
    </font>
    <font>
      <name val="Times New Roman"/>
      <charset val="204"/>
      <family val="1"/>
      <color rgb="FF000000"/>
      <sz val="12"/>
    </font>
    <font>
      <name val="Liberation Sans"/>
      <charset val="204"/>
      <color rgb="FFFF0000"/>
      <sz val="10.5"/>
    </font>
    <font>
      <name val="Liberation Sans"/>
      <charset val="204"/>
      <color rgb="FF172B4D"/>
      <sz val="10.5"/>
    </font>
    <font>
      <name val="Liberation Sans"/>
      <color rgb="FFFF0000"/>
      <sz val="10.5"/>
    </font>
    <font>
      <name val="Liberation Sans"/>
      <color indexed="64"/>
      <sz val="10.5"/>
    </font>
    <font>
      <name val="Liberation Sans"/>
      <b val="1"/>
      <color indexed="64"/>
      <sz val="10.5"/>
    </font>
    <font>
      <name val="Liberation Sans"/>
      <charset val="204"/>
      <b val="1"/>
      <color indexed="64"/>
      <sz val="10.5"/>
    </font>
    <font>
      <name val="Times New Roman"/>
      <charset val="204"/>
      <family val="2"/>
      <color theme="10"/>
      <sz val="12"/>
      <u val="single"/>
    </font>
    <font>
      <name val="Liberation Sans"/>
      <b val="1"/>
      <color rgb="FFFF0000"/>
      <sz val="10.5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i val="1"/>
      <color rgb="FF0070C0"/>
      <sz val="12"/>
    </font>
    <font>
      <name val="Times New Roman"/>
      <charset val="204"/>
      <family val="1"/>
      <b val="1"/>
      <color theme="1"/>
      <sz val="12"/>
    </font>
    <font>
      <name val="Liberation Sans"/>
      <charset val="204"/>
      <color theme="0"/>
      <sz val="10.5"/>
    </font>
    <font>
      <name val="Liberation Sans"/>
      <color theme="1"/>
      <sz val="11"/>
    </font>
    <font>
      <name val="Liberation Sans"/>
      <b val="1"/>
      <i val="1"/>
      <color rgb="FF172B4D"/>
      <sz val="10.5"/>
    </font>
    <font>
      <name val="Liberation Sans"/>
      <b val="1"/>
      <color rgb="FF008000"/>
      <sz val="10.5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EEBFF"/>
        <bgColor rgb="FFDEEBFF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F"/>
        <bgColor indexed="64"/>
      </patternFill>
    </fill>
    <fill>
      <patternFill patternType="solid">
        <fgColor rgb="FFFF0000"/>
        <bgColor indexed="64"/>
      </patternFill>
    </fill>
  </fills>
  <borders count="99">
    <border>
      <left/>
      <right/>
      <top/>
      <bottom/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/>
      <diagonal/>
    </border>
    <border>
      <left style="thin">
        <color rgb="FFC1C7D0"/>
      </left>
      <right style="thin">
        <color rgb="FFC1C7D0"/>
      </right>
      <top/>
      <bottom/>
      <diagonal/>
    </border>
    <border>
      <left style="thin">
        <color rgb="FFC1C7D0"/>
      </left>
      <right style="thin">
        <color rgb="FFC1C7D0"/>
      </right>
      <top/>
      <bottom style="thin">
        <color rgb="FFC1C7D0"/>
      </bottom>
      <diagonal/>
    </border>
    <border>
      <left style="thin">
        <color rgb="FFC1C7D0"/>
      </left>
      <right/>
      <top style="thin">
        <color rgb="FFC1C7D0"/>
      </top>
      <bottom/>
      <diagonal/>
    </border>
    <border>
      <left style="thin">
        <color rgb="FFC1C7D0"/>
      </left>
      <right/>
      <top/>
      <bottom/>
      <diagonal/>
    </border>
    <border>
      <left style="thin">
        <color rgb="FFC1C7D0"/>
      </left>
      <right/>
      <top/>
      <bottom style="thin">
        <color rgb="FFC1C7D0"/>
      </bottom>
      <diagonal/>
    </border>
    <border>
      <left/>
      <right/>
      <top style="thin">
        <color rgb="FFC1C7D0"/>
      </top>
      <bottom/>
      <diagonal/>
    </border>
    <border>
      <left/>
      <right/>
      <top/>
      <bottom style="thin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2" tint="-0.249977111117893"/>
      </top>
      <bottom/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/>
      <diagonal/>
    </border>
    <border>
      <left style="thin">
        <color rgb="FFC1C7D0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 style="thin">
        <color rgb="FFC1C7D0"/>
      </right>
      <top/>
      <bottom/>
      <diagonal/>
    </border>
    <border>
      <left style="medium">
        <color theme="2" tint="-0.249977111117893"/>
      </left>
      <right style="thin">
        <color rgb="FFC1C7D0"/>
      </right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thin">
        <color rgb="FFC1C7D0"/>
      </left>
      <right style="thin">
        <color rgb="FFC1C7D0"/>
      </right>
      <top/>
      <bottom style="medium">
        <color theme="2" tint="-0.249977111117893"/>
      </bottom>
      <diagonal/>
    </border>
    <border>
      <left style="thin">
        <color rgb="FFC1C7D0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rgb="FFC1C7D0"/>
      </right>
      <top style="medium">
        <color theme="2" tint="-0.249977111117893"/>
      </top>
      <bottom/>
      <diagonal/>
    </border>
    <border>
      <left/>
      <right style="thin">
        <color rgb="FFC1C7D0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 style="thin">
        <color rgb="FFC1C7D0"/>
      </left>
      <right style="medium">
        <color theme="2" tint="-0.249977111117893"/>
      </right>
      <top/>
      <bottom/>
      <diagonal/>
    </border>
    <border>
      <left style="thin">
        <color rgb="FFC1C7D0"/>
      </left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0" tint="-0.1499984740745262"/>
      </left>
      <right style="thin">
        <color rgb="FFC1C7D0"/>
      </right>
      <top style="medium">
        <color theme="0" tint="-0.1499984740745262"/>
      </top>
      <bottom/>
      <diagonal/>
    </border>
    <border>
      <left style="thin">
        <color rgb="FFC1C7D0"/>
      </left>
      <right style="thin">
        <color rgb="FFC1C7D0"/>
      </right>
      <top style="medium">
        <color theme="0" tint="-0.1499984740745262"/>
      </top>
      <bottom style="thin">
        <color rgb="FFC1C7D0"/>
      </bottom>
      <diagonal/>
    </border>
    <border>
      <left/>
      <right/>
      <top style="medium">
        <color theme="0" tint="-0.1499984740745262"/>
      </top>
      <bottom/>
      <diagonal/>
    </border>
    <border>
      <left/>
      <right style="medium">
        <color theme="0" tint="-0.1499984740745262"/>
      </right>
      <top style="medium">
        <color theme="0" tint="-0.1499984740745262"/>
      </top>
      <bottom/>
      <diagonal/>
    </border>
    <border>
      <left style="medium">
        <color theme="0" tint="-0.1499984740745262"/>
      </left>
      <right style="thin">
        <color rgb="FFC1C7D0"/>
      </right>
      <top/>
      <bottom style="medium">
        <color theme="0" tint="-0.1499984740745262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0" tint="-0.1499984740745262"/>
      </bottom>
      <diagonal/>
    </border>
    <border>
      <left/>
      <right/>
      <top/>
      <bottom style="medium">
        <color theme="0" tint="-0.1499984740745262"/>
      </bottom>
      <diagonal/>
    </border>
    <border>
      <left/>
      <right style="medium">
        <color theme="0" tint="-0.1499984740745262"/>
      </right>
      <top/>
      <bottom style="medium">
        <color theme="0" tint="-0.1499984740745262"/>
      </bottom>
      <diagonal/>
    </border>
    <border>
      <left style="thin">
        <color rgb="FFC1C7D0"/>
      </left>
      <right style="medium">
        <color theme="0" tint="-0.1499984740745262"/>
      </right>
      <top style="medium">
        <color theme="0" tint="-0.1499984740745262"/>
      </top>
      <bottom/>
      <diagonal/>
    </border>
    <border>
      <left style="thin">
        <color rgb="FFC1C7D0"/>
      </left>
      <right style="medium">
        <color theme="0" tint="-0.1499984740745262"/>
      </right>
      <top/>
      <bottom style="medium">
        <color theme="0" tint="-0.1499984740745262"/>
      </bottom>
      <diagonal/>
    </border>
    <border>
      <left style="medium">
        <color theme="0" tint="-0.1499984740745262"/>
      </left>
      <right style="thin">
        <color rgb="FFC1C7D0"/>
      </right>
      <top/>
      <bottom/>
      <diagonal/>
    </border>
    <border>
      <left/>
      <right style="medium">
        <color theme="0" tint="-0.1499984740745262"/>
      </right>
      <top/>
      <bottom/>
      <diagonal/>
    </border>
    <border>
      <left style="thin">
        <color rgb="FFC1C7D0"/>
      </left>
      <right style="medium">
        <color theme="0" tint="-0.1499984740745262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/>
      <right style="medium">
        <color rgb="FFC1C7D0"/>
      </right>
      <top/>
      <bottom style="medium">
        <color rgb="FFC1C7D0"/>
      </bottom>
      <diagonal/>
    </border>
    <border>
      <left/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/>
      <top style="medium">
        <color rgb="FFC1C7D0"/>
      </top>
      <bottom/>
      <diagonal/>
    </border>
    <border>
      <left/>
      <right/>
      <top style="medium">
        <color rgb="FFC1C7D0"/>
      </top>
      <bottom/>
      <diagonal/>
    </border>
    <border>
      <left style="medium">
        <color rgb="FFC1C7D0"/>
      </left>
      <right/>
      <top/>
      <bottom/>
      <diagonal/>
    </border>
    <border>
      <left style="medium">
        <color theme="2" tint="-0.09997863704336681"/>
      </left>
      <right/>
      <top style="medium">
        <color theme="2" tint="-0.09997863704336681"/>
      </top>
      <bottom/>
      <diagonal/>
    </border>
    <border>
      <left style="thin">
        <color rgb="FFC1C7D0"/>
      </left>
      <right style="thin">
        <color rgb="FFC1C7D0"/>
      </right>
      <top style="medium">
        <color theme="2" tint="-0.09997863704336681"/>
      </top>
      <bottom style="thin">
        <color rgb="FFC1C7D0"/>
      </bottom>
      <diagonal/>
    </border>
    <border>
      <left/>
      <right style="medium">
        <color theme="2" tint="-0.09997863704336681"/>
      </right>
      <top style="medium">
        <color theme="2" tint="-0.09997863704336681"/>
      </top>
      <bottom/>
      <diagonal/>
    </border>
    <border>
      <left style="medium">
        <color theme="2" tint="-0.09997863704336681"/>
      </left>
      <right/>
      <top/>
      <bottom/>
      <diagonal/>
    </border>
    <border>
      <left/>
      <right style="medium">
        <color theme="2" tint="-0.09997863704336681"/>
      </right>
      <top/>
      <bottom/>
      <diagonal/>
    </border>
    <border>
      <left style="medium">
        <color theme="2" tint="-0.09997863704336681"/>
      </left>
      <right/>
      <top/>
      <bottom style="medium">
        <color theme="2" tint="-0.09997863704336681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2" tint="-0.09997863704336681"/>
      </bottom>
      <diagonal/>
    </border>
    <border>
      <left/>
      <right style="medium">
        <color theme="2" tint="-0.09997863704336681"/>
      </right>
      <top/>
      <bottom style="medium">
        <color theme="2" tint="-0.09997863704336681"/>
      </bottom>
      <diagonal/>
    </border>
    <border>
      <left style="thin">
        <color rgb="FFC1C7D0"/>
      </left>
      <right style="medium">
        <color theme="2" tint="-0.09997863704336681"/>
      </right>
      <top style="medium">
        <color theme="2" tint="-0.09997863704336681"/>
      </top>
      <bottom/>
      <diagonal/>
    </border>
    <border>
      <left style="thin">
        <color rgb="FFC1C7D0"/>
      </left>
      <right style="medium">
        <color theme="2" tint="-0.09997863704336681"/>
      </right>
      <top/>
      <bottom/>
      <diagonal/>
    </border>
    <border>
      <left style="thin">
        <color rgb="FFC1C7D0"/>
      </left>
      <right style="medium">
        <color theme="2" tint="-0.09997863704336681"/>
      </right>
      <top/>
      <bottom style="medium">
        <color theme="2" tint="-0.09997863704336681"/>
      </bottom>
      <diagonal/>
    </border>
    <border>
      <left style="thin">
        <color rgb="FFC1C7D0"/>
      </left>
      <right style="medium">
        <color theme="2" tint="-0.09997863704336681"/>
      </right>
      <top style="thin">
        <color rgb="FFC1C7D0"/>
      </top>
      <bottom/>
      <diagonal/>
    </border>
    <border>
      <left/>
      <right style="medium">
        <color rgb="FFC1C7D0"/>
      </right>
      <top style="medium">
        <color rgb="FFC1C7D0"/>
      </top>
      <bottom/>
      <diagonal/>
    </border>
    <border>
      <left style="medium">
        <color theme="2" tint="-0.09997863704336681"/>
      </left>
      <right style="medium">
        <color rgb="FFC1C7D0"/>
      </right>
      <top style="medium">
        <color theme="2" tint="-0.09997863704336681"/>
      </top>
      <bottom/>
      <diagonal/>
    </border>
    <border>
      <left/>
      <right/>
      <top style="medium">
        <color theme="2" tint="-0.09997863704336681"/>
      </top>
      <bottom/>
      <diagonal/>
    </border>
    <border>
      <left style="medium">
        <color theme="2" tint="-0.09997863704336681"/>
      </left>
      <right style="medium">
        <color rgb="FFC1C7D0"/>
      </right>
      <top/>
      <bottom/>
      <diagonal/>
    </border>
    <border>
      <left style="medium">
        <color theme="2" tint="-0.09997863704336681"/>
      </left>
      <right style="medium">
        <color rgb="FFC1C7D0"/>
      </right>
      <top/>
      <bottom style="medium">
        <color theme="2" tint="-0.09997863704336681"/>
      </bottom>
      <diagonal/>
    </border>
    <border>
      <left/>
      <right/>
      <top/>
      <bottom style="medium">
        <color theme="2" tint="-0.09997863704336681"/>
      </bottom>
      <diagonal/>
    </border>
    <border>
      <left style="medium">
        <color rgb="FFC1C7D0"/>
      </left>
      <right/>
      <top/>
      <bottom style="medium">
        <color rgb="FFC1C7D0"/>
      </bottom>
      <diagonal/>
    </border>
    <border>
      <left style="medium">
        <color rgb="FFC1C7D0"/>
      </left>
      <right/>
      <top/>
      <bottom style="medium">
        <color theme="2" tint="-0.09997863704336681"/>
      </bottom>
      <diagonal/>
    </border>
    <border>
      <left style="thin">
        <color rgb="FFC1C7D0"/>
      </left>
      <right style="thin">
        <color rgb="FFC1C7D0"/>
      </right>
      <top style="medium">
        <color theme="0" tint="-0.1499984740745262"/>
      </top>
      <bottom/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 style="thin">
        <color rgb="FFC1C7D0"/>
      </bottom>
      <diagonal/>
    </border>
    <border>
      <left style="medium">
        <color theme="0" tint="-0.1499984740745262"/>
      </left>
      <right style="thin">
        <color rgb="FFC1C7D0"/>
      </right>
      <top style="medium">
        <color theme="2" tint="-0.249977111117893"/>
      </top>
      <bottom/>
      <diagonal/>
    </border>
    <border>
      <left style="thin">
        <color rgb="FFC1C7D0"/>
      </left>
      <right style="medium">
        <color theme="0" tint="-0.1499984740745262"/>
      </right>
      <top style="medium">
        <color theme="2" tint="-0.249977111117893"/>
      </top>
      <bottom/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medium">
        <color theme="2" tint="-0.249977111117893"/>
      </bottom>
      <diagonal/>
    </border>
    <border>
      <left style="medium">
        <color theme="0" tint="-0.1499984740745262"/>
      </left>
      <right style="thin">
        <color rgb="FFC1C7D0"/>
      </right>
      <top/>
      <bottom style="medium">
        <color theme="2" tint="-0.249977111117893"/>
      </bottom>
      <diagonal/>
    </border>
    <border>
      <left style="thin">
        <color rgb="FFC1C7D0"/>
      </left>
      <right style="medium">
        <color theme="0" tint="-0.1499984740745262"/>
      </right>
      <top/>
      <bottom style="medium">
        <color theme="2" tint="-0.249977111117893"/>
      </bottom>
      <diagonal/>
    </border>
    <border>
      <left/>
      <right style="medium">
        <color theme="0" tint="-0.1499984740745262"/>
      </right>
      <top style="medium">
        <color theme="2" tint="-0.249977111117893"/>
      </top>
      <bottom/>
      <diagonal/>
    </border>
    <border>
      <left/>
      <right style="medium">
        <color theme="0" tint="-0.1499984740745262"/>
      </right>
      <top/>
      <bottom style="medium">
        <color theme="2" tint="-0.249977111117893"/>
      </bottom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 style="medium">
        <color theme="0" tint="-0.1499984740745262"/>
      </bottom>
      <diagonal/>
    </border>
    <border>
      <left style="thin">
        <color rgb="FFC1C7D0"/>
      </left>
      <right style="medium">
        <color theme="2" tint="-0.09997863704336681"/>
      </right>
      <top style="medium">
        <color theme="2" tint="-0.09997863704336681"/>
      </top>
      <bottom style="medium">
        <color theme="2" tint="-0.09997863704336681"/>
      </bottom>
      <diagonal/>
    </border>
    <border>
      <left/>
      <right style="thin">
        <color rgb="FFC1C7D0"/>
      </right>
      <top/>
      <bottom style="thin">
        <color rgb="FFC1C7D0"/>
      </bottom>
      <diagonal/>
    </border>
    <border>
      <left/>
      <right style="thin">
        <color rgb="FFC1C7D0"/>
      </right>
      <top/>
      <bottom/>
      <diagonal/>
    </border>
    <border>
      <left style="thin">
        <color rgb="FFC1C7D0"/>
      </left>
      <right/>
      <top style="thin">
        <color rgb="FFC1C7D0"/>
      </top>
      <bottom style="thin">
        <color rgb="FFC1C7D0"/>
      </bottom>
      <diagonal/>
    </border>
    <border>
      <left/>
      <right/>
      <top style="thin">
        <color rgb="FFC1C7D0"/>
      </top>
      <bottom style="thin">
        <color rgb="FFC1C7D0"/>
      </bottom>
      <diagonal/>
    </border>
    <border>
      <left style="medium">
        <color rgb="FFC1C7D0"/>
      </left>
      <right/>
      <top style="medium">
        <color rgb="FFC1C7D0"/>
      </top>
      <bottom style="medium">
        <color rgb="FFC1C7D0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0" tint="-0.1499984740745262"/>
      </left>
      <right style="thin">
        <color rgb="FFC1C7D0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0" tint="-0.1499984740745262"/>
      </left>
      <right/>
      <top/>
      <bottom/>
      <diagonal/>
    </border>
    <border>
      <left style="thin">
        <color rgb="FFC1C7D0"/>
      </left>
      <right style="medium">
        <color theme="0" tint="-0.1499984740745262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rgb="FFC1C7D0"/>
      </left>
      <right style="thin">
        <color rgb="FFC1C7D0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rgb="FFC1C7D0"/>
      </right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0" tint="-0.1499984740745262"/>
      </left>
      <right style="thin">
        <color rgb="FFC1C7D0"/>
      </right>
      <top style="medium">
        <color theme="0" tint="-0.1499984740745262"/>
      </top>
      <bottom style="medium">
        <color theme="0" tint="-0.1499984740745262"/>
      </bottom>
      <diagonal/>
    </border>
    <border>
      <left style="thin">
        <color rgb="FFC1C7D0"/>
      </left>
      <right style="medium">
        <color theme="0" tint="-0.1499984740745262"/>
      </right>
      <top style="medium">
        <color theme="0" tint="-0.1499984740745262"/>
      </top>
      <bottom style="medium">
        <color theme="0" tint="-0.1499984740745262"/>
      </bottom>
      <diagonal/>
    </border>
  </borders>
  <cellStyleXfs count="6">
    <xf numFmtId="0" fontId="1" fillId="0" borderId="0"/>
    <xf numFmtId="9" fontId="1" fillId="0" borderId="0"/>
    <xf numFmtId="0" fontId="2" fillId="2" borderId="0"/>
    <xf numFmtId="0" fontId="3" fillId="3" borderId="0"/>
    <xf numFmtId="0" fontId="4" fillId="4" borderId="0"/>
    <xf numFmtId="0" fontId="17" fillId="0" borderId="0"/>
  </cellStyleXfs>
  <cellXfs count="396"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vertical="top" wrapText="1"/>
    </xf>
    <xf numFmtId="0" fontId="6" fillId="5" borderId="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7" fillId="0" borderId="0" applyAlignment="1" pivotButton="0" quotePrefix="0" xfId="5">
      <alignment horizontal="left" vertical="top" wrapText="1"/>
    </xf>
    <xf numFmtId="0" fontId="4" fillId="4" borderId="1" applyAlignment="1" pivotButton="0" quotePrefix="0" xfId="4">
      <alignment horizontal="center" vertical="top" wrapText="1"/>
    </xf>
    <xf numFmtId="0" fontId="3" fillId="3" borderId="1" applyAlignment="1" pivotButton="0" quotePrefix="0" xfId="3">
      <alignment horizontal="center" vertical="top" wrapText="1"/>
    </xf>
    <xf numFmtId="0" fontId="2" fillId="2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8" fillId="0" borderId="4" applyAlignment="1" pivotButton="0" quotePrefix="0" xfId="0">
      <alignment horizontal="left" vertical="top"/>
    </xf>
    <xf numFmtId="0" fontId="5" fillId="0" borderId="4" applyAlignment="1" pivotButton="0" quotePrefix="0" xfId="0">
      <alignment horizontal="left" vertical="top"/>
    </xf>
    <xf numFmtId="0" fontId="13" fillId="0" borderId="4" applyAlignment="1" pivotButton="0" quotePrefix="0" xfId="0">
      <alignment horizontal="left" vertical="top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9" fontId="0" fillId="0" borderId="10" applyAlignment="1" pivotButton="0" quotePrefix="0" xfId="0">
      <alignment horizontal="center"/>
    </xf>
    <xf numFmtId="165" fontId="0" fillId="0" borderId="10" applyAlignment="1" pivotButton="0" quotePrefix="0" xfId="1">
      <alignment horizontal="left"/>
    </xf>
    <xf numFmtId="9" fontId="0" fillId="0" borderId="10" applyAlignment="1" pivotButton="0" quotePrefix="0" xfId="0">
      <alignment horizontal="center" vertical="center"/>
    </xf>
    <xf numFmtId="165" fontId="0" fillId="0" borderId="10" applyAlignment="1" pivotButton="0" quotePrefix="0" xfId="1">
      <alignment horizontal="left" vertical="center"/>
    </xf>
    <xf numFmtId="0" fontId="0" fillId="0" borderId="10" pivotButton="0" quotePrefix="0" xfId="0"/>
    <xf numFmtId="9" fontId="2" fillId="2" borderId="10" applyAlignment="1" pivotButton="0" quotePrefix="0" xfId="2">
      <alignment horizontal="center"/>
    </xf>
    <xf numFmtId="9" fontId="2" fillId="2" borderId="10" applyAlignment="1" pivotButton="0" quotePrefix="0" xfId="2">
      <alignment horizontal="center" vertical="center"/>
    </xf>
    <xf numFmtId="165" fontId="0" fillId="0" borderId="10" applyAlignment="1" pivotButton="0" quotePrefix="0" xfId="0">
      <alignment horizontal="center"/>
    </xf>
    <xf numFmtId="165" fontId="0" fillId="0" borderId="10" applyAlignment="1" pivotButton="0" quotePrefix="0" xfId="0">
      <alignment horizontal="center" vertical="center"/>
    </xf>
    <xf numFmtId="165" fontId="3" fillId="3" borderId="10" applyAlignment="1" pivotButton="0" quotePrefix="0" xfId="3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4" fillId="4" borderId="2" applyAlignment="1" pivotButton="0" quotePrefix="0" xfId="4">
      <alignment horizontal="center" vertical="top" wrapText="1"/>
    </xf>
    <xf numFmtId="14" fontId="5" fillId="0" borderId="2" applyAlignment="1" pivotButton="0" quotePrefix="0" xfId="0">
      <alignment horizontal="left" vertical="top" wrapText="1"/>
    </xf>
    <xf numFmtId="0" fontId="19" fillId="0" borderId="0" applyAlignment="1" pivotButton="0" quotePrefix="0" xfId="0">
      <alignment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/>
    </xf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wrapText="1"/>
    </xf>
    <xf numFmtId="0" fontId="19" fillId="0" borderId="0" pivotButton="0" quotePrefix="0" xfId="0"/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vertical="top" wrapText="1"/>
    </xf>
    <xf numFmtId="0" fontId="19" fillId="6" borderId="0" applyAlignment="1" pivotButton="0" quotePrefix="0" xfId="0">
      <alignment horizontal="left"/>
    </xf>
    <xf numFmtId="0" fontId="22" fillId="0" borderId="0" applyAlignment="1" pivotButton="0" quotePrefix="0" xfId="0">
      <alignment vertical="top" wrapText="1"/>
    </xf>
    <xf numFmtId="0" fontId="23" fillId="0" borderId="0" pivotButton="0" quotePrefix="0" xfId="0"/>
    <xf numFmtId="0" fontId="23" fillId="0" borderId="0" pivotButton="0" quotePrefix="0" xfId="0"/>
    <xf numFmtId="0" fontId="6" fillId="5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9" fontId="0" fillId="0" borderId="0" applyAlignment="1" pivotButton="0" quotePrefix="0" xfId="1">
      <alignment vertical="top"/>
    </xf>
    <xf numFmtId="0" fontId="19" fillId="6" borderId="11" applyAlignment="1" pivotButton="0" quotePrefix="0" xfId="0">
      <alignment horizontal="left"/>
    </xf>
    <xf numFmtId="9" fontId="24" fillId="0" borderId="0" applyAlignment="1" pivotButton="0" quotePrefix="0" xfId="0">
      <alignment horizontal="center"/>
    </xf>
    <xf numFmtId="0" fontId="0" fillId="6" borderId="0" pivotButton="0" quotePrefix="0" xfId="0"/>
    <xf numFmtId="0" fontId="20" fillId="6" borderId="0" applyAlignment="1" pivotButton="0" quotePrefix="0" xfId="0">
      <alignment wrapText="1"/>
    </xf>
    <xf numFmtId="9" fontId="0" fillId="6" borderId="0" applyAlignment="1" pivotButton="0" quotePrefix="0" xfId="0">
      <alignment horizontal="center"/>
    </xf>
    <xf numFmtId="9" fontId="0" fillId="6" borderId="0" applyAlignment="1" pivotButton="0" quotePrefix="0" xfId="1">
      <alignment vertical="top"/>
    </xf>
    <xf numFmtId="0" fontId="0" fillId="6" borderId="11" pivotButton="0" quotePrefix="0" xfId="0"/>
    <xf numFmtId="0" fontId="20" fillId="6" borderId="11" applyAlignment="1" pivotButton="0" quotePrefix="0" xfId="0">
      <alignment wrapText="1"/>
    </xf>
    <xf numFmtId="9" fontId="0" fillId="6" borderId="11" applyAlignment="1" pivotButton="0" quotePrefix="0" xfId="0">
      <alignment horizontal="center"/>
    </xf>
    <xf numFmtId="9" fontId="0" fillId="6" borderId="11" applyAlignment="1" pivotButton="0" quotePrefix="0" xfId="1">
      <alignment vertical="top"/>
    </xf>
    <xf numFmtId="0" fontId="5" fillId="0" borderId="3" applyAlignment="1" pivotButton="0" quotePrefix="0" xfId="0">
      <alignment horizontal="left" vertical="top" wrapText="1"/>
    </xf>
    <xf numFmtId="0" fontId="25" fillId="7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14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10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top" wrapText="1"/>
    </xf>
    <xf numFmtId="0" fontId="13" fillId="0" borderId="10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5" fillId="0" borderId="1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0" borderId="2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0" borderId="14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6" fillId="0" borderId="21" applyAlignment="1" pivotButton="0" quotePrefix="0" xfId="0">
      <alignment vertical="top" wrapText="1"/>
    </xf>
    <xf numFmtId="0" fontId="0" fillId="0" borderId="20" pivotButton="0" quotePrefix="0" xfId="0"/>
    <xf numFmtId="0" fontId="0" fillId="0" borderId="24" pivotButton="0" quotePrefix="0" xfId="0"/>
    <xf numFmtId="0" fontId="12" fillId="0" borderId="6" applyAlignment="1" pivotButton="0" quotePrefix="0" xfId="0">
      <alignment vertical="top" wrapText="1"/>
    </xf>
    <xf numFmtId="0" fontId="12" fillId="0" borderId="6" applyAlignment="1" pivotButton="0" quotePrefix="1" xfId="0">
      <alignment vertical="top" wrapText="1"/>
    </xf>
    <xf numFmtId="0" fontId="12" fillId="0" borderId="14" applyAlignment="1" pivotButton="0" quotePrefix="0" xfId="0">
      <alignment vertical="top" wrapText="1"/>
    </xf>
    <xf numFmtId="0" fontId="5" fillId="0" borderId="19" applyAlignment="1" pivotButton="0" quotePrefix="0" xfId="0">
      <alignment vertical="top" wrapText="1"/>
    </xf>
    <xf numFmtId="0" fontId="6" fillId="0" borderId="19" applyAlignment="1" pivotButton="0" quotePrefix="0" xfId="0">
      <alignment vertical="top" wrapText="1"/>
    </xf>
    <xf numFmtId="0" fontId="12" fillId="0" borderId="21" applyAlignment="1" pivotButton="0" quotePrefix="0" xfId="0">
      <alignment vertical="top" wrapText="1"/>
    </xf>
    <xf numFmtId="9" fontId="6" fillId="0" borderId="12" applyAlignment="1" pivotButton="0" quotePrefix="0" xfId="0">
      <alignment horizontal="right" vertical="top" wrapText="1"/>
    </xf>
    <xf numFmtId="0" fontId="12" fillId="0" borderId="3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right" vertical="center" wrapText="1"/>
    </xf>
    <xf numFmtId="0" fontId="5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164" fontId="5" fillId="0" borderId="1" applyAlignment="1" pivotButton="0" quotePrefix="0" xfId="1">
      <alignment horizontal="right" vertical="center" wrapText="1"/>
    </xf>
    <xf numFmtId="9" fontId="5" fillId="0" borderId="8" applyAlignment="1" pivotButton="0" quotePrefix="0" xfId="0">
      <alignment vertical="top" wrapText="1"/>
    </xf>
    <xf numFmtId="14" fontId="5" fillId="0" borderId="1" applyAlignment="1" pivotButton="0" quotePrefix="0" xfId="0">
      <alignment horizontal="center" vertical="top" wrapText="1"/>
    </xf>
    <xf numFmtId="0" fontId="5" fillId="0" borderId="31" applyAlignment="1" pivotButton="0" quotePrefix="0" xfId="0">
      <alignment horizontal="left" vertical="top" wrapText="1"/>
    </xf>
    <xf numFmtId="14" fontId="5" fillId="0" borderId="31" applyAlignment="1" pivotButton="0" quotePrefix="0" xfId="0">
      <alignment horizontal="center" vertical="top" wrapText="1"/>
    </xf>
    <xf numFmtId="0" fontId="5" fillId="0" borderId="31" applyAlignment="1" pivotButton="0" quotePrefix="0" xfId="0">
      <alignment horizontal="center" vertical="top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35" applyAlignment="1" pivotButton="0" quotePrefix="0" xfId="0">
      <alignment horizontal="left" vertical="top" wrapText="1"/>
    </xf>
    <xf numFmtId="14" fontId="5" fillId="0" borderId="35" applyAlignment="1" pivotButton="0" quotePrefix="0" xfId="0">
      <alignment horizontal="center" vertical="top" wrapText="1"/>
    </xf>
    <xf numFmtId="0" fontId="5" fillId="0" borderId="35" applyAlignment="1" pivotButton="0" quotePrefix="0" xfId="0">
      <alignment horizontal="center" vertical="top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41" pivotButton="0" quotePrefix="0" xfId="0"/>
    <xf numFmtId="14" fontId="5" fillId="0" borderId="35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164" fontId="5" fillId="0" borderId="3" applyAlignment="1" pivotButton="0" quotePrefix="0" xfId="0">
      <alignment horizontal="center" vertical="top" wrapText="1"/>
    </xf>
    <xf numFmtId="14" fontId="5" fillId="0" borderId="31" applyAlignment="1" pivotButton="0" quotePrefix="0" xfId="0">
      <alignment horizontal="center" vertical="center" wrapText="1"/>
    </xf>
    <xf numFmtId="14" fontId="5" fillId="0" borderId="35" applyAlignment="1" pivotButton="0" quotePrefix="0" xfId="0">
      <alignment horizontal="center" vertical="center" wrapText="1"/>
    </xf>
    <xf numFmtId="0" fontId="5" fillId="8" borderId="43" applyAlignment="1" pivotButton="0" quotePrefix="0" xfId="0">
      <alignment vertical="center" wrapText="1"/>
    </xf>
    <xf numFmtId="0" fontId="5" fillId="8" borderId="44" applyAlignment="1" pivotButton="0" quotePrefix="0" xfId="0">
      <alignment vertical="center" wrapText="1"/>
    </xf>
    <xf numFmtId="0" fontId="5" fillId="0" borderId="48" applyAlignment="1" pivotButton="0" quotePrefix="0" xfId="0">
      <alignment vertical="center" wrapText="1"/>
    </xf>
    <xf numFmtId="0" fontId="7" fillId="0" borderId="48" applyAlignment="1" pivotButton="0" quotePrefix="0" xfId="0">
      <alignment vertical="center" wrapText="1"/>
    </xf>
    <xf numFmtId="0" fontId="27" fillId="0" borderId="48" applyAlignment="1" pivotButton="0" quotePrefix="0" xfId="0">
      <alignment vertical="center" wrapText="1"/>
    </xf>
    <xf numFmtId="0" fontId="17" fillId="0" borderId="48" applyAlignment="1" pivotButton="0" quotePrefix="0" xfId="5">
      <alignment vertical="center" wrapText="1"/>
    </xf>
    <xf numFmtId="0" fontId="0" fillId="0" borderId="48" applyAlignment="1" pivotButton="0" quotePrefix="0" xfId="0">
      <alignment vertical="center" wrapText="1"/>
    </xf>
    <xf numFmtId="0" fontId="26" fillId="0" borderId="48" applyAlignment="1" pivotButton="0" quotePrefix="0" xfId="0">
      <alignment vertical="top" wrapText="1"/>
    </xf>
    <xf numFmtId="0" fontId="26" fillId="0" borderId="47" applyAlignment="1" pivotButton="0" quotePrefix="0" xfId="0">
      <alignment vertical="top" wrapText="1"/>
    </xf>
    <xf numFmtId="0" fontId="0" fillId="0" borderId="48" applyAlignment="1" pivotButton="0" quotePrefix="0" xfId="0">
      <alignment vertical="top" wrapText="1"/>
    </xf>
    <xf numFmtId="0" fontId="0" fillId="0" borderId="47" applyAlignment="1" pivotButton="0" quotePrefix="0" xfId="0">
      <alignment vertical="top" wrapText="1"/>
    </xf>
    <xf numFmtId="0" fontId="17" fillId="0" borderId="47" applyAlignment="1" pivotButton="0" quotePrefix="0" xfId="5">
      <alignment vertical="center" wrapText="1"/>
    </xf>
    <xf numFmtId="0" fontId="27" fillId="0" borderId="47" applyAlignment="1" pivotButton="0" quotePrefix="0" xfId="0">
      <alignment vertical="center" wrapText="1"/>
    </xf>
    <xf numFmtId="0" fontId="5" fillId="0" borderId="47" applyAlignment="1" pivotButton="0" quotePrefix="0" xfId="0">
      <alignment vertical="center" wrapText="1"/>
    </xf>
    <xf numFmtId="0" fontId="26" fillId="0" borderId="0" applyAlignment="1" pivotButton="0" quotePrefix="0" xfId="0">
      <alignment vertical="center"/>
    </xf>
    <xf numFmtId="0" fontId="19" fillId="9" borderId="0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30" fillId="9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 wrapText="1"/>
    </xf>
    <xf numFmtId="0" fontId="5" fillId="9" borderId="4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0" fillId="0" borderId="53" pivotButton="0" quotePrefix="0" xfId="0"/>
    <xf numFmtId="0" fontId="5" fillId="0" borderId="54" applyAlignment="1" pivotButton="0" quotePrefix="0" xfId="0">
      <alignment horizontal="left" vertical="top" wrapText="1"/>
    </xf>
    <xf numFmtId="14" fontId="5" fillId="0" borderId="54" applyAlignment="1" pivotButton="0" quotePrefix="0" xfId="0">
      <alignment horizontal="left" vertical="top" wrapText="1"/>
    </xf>
    <xf numFmtId="164" fontId="5" fillId="0" borderId="54" applyAlignment="1" pivotButton="0" quotePrefix="0" xfId="0">
      <alignment horizontal="center" vertical="top" wrapText="1"/>
    </xf>
    <xf numFmtId="0" fontId="2" fillId="2" borderId="54" applyAlignment="1" pivotButton="0" quotePrefix="0" xfId="2">
      <alignment horizontal="center" vertical="top" wrapText="1"/>
    </xf>
    <xf numFmtId="0" fontId="0" fillId="0" borderId="56" pivotButton="0" quotePrefix="0" xfId="0"/>
    <xf numFmtId="0" fontId="0" fillId="0" borderId="58" pivotButton="0" quotePrefix="0" xfId="0"/>
    <xf numFmtId="0" fontId="5" fillId="0" borderId="59" applyAlignment="1" pivotButton="0" quotePrefix="0" xfId="0">
      <alignment horizontal="left" vertical="top" wrapText="1"/>
    </xf>
    <xf numFmtId="14" fontId="5" fillId="0" borderId="59" applyAlignment="1" pivotButton="0" quotePrefix="0" xfId="0">
      <alignment horizontal="left" vertical="top" wrapText="1"/>
    </xf>
    <xf numFmtId="164" fontId="5" fillId="0" borderId="59" applyAlignment="1" pivotButton="0" quotePrefix="0" xfId="0">
      <alignment horizontal="center" vertical="top" wrapText="1"/>
    </xf>
    <xf numFmtId="0" fontId="4" fillId="4" borderId="59" applyAlignment="1" pivotButton="0" quotePrefix="0" xfId="4">
      <alignment horizontal="center" vertical="top" wrapText="1"/>
    </xf>
    <xf numFmtId="0" fontId="3" fillId="3" borderId="59" applyAlignment="1" pivotButton="0" quotePrefix="0" xfId="3">
      <alignment horizontal="center" vertical="top" wrapText="1"/>
    </xf>
    <xf numFmtId="0" fontId="5" fillId="0" borderId="3" applyAlignment="1" pivotButton="0" quotePrefix="0" xfId="0">
      <alignment horizontal="left" vertical="top"/>
    </xf>
    <xf numFmtId="0" fontId="4" fillId="4" borderId="54" applyAlignment="1" pivotButton="0" quotePrefix="0" xfId="4">
      <alignment horizontal="center" vertical="top" wrapText="1"/>
    </xf>
    <xf numFmtId="0" fontId="0" fillId="0" borderId="55" pivotButton="0" quotePrefix="0" xfId="0"/>
    <xf numFmtId="0" fontId="0" fillId="0" borderId="57" pivotButton="0" quotePrefix="0" xfId="0"/>
    <xf numFmtId="0" fontId="0" fillId="0" borderId="60" pivotButton="0" quotePrefix="0" xfId="0"/>
    <xf numFmtId="0" fontId="5" fillId="0" borderId="64" applyAlignment="1" pivotButton="0" quotePrefix="0" xfId="0">
      <alignment horizontal="left" vertical="top" wrapText="1"/>
    </xf>
    <xf numFmtId="0" fontId="0" fillId="0" borderId="56" applyAlignment="1" pivotButton="0" quotePrefix="0" xfId="0">
      <alignment vertical="top"/>
    </xf>
    <xf numFmtId="0" fontId="0" fillId="0" borderId="0" pivotButton="1" quotePrefix="0" xfId="0"/>
    <xf numFmtId="0" fontId="0" fillId="0" borderId="0" pivotButton="0" quotePrefix="0" xfId="0"/>
    <xf numFmtId="0" fontId="5" fillId="0" borderId="3" applyAlignment="1" pivotButton="0" quotePrefix="0" xfId="0">
      <alignment horizontal="left" vertical="top" wrapText="1"/>
    </xf>
    <xf numFmtId="0" fontId="5" fillId="8" borderId="65" applyAlignment="1" pivotButton="0" quotePrefix="0" xfId="0">
      <alignment vertical="center" wrapText="1"/>
    </xf>
    <xf numFmtId="0" fontId="0" fillId="0" borderId="67" pivotButton="0" quotePrefix="0" xfId="0"/>
    <xf numFmtId="10" fontId="0" fillId="0" borderId="55" applyAlignment="1" pivotButton="0" quotePrefix="0" xfId="0">
      <alignment horizontal="center"/>
    </xf>
    <xf numFmtId="0" fontId="0" fillId="0" borderId="68" applyAlignment="1" pivotButton="0" quotePrefix="0" xfId="0">
      <alignment vertical="top" wrapText="1"/>
    </xf>
    <xf numFmtId="0" fontId="0" fillId="0" borderId="69" applyAlignment="1" pivotButton="0" quotePrefix="0" xfId="0">
      <alignment vertical="top" wrapText="1"/>
    </xf>
    <xf numFmtId="0" fontId="0" fillId="0" borderId="70" pivotButton="0" quotePrefix="0" xfId="0"/>
    <xf numFmtId="0" fontId="5" fillId="0" borderId="53" applyAlignment="1" pivotButton="0" quotePrefix="0" xfId="0">
      <alignment vertical="center" wrapText="1"/>
    </xf>
    <xf numFmtId="0" fontId="5" fillId="0" borderId="56" applyAlignment="1" pivotButton="0" quotePrefix="0" xfId="0">
      <alignment vertical="center" wrapText="1"/>
    </xf>
    <xf numFmtId="0" fontId="0" fillId="0" borderId="56" applyAlignment="1" pivotButton="0" quotePrefix="0" xfId="0">
      <alignment vertical="top" wrapText="1"/>
    </xf>
    <xf numFmtId="0" fontId="0" fillId="0" borderId="58" applyAlignment="1" pivotButton="0" quotePrefix="0" xfId="0">
      <alignment vertical="top" wrapText="1"/>
    </xf>
    <xf numFmtId="0" fontId="0" fillId="0" borderId="66" applyAlignment="1" pivotButton="0" quotePrefix="0" xfId="0">
      <alignment vertical="top" wrapText="1"/>
    </xf>
    <xf numFmtId="9" fontId="0" fillId="0" borderId="55" applyAlignment="1" pivotButton="0" quotePrefix="0" xfId="0">
      <alignment horizontal="center"/>
    </xf>
    <xf numFmtId="0" fontId="0" fillId="0" borderId="72" applyAlignment="1" pivotButton="0" quotePrefix="0" xfId="0">
      <alignment vertical="top" wrapText="1"/>
    </xf>
    <xf numFmtId="0" fontId="0" fillId="0" borderId="70" applyAlignment="1" pivotButton="0" quotePrefix="0" xfId="0">
      <alignment vertical="top" wrapText="1"/>
    </xf>
    <xf numFmtId="0" fontId="0" fillId="0" borderId="60" applyAlignment="1" pivotButton="0" quotePrefix="0" xfId="0">
      <alignment vertical="top" wrapText="1"/>
    </xf>
    <xf numFmtId="0" fontId="5" fillId="0" borderId="3" applyAlignment="1" pivotButton="0" quotePrefix="0" xfId="0">
      <alignment horizontal="left" vertical="top" wrapText="1"/>
    </xf>
    <xf numFmtId="0" fontId="12" fillId="0" borderId="35" applyAlignment="1" pivotButton="0" quotePrefix="0" xfId="0">
      <alignment horizontal="left" vertical="top" wrapText="1"/>
    </xf>
    <xf numFmtId="0" fontId="5" fillId="0" borderId="73" applyAlignment="1" pivotButton="0" quotePrefix="0" xfId="0">
      <alignment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14" fontId="5" fillId="0" borderId="8" applyAlignment="1" pivotButton="0" quotePrefix="0" xfId="0">
      <alignment horizontal="left" vertical="top" wrapText="1"/>
    </xf>
    <xf numFmtId="14" fontId="5" fillId="0" borderId="9" applyAlignment="1" pivotButton="0" quotePrefix="0" xfId="0">
      <alignment horizontal="left" vertical="top" wrapText="1"/>
    </xf>
    <xf numFmtId="0" fontId="4" fillId="4" borderId="8" applyAlignment="1" pivotButton="0" quotePrefix="0" xfId="4">
      <alignment horizontal="center" vertical="top" wrapText="1"/>
    </xf>
    <xf numFmtId="0" fontId="4" fillId="4" borderId="9" applyAlignment="1" pivotButton="0" quotePrefix="0" xfId="4">
      <alignment horizontal="center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14" fontId="5" fillId="0" borderId="0" applyAlignment="1" pivotButton="0" quotePrefix="0" xfId="0">
      <alignment horizontal="left" vertical="top" wrapText="1"/>
    </xf>
    <xf numFmtId="0" fontId="4" fillId="4" borderId="0" applyAlignment="1" pivotButton="0" quotePrefix="0" xfId="4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14" fontId="5" fillId="0" borderId="2" applyAlignment="1" pivotButton="0" quotePrefix="0" xfId="0">
      <alignment horizontal="center" vertical="top" wrapText="1"/>
    </xf>
    <xf numFmtId="14" fontId="5" fillId="0" borderId="3" applyAlignment="1" pivotButton="0" quotePrefix="0" xfId="0">
      <alignment horizontal="center" vertical="top" wrapText="1"/>
    </xf>
    <xf numFmtId="14" fontId="5" fillId="0" borderId="4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center"/>
    </xf>
    <xf numFmtId="0" fontId="3" fillId="3" borderId="2" applyAlignment="1" pivotButton="0" quotePrefix="0" xfId="3">
      <alignment horizontal="center" vertical="top" wrapText="1"/>
    </xf>
    <xf numFmtId="0" fontId="3" fillId="3" borderId="3" applyAlignment="1" pivotButton="0" quotePrefix="0" xfId="3">
      <alignment horizontal="center" vertical="top" wrapText="1"/>
    </xf>
    <xf numFmtId="0" fontId="3" fillId="3" borderId="4" applyAlignment="1" pivotButton="0" quotePrefix="0" xfId="3">
      <alignment horizontal="center" vertical="top" wrapText="1"/>
    </xf>
    <xf numFmtId="0" fontId="0" fillId="0" borderId="6" applyAlignment="1" pivotButton="0" quotePrefix="0" xfId="0">
      <alignment horizontal="left"/>
    </xf>
    <xf numFmtId="0" fontId="4" fillId="4" borderId="2" applyAlignment="1" pivotButton="0" quotePrefix="0" xfId="4">
      <alignment horizontal="center" vertical="top" wrapText="1"/>
    </xf>
    <xf numFmtId="0" fontId="4" fillId="4" borderId="3" applyAlignment="1" pivotButton="0" quotePrefix="0" xfId="4">
      <alignment horizontal="center" vertical="top" wrapText="1"/>
    </xf>
    <xf numFmtId="0" fontId="4" fillId="4" borderId="4" applyAlignment="1" pivotButton="0" quotePrefix="0" xfId="4">
      <alignment horizontal="center" vertical="top" wrapText="1"/>
    </xf>
    <xf numFmtId="0" fontId="5" fillId="0" borderId="7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14" fontId="5" fillId="0" borderId="2" applyAlignment="1" pivotButton="0" quotePrefix="0" xfId="0">
      <alignment horizontal="left" vertical="top" wrapText="1"/>
    </xf>
    <xf numFmtId="14" fontId="5" fillId="0" borderId="4" applyAlignment="1" pivotButton="0" quotePrefix="0" xfId="0">
      <alignment horizontal="left" vertical="top" wrapText="1"/>
    </xf>
    <xf numFmtId="164" fontId="5" fillId="0" borderId="2" applyAlignment="1" pivotButton="0" quotePrefix="0" xfId="0">
      <alignment horizontal="center" vertical="top" wrapText="1"/>
    </xf>
    <xf numFmtId="164" fontId="5" fillId="0" borderId="4" applyAlignment="1" pivotButton="0" quotePrefix="0" xfId="0">
      <alignment horizontal="center" vertical="top" wrapText="1"/>
    </xf>
    <xf numFmtId="0" fontId="4" fillId="4" borderId="0" applyAlignment="1" pivotButton="0" quotePrefix="0" xfId="4">
      <alignment horizontal="center" vertical="top" wrapText="1"/>
    </xf>
    <xf numFmtId="0" fontId="5" fillId="0" borderId="61" applyAlignment="1" pivotButton="0" quotePrefix="0" xfId="0">
      <alignment horizontal="left" vertical="top" wrapText="1"/>
    </xf>
    <xf numFmtId="0" fontId="5" fillId="0" borderId="62" applyAlignment="1" pivotButton="0" quotePrefix="0" xfId="0">
      <alignment horizontal="left" vertical="top" wrapText="1"/>
    </xf>
    <xf numFmtId="0" fontId="5" fillId="0" borderId="63" applyAlignment="1" pivotButton="0" quotePrefix="0" xfId="0">
      <alignment horizontal="left" vertical="top" wrapText="1"/>
    </xf>
    <xf numFmtId="0" fontId="0" fillId="0" borderId="56" applyAlignment="1" pivotButton="0" quotePrefix="0" xfId="0">
      <alignment horizontal="center"/>
    </xf>
    <xf numFmtId="0" fontId="0" fillId="0" borderId="58" applyAlignment="1" pivotButton="0" quotePrefix="0" xfId="0">
      <alignment horizontal="center"/>
    </xf>
    <xf numFmtId="0" fontId="5" fillId="0" borderId="50" applyAlignment="1" pivotButton="0" quotePrefix="0" xfId="0">
      <alignment vertical="center" wrapText="1"/>
    </xf>
    <xf numFmtId="0" fontId="5" fillId="0" borderId="52" applyAlignment="1" pivotButton="0" quotePrefix="0" xfId="0">
      <alignment vertical="center" wrapText="1"/>
    </xf>
    <xf numFmtId="0" fontId="5" fillId="0" borderId="71" applyAlignment="1" pivotButton="0" quotePrefix="0" xfId="0">
      <alignment vertical="center" wrapText="1"/>
    </xf>
    <xf numFmtId="0" fontId="5" fillId="0" borderId="49" applyAlignment="1" pivotButton="0" quotePrefix="0" xfId="0">
      <alignment vertical="center" wrapText="1"/>
    </xf>
    <xf numFmtId="0" fontId="5" fillId="0" borderId="46" applyAlignment="1" pivotButton="0" quotePrefix="0" xfId="0">
      <alignment vertical="center" wrapText="1"/>
    </xf>
    <xf numFmtId="0" fontId="5" fillId="0" borderId="45" applyAlignment="1" pivotButton="0" quotePrefix="0" xfId="0">
      <alignment vertical="center" wrapText="1"/>
    </xf>
    <xf numFmtId="0" fontId="26" fillId="0" borderId="50" applyAlignment="1" pivotButton="0" quotePrefix="0" xfId="0">
      <alignment vertical="center" wrapText="1"/>
    </xf>
    <xf numFmtId="0" fontId="26" fillId="0" borderId="51" applyAlignment="1" pivotButton="0" quotePrefix="0" xfId="0">
      <alignment vertical="center" wrapText="1"/>
    </xf>
    <xf numFmtId="0" fontId="26" fillId="0" borderId="52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9" fontId="0" fillId="0" borderId="0" applyAlignment="1" pivotButton="0" quotePrefix="0" xfId="1">
      <alignment horizontal="right" vertical="top"/>
    </xf>
    <xf numFmtId="0" fontId="19" fillId="0" borderId="0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9" fontId="0" fillId="0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 vertical="center"/>
    </xf>
    <xf numFmtId="9" fontId="5" fillId="0" borderId="30" applyAlignment="1" pivotButton="0" quotePrefix="0" xfId="1">
      <alignment horizontal="center" vertical="top" wrapText="1"/>
    </xf>
    <xf numFmtId="9" fontId="5" fillId="0" borderId="40" applyAlignment="1" pivotButton="0" quotePrefix="0" xfId="1">
      <alignment horizontal="center" vertical="top" wrapText="1"/>
    </xf>
    <xf numFmtId="9" fontId="5" fillId="0" borderId="38" applyAlignment="1" pivotButton="0" quotePrefix="0" xfId="1">
      <alignment horizontal="center" vertical="top" wrapText="1"/>
    </xf>
    <xf numFmtId="9" fontId="5" fillId="0" borderId="42" applyAlignment="1" pivotButton="0" quotePrefix="0" xfId="1">
      <alignment horizontal="center" vertical="top" wrapText="1"/>
    </xf>
    <xf numFmtId="9" fontId="5" fillId="0" borderId="0" applyAlignment="1" pivotButton="0" quotePrefix="0" xfId="1">
      <alignment horizontal="center" vertical="top" wrapText="1"/>
    </xf>
    <xf numFmtId="9" fontId="5" fillId="0" borderId="34" applyAlignment="1" pivotButton="0" quotePrefix="0" xfId="1">
      <alignment horizontal="center" vertical="top" wrapText="1"/>
    </xf>
    <xf numFmtId="9" fontId="5" fillId="0" borderId="39" applyAlignment="1" pivotButton="0" quotePrefix="0" xfId="1">
      <alignment horizontal="center" vertical="top" wrapText="1"/>
    </xf>
    <xf numFmtId="0" fontId="5" fillId="0" borderId="23" applyAlignment="1" pivotButton="0" quotePrefix="0" xfId="0">
      <alignment horizontal="left" vertical="top" wrapText="1"/>
    </xf>
    <xf numFmtId="0" fontId="5" fillId="0" borderId="17" applyAlignment="1" pivotButton="0" quotePrefix="0" xfId="0">
      <alignment horizontal="left" vertical="top" wrapText="1"/>
    </xf>
    <xf numFmtId="0" fontId="5" fillId="0" borderId="18" applyAlignment="1" pivotButton="0" quotePrefix="0" xfId="0">
      <alignment horizontal="left" vertical="top" wrapText="1"/>
    </xf>
    <xf numFmtId="9" fontId="5" fillId="0" borderId="23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9" fontId="0" fillId="0" borderId="15" applyAlignment="1" pivotButton="0" quotePrefix="0" xfId="0">
      <alignment horizontal="right" vertical="top"/>
    </xf>
    <xf numFmtId="0" fontId="0" fillId="0" borderId="16" applyAlignment="1" pivotButton="0" quotePrefix="0" xfId="0">
      <alignment horizontal="right" vertical="top"/>
    </xf>
    <xf numFmtId="0" fontId="0" fillId="0" borderId="22" applyAlignment="1" pivotButton="0" quotePrefix="0" xfId="0">
      <alignment horizontal="right" vertical="top"/>
    </xf>
    <xf numFmtId="9" fontId="5" fillId="0" borderId="27" applyAlignment="1" pivotButton="0" quotePrefix="0" xfId="0">
      <alignment horizontal="right" vertical="top" wrapText="1"/>
    </xf>
    <xf numFmtId="0" fontId="5" fillId="0" borderId="25" applyAlignment="1" pivotButton="0" quotePrefix="0" xfId="0">
      <alignment horizontal="right" vertical="top" wrapText="1"/>
    </xf>
    <xf numFmtId="0" fontId="5" fillId="0" borderId="26" applyAlignment="1" pivotButton="0" quotePrefix="0" xfId="0">
      <alignment horizontal="right" vertical="top" wrapText="1"/>
    </xf>
    <xf numFmtId="9" fontId="5" fillId="0" borderId="15" applyAlignment="1" pivotButton="0" quotePrefix="0" xfId="0">
      <alignment horizontal="right" vertical="top" wrapText="1"/>
    </xf>
    <xf numFmtId="0" fontId="5" fillId="0" borderId="16" applyAlignment="1" pivotButton="0" quotePrefix="0" xfId="0">
      <alignment horizontal="right" vertical="top" wrapText="1"/>
    </xf>
    <xf numFmtId="0" fontId="5" fillId="0" borderId="22" applyAlignment="1" pivotButton="0" quotePrefix="0" xfId="0">
      <alignment horizontal="right" vertical="top" wrapText="1"/>
    </xf>
    <xf numFmtId="9" fontId="5" fillId="0" borderId="25" applyAlignment="1" pivotButton="0" quotePrefix="0" xfId="0">
      <alignment horizontal="right" vertical="top" wrapText="1"/>
    </xf>
    <xf numFmtId="9" fontId="5" fillId="0" borderId="26" applyAlignment="1" pivotButton="0" quotePrefix="0" xfId="0">
      <alignment horizontal="right" vertical="top" wrapText="1"/>
    </xf>
    <xf numFmtId="9" fontId="5" fillId="0" borderId="16" applyAlignment="1" pivotButton="0" quotePrefix="0" xfId="0">
      <alignment horizontal="right" vertical="top" wrapText="1"/>
    </xf>
    <xf numFmtId="9" fontId="5" fillId="0" borderId="22" applyAlignment="1" pivotButton="0" quotePrefix="0" xfId="0">
      <alignment horizontal="right" vertical="top" wrapText="1"/>
    </xf>
    <xf numFmtId="0" fontId="12" fillId="0" borderId="28" applyAlignment="1" pivotButton="0" quotePrefix="0" xfId="0">
      <alignment horizontal="left" vertical="top" wrapText="1"/>
    </xf>
    <xf numFmtId="0" fontId="12" fillId="0" borderId="29" applyAlignment="1" pivotButton="0" quotePrefix="0" xfId="0">
      <alignment horizontal="left" vertical="top" wrapText="1"/>
    </xf>
    <xf numFmtId="0" fontId="5" fillId="0" borderId="30" applyAlignment="1" pivotButton="0" quotePrefix="0" xfId="0">
      <alignment horizontal="left" vertical="top" wrapText="1"/>
    </xf>
    <xf numFmtId="0" fontId="5" fillId="0" borderId="34" applyAlignment="1" pivotButton="0" quotePrefix="0" xfId="0">
      <alignment horizontal="left" vertical="top" wrapText="1"/>
    </xf>
    <xf numFmtId="0" fontId="5" fillId="0" borderId="4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9" fontId="5" fillId="0" borderId="0" applyAlignment="1" pivotButton="0" quotePrefix="0" xfId="0">
      <alignment horizontal="right" vertical="top" wrapText="1"/>
    </xf>
    <xf numFmtId="9" fontId="5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 wrapText="1"/>
    </xf>
    <xf numFmtId="0" fontId="19" fillId="0" borderId="27" applyAlignment="1" pivotButton="0" quotePrefix="0" xfId="0">
      <alignment horizontal="left" vertical="top" wrapText="1"/>
    </xf>
    <xf numFmtId="0" fontId="5" fillId="0" borderId="7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14" fontId="5" fillId="0" borderId="74" applyAlignment="1" pivotButton="0" quotePrefix="0" xfId="0">
      <alignment horizontal="left" vertical="top" wrapText="1"/>
    </xf>
    <xf numFmtId="164" fontId="5" fillId="0" borderId="74" applyAlignment="1" pivotButton="0" quotePrefix="0" xfId="0">
      <alignment horizontal="center" vertical="top" wrapText="1"/>
    </xf>
    <xf numFmtId="9" fontId="5" fillId="0" borderId="75" applyAlignment="1" pivotButton="0" quotePrefix="0" xfId="1">
      <alignment horizontal="center" vertical="top" wrapText="1"/>
    </xf>
    <xf numFmtId="9" fontId="5" fillId="0" borderId="76" applyAlignment="1" pivotButton="0" quotePrefix="0" xfId="1">
      <alignment horizontal="center" vertical="top" wrapText="1"/>
    </xf>
    <xf numFmtId="0" fontId="19" fillId="0" borderId="25" applyAlignment="1" pivotButton="0" quotePrefix="0" xfId="0">
      <alignment horizontal="left" vertical="top" wrapText="1"/>
    </xf>
    <xf numFmtId="0" fontId="19" fillId="0" borderId="26" applyAlignment="1" pivotButton="0" quotePrefix="0" xfId="0">
      <alignment horizontal="left" vertical="top" wrapText="1"/>
    </xf>
    <xf numFmtId="0" fontId="5" fillId="0" borderId="77" applyAlignment="1" pivotButton="0" quotePrefix="0" xfId="0">
      <alignment horizontal="left" vertical="top" wrapText="1"/>
    </xf>
    <xf numFmtId="0" fontId="5" fillId="0" borderId="20" applyAlignment="1" pivotButton="0" quotePrefix="0" xfId="0">
      <alignment horizontal="left" vertical="top" wrapText="1"/>
    </xf>
    <xf numFmtId="14" fontId="5" fillId="0" borderId="77" applyAlignment="1" pivotButton="0" quotePrefix="0" xfId="0">
      <alignment horizontal="left" vertical="top" wrapText="1"/>
    </xf>
    <xf numFmtId="164" fontId="5" fillId="0" borderId="77" applyAlignment="1" pivotButton="0" quotePrefix="0" xfId="0">
      <alignment horizontal="center" vertical="top" wrapText="1"/>
    </xf>
    <xf numFmtId="9" fontId="5" fillId="0" borderId="78" applyAlignment="1" pivotButton="0" quotePrefix="0" xfId="1">
      <alignment horizontal="center" vertical="top" wrapText="1"/>
    </xf>
    <xf numFmtId="9" fontId="5" fillId="0" borderId="79" applyAlignment="1" pivotButton="0" quotePrefix="0" xfId="1">
      <alignment horizontal="center" vertical="top" wrapText="1"/>
    </xf>
    <xf numFmtId="0" fontId="0" fillId="0" borderId="80" pivotButton="0" quotePrefix="0" xfId="0"/>
    <xf numFmtId="0" fontId="0" fillId="0" borderId="81" pivotButton="0" quotePrefix="0" xfId="0"/>
    <xf numFmtId="0" fontId="19" fillId="0" borderId="27" applyAlignment="1" pivotButton="0" quotePrefix="0" xfId="0">
      <alignment horizontal="left" vertical="top"/>
    </xf>
    <xf numFmtId="0" fontId="19" fillId="0" borderId="25" applyAlignment="1" pivotButton="0" quotePrefix="0" xfId="0">
      <alignment horizontal="left" vertical="top"/>
    </xf>
    <xf numFmtId="0" fontId="19" fillId="0" borderId="26" applyAlignment="1" pivotButton="0" quotePrefix="0" xfId="0">
      <alignment horizontal="left" vertical="top"/>
    </xf>
    <xf numFmtId="0" fontId="12" fillId="0" borderId="82" applyAlignment="1" pivotButton="0" quotePrefix="0" xfId="0">
      <alignment horizontal="left" vertical="top" wrapText="1"/>
    </xf>
    <xf numFmtId="14" fontId="5" fillId="0" borderId="82" applyAlignment="1" pivotButton="0" quotePrefix="0" xfId="0">
      <alignment horizontal="left" vertical="top" wrapText="1"/>
    </xf>
    <xf numFmtId="0" fontId="12" fillId="0" borderId="77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9" fontId="5" fillId="0" borderId="12" applyAlignment="1" pivotButton="0" quotePrefix="0" xfId="1">
      <alignment horizontal="center" vertical="top" wrapText="1"/>
    </xf>
    <xf numFmtId="0" fontId="5" fillId="0" borderId="20" applyAlignment="1" pivotButton="0" quotePrefix="0" xfId="0">
      <alignment horizontal="left" vertical="top" wrapText="1"/>
    </xf>
    <xf numFmtId="9" fontId="5" fillId="0" borderId="19" applyAlignment="1" pivotButton="0" quotePrefix="0" xfId="1">
      <alignment horizontal="center" vertical="top" wrapText="1"/>
    </xf>
    <xf numFmtId="0" fontId="5" fillId="0" borderId="13" applyAlignment="1" pivotButton="0" quotePrefix="0" xfId="0">
      <alignment horizontal="left" vertical="top" wrapText="1"/>
    </xf>
    <xf numFmtId="0" fontId="5" fillId="0" borderId="20" applyAlignment="1" pivotButton="0" quotePrefix="0" xfId="0">
      <alignment horizontal="left" vertical="top" wrapText="1"/>
    </xf>
    <xf numFmtId="0" fontId="5" fillId="0" borderId="83" applyAlignment="1" pivotButton="0" quotePrefix="0" xfId="0">
      <alignment horizontal="left" vertical="top" wrapText="1"/>
    </xf>
    <xf numFmtId="0" fontId="0" fillId="0" borderId="62" pivotButton="0" quotePrefix="0" xfId="0"/>
    <xf numFmtId="0" fontId="0" fillId="0" borderId="63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4" fillId="4" borderId="84" applyAlignment="1" pivotButton="0" quotePrefix="0" xfId="4">
      <alignment horizontal="center" vertical="top" wrapText="1"/>
    </xf>
    <xf numFmtId="0" fontId="0" fillId="0" borderId="85" pivotButton="0" quotePrefix="0" xfId="0"/>
    <xf numFmtId="0" fontId="0" fillId="0" borderId="84" pivotButton="0" quotePrefix="0" xfId="0"/>
    <xf numFmtId="0" fontId="5" fillId="0" borderId="86" applyAlignment="1" pivotButton="0" quotePrefix="0" xfId="0">
      <alignment horizontal="left" vertical="top" wrapText="1"/>
    </xf>
    <xf numFmtId="0" fontId="5" fillId="0" borderId="87" applyAlignment="1" pivotButton="0" quotePrefix="0" xfId="0">
      <alignment horizontal="left" vertical="top" wrapText="1"/>
    </xf>
    <xf numFmtId="0" fontId="0" fillId="0" borderId="9" pivotButton="0" quotePrefix="0" xfId="0"/>
    <xf numFmtId="14" fontId="5" fillId="0" borderId="87" applyAlignment="1" pivotButton="0" quotePrefix="0" xfId="0">
      <alignment horizontal="left" vertical="top" wrapText="1"/>
    </xf>
    <xf numFmtId="0" fontId="4" fillId="4" borderId="87" applyAlignment="1" pivotButton="0" quotePrefix="0" xfId="4">
      <alignment horizontal="center" vertical="top" wrapText="1"/>
    </xf>
    <xf numFmtId="0" fontId="5" fillId="0" borderId="43" applyAlignment="1" pivotButton="0" quotePrefix="0" xfId="0">
      <alignment vertical="center" wrapText="1"/>
    </xf>
    <xf numFmtId="0" fontId="5" fillId="0" borderId="88" applyAlignment="1" pivotButton="0" quotePrefix="0" xfId="0">
      <alignment vertical="center" wrapText="1"/>
    </xf>
    <xf numFmtId="0" fontId="0" fillId="0" borderId="46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71" pivotButton="0" quotePrefix="0" xfId="0"/>
    <xf numFmtId="0" fontId="0" fillId="0" borderId="51" pivotButton="0" quotePrefix="0" xfId="0"/>
    <xf numFmtId="0" fontId="19" fillId="0" borderId="89" applyAlignment="1" pivotButton="0" quotePrefix="0" xfId="0">
      <alignment horizontal="left" vertical="top"/>
    </xf>
    <xf numFmtId="9" fontId="5" fillId="0" borderId="91" applyAlignment="1" pivotButton="0" quotePrefix="0" xfId="1">
      <alignment horizontal="center" vertical="top" wrapText="1"/>
    </xf>
    <xf numFmtId="9" fontId="5" fillId="0" borderId="93" applyAlignment="1" pivotButton="0" quotePrefix="0" xfId="1">
      <alignment horizontal="center" vertical="top" wrapText="1"/>
    </xf>
    <xf numFmtId="0" fontId="0" fillId="0" borderId="25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26" pivotButton="0" quotePrefix="0" xfId="0"/>
    <xf numFmtId="0" fontId="0" fillId="0" borderId="78" pivotButton="0" quotePrefix="0" xfId="0"/>
    <xf numFmtId="0" fontId="0" fillId="0" borderId="79" pivotButton="0" quotePrefix="0" xfId="0"/>
    <xf numFmtId="0" fontId="19" fillId="0" borderId="89" applyAlignment="1" pivotButton="0" quotePrefix="0" xfId="0">
      <alignment horizontal="left" vertical="top" wrapText="1"/>
    </xf>
    <xf numFmtId="0" fontId="5" fillId="0" borderId="94" applyAlignment="1" pivotButton="0" quotePrefix="0" xfId="0">
      <alignment horizontal="left" vertical="top" wrapText="1"/>
    </xf>
    <xf numFmtId="9" fontId="5" fillId="0" borderId="90" applyAlignment="1" pivotButton="0" quotePrefix="0" xfId="1">
      <alignment horizontal="center" vertical="top" wrapText="1"/>
    </xf>
    <xf numFmtId="0" fontId="5" fillId="0" borderId="27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56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top" wrapText="1"/>
    </xf>
    <xf numFmtId="14" fontId="5" fillId="0" borderId="13" applyAlignment="1" pivotButton="0" quotePrefix="0" xfId="0">
      <alignment horizontal="left" vertical="top" wrapText="1"/>
    </xf>
    <xf numFmtId="164" fontId="5" fillId="0" borderId="56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left" vertical="top" wrapText="1"/>
    </xf>
    <xf numFmtId="14" fontId="5" fillId="0" borderId="3" applyAlignment="1" pivotButton="0" quotePrefix="0" xfId="0">
      <alignment horizontal="left" vertical="top" wrapText="1"/>
    </xf>
    <xf numFmtId="0" fontId="5" fillId="0" borderId="84" applyAlignment="1" pivotButton="0" quotePrefix="0" xfId="0">
      <alignment horizontal="left" vertical="top" wrapText="1"/>
    </xf>
    <xf numFmtId="0" fontId="5" fillId="0" borderId="68" applyAlignment="1" pivotButton="0" quotePrefix="0" xfId="0">
      <alignment horizontal="left" vertical="top" wrapText="1"/>
    </xf>
    <xf numFmtId="0" fontId="12" fillId="0" borderId="68" applyAlignment="1" pivotButton="0" quotePrefix="0" xfId="0">
      <alignment horizontal="left" vertical="top" wrapText="1"/>
    </xf>
    <xf numFmtId="14" fontId="5" fillId="0" borderId="68" applyAlignment="1" pivotButton="0" quotePrefix="0" xfId="0">
      <alignment horizontal="left" vertical="top" wrapText="1"/>
    </xf>
    <xf numFmtId="164" fontId="5" fillId="0" borderId="69" applyAlignment="1" pivotButton="0" quotePrefix="0" xfId="0">
      <alignment horizontal="center" vertical="top" wrapText="1"/>
    </xf>
    <xf numFmtId="0" fontId="5" fillId="0" borderId="69" applyAlignment="1" pivotButton="0" quotePrefix="0" xfId="0">
      <alignment horizontal="left" vertical="top" wrapText="1"/>
    </xf>
    <xf numFmtId="9" fontId="5" fillId="0" borderId="83" applyAlignment="1" pivotButton="0" quotePrefix="0" xfId="1">
      <alignment horizontal="center" vertical="top" wrapText="1"/>
    </xf>
    <xf numFmtId="0" fontId="12" fillId="0" borderId="65" applyAlignment="1" pivotButton="0" quotePrefix="0" xfId="0">
      <alignment horizontal="left" vertical="top" wrapText="1"/>
    </xf>
    <xf numFmtId="0" fontId="0" fillId="0" borderId="72" pivotButton="0" quotePrefix="0" xfId="0"/>
    <xf numFmtId="0" fontId="5" fillId="0" borderId="75" applyAlignment="1" pivotButton="0" quotePrefix="0" xfId="0">
      <alignment horizontal="left" vertical="top" wrapText="1"/>
    </xf>
    <xf numFmtId="0" fontId="12" fillId="0" borderId="76" applyAlignment="1" pivotButton="0" quotePrefix="0" xfId="0">
      <alignment horizontal="left" vertical="top" wrapText="1"/>
    </xf>
    <xf numFmtId="164" fontId="5" fillId="0" borderId="75" applyAlignment="1" pivotButton="0" quotePrefix="0" xfId="0">
      <alignment horizontal="center" vertical="top" wrapText="1"/>
    </xf>
    <xf numFmtId="0" fontId="28" fillId="0" borderId="74" applyAlignment="1" pivotButton="0" quotePrefix="0" xfId="0">
      <alignment horizontal="left" vertical="center" wrapText="1"/>
    </xf>
    <xf numFmtId="0" fontId="0" fillId="0" borderId="74" pivotButton="0" quotePrefix="0" xfId="0"/>
    <xf numFmtId="0" fontId="5" fillId="0" borderId="0" applyAlignment="1" pivotButton="0" quotePrefix="0" xfId="0">
      <alignment vertical="top" wrapText="1"/>
    </xf>
    <xf numFmtId="0" fontId="5" fillId="0" borderId="95" applyAlignment="1" pivotButton="0" quotePrefix="0" xfId="0">
      <alignment horizontal="left" vertical="top" wrapText="1"/>
    </xf>
    <xf numFmtId="9" fontId="0" fillId="0" borderId="96" applyAlignment="1" pivotButton="0" quotePrefix="0" xfId="0">
      <alignment horizontal="right" vertical="top"/>
    </xf>
    <xf numFmtId="0" fontId="0" fillId="0" borderId="17" pivotButton="0" quotePrefix="0" xfId="0"/>
    <xf numFmtId="0" fontId="0" fillId="0" borderId="18" pivotButton="0" quotePrefix="0" xfId="0"/>
    <xf numFmtId="9" fontId="5" fillId="0" borderId="89" applyAlignment="1" pivotButton="0" quotePrefix="0" xfId="0">
      <alignment horizontal="right" vertical="top" wrapText="1"/>
    </xf>
    <xf numFmtId="9" fontId="5" fillId="0" borderId="96" applyAlignment="1" pivotButton="0" quotePrefix="0" xfId="0">
      <alignment horizontal="right" vertical="top" wrapText="1"/>
    </xf>
    <xf numFmtId="0" fontId="0" fillId="0" borderId="29" pivotButton="0" quotePrefix="0" xfId="0"/>
    <xf numFmtId="0" fontId="5" fillId="0" borderId="97" applyAlignment="1" pivotButton="0" quotePrefix="0" xfId="0">
      <alignment horizontal="left" vertical="top" wrapText="1"/>
    </xf>
    <xf numFmtId="9" fontId="5" fillId="0" borderId="97" applyAlignment="1" pivotButton="0" quotePrefix="0" xfId="1">
      <alignment horizontal="center" vertical="top" wrapText="1"/>
    </xf>
    <xf numFmtId="9" fontId="5" fillId="0" borderId="98" applyAlignment="1" pivotButton="0" quotePrefix="0" xfId="1">
      <alignment horizontal="center" vertical="top" wrapText="1"/>
    </xf>
    <xf numFmtId="0" fontId="0" fillId="0" borderId="34" pivotButton="0" quotePrefix="0" xfId="0"/>
    <xf numFmtId="0" fontId="0" fillId="0" borderId="39" pivotButton="0" quotePrefix="0" xfId="0"/>
  </cellXfs>
  <cellStyles count="6">
    <cellStyle name="Обычный" xfId="0" builtinId="0"/>
    <cellStyle name="Процентный" xfId="1" builtinId="5"/>
    <cellStyle name="Хороший" xfId="2" builtinId="26"/>
    <cellStyle name="Плохой" xfId="3" builtinId="27"/>
    <cellStyle name="Нейтральный" xfId="4" builtinId="28"/>
    <cellStyle name="Гиперссылка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pivotCacheDefinition" Target="/xl/pivotCache/pivotCacheDefinition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3517576/AppData/Local/Microsoft/Windows/INetCache/Content.Outlook/LZAXXX1R/&#1040;&#1087;&#1083;&#1080;&#1092;&#1090;_&#1085;&#1077;&#1074;&#1099;&#1087;&#1086;&#1083;&#1085;&#1077;&#1085;&#1085;&#1099;&#1093;_&#1084;&#1077;&#1090;&#1088;&#1080;&#1082;_DD%20(00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0;&#1087;&#1083;&#1080;&#1092;&#1090;_&#1085;&#1077;&#1074;&#1099;&#1087;&#1086;&#1083;&#1085;&#1077;&#1085;&#1085;&#1099;&#1093;_&#1084;&#1077;&#1090;&#1088;&#1080;&#1082;_DD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евыполненные метрики"/>
      <sheetName val="Лист2"/>
      <sheetName val="Невыполненные метрики (2)"/>
    </sheetNames>
    <sheetDataSet>
      <sheetData sheetId="0">
        <row r="1">
          <cell r="A1" t="str">
            <v>Юнит</v>
          </cell>
          <cell r="B1" t="str">
            <v>Продукт</v>
          </cell>
        </row>
        <row r="2">
          <cell r="A2" t="str">
            <v>CBP</v>
          </cell>
          <cell r="B2" t="str">
            <v>POS-кредиты</v>
          </cell>
        </row>
        <row r="3">
          <cell r="A3" t="str">
            <v>CBP</v>
          </cell>
          <cell r="B3" t="str">
            <v>POS-кредиты</v>
          </cell>
        </row>
        <row r="4">
          <cell r="A4" t="str">
            <v>CBP</v>
          </cell>
          <cell r="B4" t="str">
            <v>POS-кредиты</v>
          </cell>
        </row>
        <row r="5">
          <cell r="A5" t="str">
            <v>CBP</v>
          </cell>
          <cell r="B5" t="str">
            <v>POS-кредиты</v>
          </cell>
        </row>
        <row r="6">
          <cell r="A6" t="str">
            <v>CBP</v>
          </cell>
          <cell r="B6" t="str">
            <v>POS-кредиты</v>
          </cell>
        </row>
        <row r="7">
          <cell r="A7" t="str">
            <v>CBP</v>
          </cell>
          <cell r="B7" t="str">
            <v>POS-кредиты</v>
          </cell>
        </row>
        <row r="8">
          <cell r="A8" t="str">
            <v>CBP</v>
          </cell>
          <cell r="B8" t="str">
            <v>POS-кредиты</v>
          </cell>
        </row>
        <row r="9">
          <cell r="A9" t="str">
            <v>CBP</v>
          </cell>
          <cell r="B9" t="str">
            <v>POS-кредиты</v>
          </cell>
        </row>
        <row r="10">
          <cell r="A10" t="str">
            <v>CBP</v>
          </cell>
          <cell r="B10" t="str">
            <v>POS-кредиты</v>
          </cell>
        </row>
        <row r="11">
          <cell r="A11" t="str">
            <v>CBP</v>
          </cell>
          <cell r="B11" t="str">
            <v>POS-кредиты</v>
          </cell>
        </row>
        <row r="12">
          <cell r="A12" t="str">
            <v>CBP</v>
          </cell>
          <cell r="B12" t="str">
            <v>POS-кредиты</v>
          </cell>
        </row>
        <row r="13">
          <cell r="A13" t="str">
            <v>CBP</v>
          </cell>
          <cell r="B13" t="str">
            <v>POS-кредиты</v>
          </cell>
        </row>
        <row r="14">
          <cell r="A14" t="str">
            <v>CBP</v>
          </cell>
          <cell r="B14" t="str">
            <v>POS-кредиты</v>
          </cell>
        </row>
        <row r="15">
          <cell r="A15" t="str">
            <v>CBP</v>
          </cell>
          <cell r="B15" t="str">
            <v>POS-кредиты</v>
          </cell>
        </row>
        <row r="16">
          <cell r="A16" t="str">
            <v>CBP</v>
          </cell>
          <cell r="B16" t="str">
            <v>POS-кредиты</v>
          </cell>
        </row>
        <row r="17">
          <cell r="A17" t="str">
            <v>CBP</v>
          </cell>
          <cell r="B17" t="str">
            <v>POS-кредиты</v>
          </cell>
        </row>
        <row r="18">
          <cell r="A18" t="str">
            <v>CBP</v>
          </cell>
          <cell r="B18" t="str">
            <v>POS-кредиты</v>
          </cell>
        </row>
        <row r="19">
          <cell r="A19" t="str">
            <v>CBP</v>
          </cell>
          <cell r="B19" t="str">
            <v>POS-кредиты</v>
          </cell>
        </row>
        <row r="20">
          <cell r="A20" t="str">
            <v>CBP</v>
          </cell>
          <cell r="B20" t="str">
            <v>Автокредит</v>
          </cell>
        </row>
        <row r="21">
          <cell r="A21" t="str">
            <v>CBP</v>
          </cell>
          <cell r="B21" t="str">
            <v>Автокредит</v>
          </cell>
        </row>
        <row r="22">
          <cell r="A22" t="str">
            <v>CBP</v>
          </cell>
          <cell r="B22" t="str">
            <v>Автокредит</v>
          </cell>
        </row>
        <row r="23">
          <cell r="A23" t="str">
            <v>CBP</v>
          </cell>
          <cell r="B23" t="str">
            <v>Автокредит</v>
          </cell>
        </row>
        <row r="24">
          <cell r="A24" t="str">
            <v>CBP</v>
          </cell>
          <cell r="B24" t="str">
            <v>Автокредит</v>
          </cell>
        </row>
        <row r="25">
          <cell r="A25" t="str">
            <v>CBP</v>
          </cell>
          <cell r="B25" t="str">
            <v>Автокредит</v>
          </cell>
        </row>
        <row r="26">
          <cell r="A26" t="str">
            <v>CBP</v>
          </cell>
          <cell r="B26" t="str">
            <v>Автокредит</v>
          </cell>
        </row>
        <row r="27">
          <cell r="A27" t="str">
            <v>CBP</v>
          </cell>
          <cell r="B27" t="str">
            <v>Автокредит</v>
          </cell>
        </row>
        <row r="28">
          <cell r="A28" t="str">
            <v>CBP</v>
          </cell>
          <cell r="B28" t="str">
            <v>Автокредит</v>
          </cell>
        </row>
        <row r="29">
          <cell r="A29" t="str">
            <v>CBP</v>
          </cell>
          <cell r="B29" t="str">
            <v>Автокредит</v>
          </cell>
        </row>
        <row r="30">
          <cell r="A30" t="str">
            <v>CBP</v>
          </cell>
          <cell r="B30" t="str">
            <v>Автокредит</v>
          </cell>
        </row>
        <row r="31">
          <cell r="A31" t="str">
            <v>CBP</v>
          </cell>
          <cell r="B31" t="str">
            <v>Автокредит</v>
          </cell>
        </row>
        <row r="32">
          <cell r="A32" t="str">
            <v>CBP</v>
          </cell>
          <cell r="B32" t="str">
            <v>Автокредит</v>
          </cell>
        </row>
        <row r="33">
          <cell r="A33" t="str">
            <v>CBP</v>
          </cell>
          <cell r="B33" t="str">
            <v>Автокредит</v>
          </cell>
        </row>
        <row r="34">
          <cell r="A34" t="str">
            <v>CBP</v>
          </cell>
          <cell r="B34" t="str">
            <v>Автокредит</v>
          </cell>
        </row>
        <row r="35">
          <cell r="A35" t="str">
            <v>CBP</v>
          </cell>
          <cell r="B35" t="str">
            <v>Автокредит</v>
          </cell>
        </row>
        <row r="36">
          <cell r="A36" t="str">
            <v>CBP</v>
          </cell>
          <cell r="B36" t="str">
            <v>Автокредит</v>
          </cell>
        </row>
        <row r="37">
          <cell r="A37" t="str">
            <v>CBP</v>
          </cell>
          <cell r="B37" t="str">
            <v>Автокредит</v>
          </cell>
        </row>
        <row r="38">
          <cell r="A38" t="str">
            <v>CBP</v>
          </cell>
          <cell r="B38" t="str">
            <v>Автокредит</v>
          </cell>
        </row>
        <row r="39">
          <cell r="A39" t="str">
            <v>CBP</v>
          </cell>
          <cell r="B39" t="str">
            <v>Автокредит</v>
          </cell>
        </row>
        <row r="40">
          <cell r="A40" t="str">
            <v>CBP</v>
          </cell>
          <cell r="B40" t="str">
            <v>Автокредит</v>
          </cell>
        </row>
        <row r="41">
          <cell r="A41" t="str">
            <v>CBP</v>
          </cell>
          <cell r="B41" t="str">
            <v>Вклады+НС</v>
          </cell>
        </row>
        <row r="42">
          <cell r="A42" t="str">
            <v>CBP</v>
          </cell>
          <cell r="B42" t="str">
            <v>Вклады+НС</v>
          </cell>
        </row>
        <row r="43">
          <cell r="A43" t="str">
            <v>CBP</v>
          </cell>
          <cell r="B43" t="str">
            <v>Вклады+НС</v>
          </cell>
        </row>
        <row r="44">
          <cell r="A44" t="str">
            <v>CBP</v>
          </cell>
          <cell r="B44" t="str">
            <v>Вклады+НС</v>
          </cell>
        </row>
        <row r="45">
          <cell r="A45" t="str">
            <v>CBP</v>
          </cell>
          <cell r="B45" t="str">
            <v>Вклады+НС</v>
          </cell>
        </row>
        <row r="46">
          <cell r="A46" t="str">
            <v>CBP</v>
          </cell>
          <cell r="B46" t="str">
            <v>Вклады+НС</v>
          </cell>
        </row>
        <row r="47">
          <cell r="A47" t="str">
            <v>CBP</v>
          </cell>
          <cell r="B47" t="str">
            <v>Вклады+НС</v>
          </cell>
        </row>
        <row r="48">
          <cell r="A48" t="str">
            <v>CBP</v>
          </cell>
          <cell r="B48" t="str">
            <v>Вклады+НС</v>
          </cell>
        </row>
        <row r="49">
          <cell r="A49" t="str">
            <v>CBP</v>
          </cell>
          <cell r="B49" t="str">
            <v>Вклады+НС</v>
          </cell>
        </row>
        <row r="50">
          <cell r="A50" t="str">
            <v>CBP</v>
          </cell>
          <cell r="B50" t="str">
            <v>Вклады+НС</v>
          </cell>
        </row>
        <row r="51">
          <cell r="A51" t="str">
            <v>CBP</v>
          </cell>
          <cell r="B51" t="str">
            <v>Вклады+НС</v>
          </cell>
        </row>
        <row r="52">
          <cell r="A52" t="str">
            <v>CBP</v>
          </cell>
          <cell r="B52" t="str">
            <v>Вклады+НС</v>
          </cell>
        </row>
        <row r="53">
          <cell r="A53" t="str">
            <v>CBP</v>
          </cell>
          <cell r="B53" t="str">
            <v>Вклады+НС</v>
          </cell>
        </row>
        <row r="54">
          <cell r="A54" t="str">
            <v>CBP</v>
          </cell>
          <cell r="B54" t="str">
            <v>Вклады+НС</v>
          </cell>
        </row>
        <row r="55">
          <cell r="A55" t="str">
            <v>CBP</v>
          </cell>
          <cell r="B55" t="str">
            <v>Вклады+НС</v>
          </cell>
        </row>
        <row r="56">
          <cell r="A56" t="str">
            <v>CBP</v>
          </cell>
          <cell r="B56" t="str">
            <v>Вклады+НС</v>
          </cell>
        </row>
        <row r="57">
          <cell r="A57" t="str">
            <v>CBP</v>
          </cell>
          <cell r="B57" t="str">
            <v>Вклады+НС</v>
          </cell>
        </row>
        <row r="58">
          <cell r="A58" t="str">
            <v>CBP</v>
          </cell>
          <cell r="B58" t="str">
            <v>Вклады+НС</v>
          </cell>
        </row>
        <row r="59">
          <cell r="A59" t="str">
            <v>CBP</v>
          </cell>
          <cell r="B59" t="str">
            <v>Вклады+НС</v>
          </cell>
        </row>
        <row r="60">
          <cell r="A60" t="str">
            <v>CBP</v>
          </cell>
          <cell r="B60" t="str">
            <v>Вклады+НС</v>
          </cell>
        </row>
        <row r="61">
          <cell r="A61" t="str">
            <v>CBP</v>
          </cell>
          <cell r="B61" t="str">
            <v>Вклады+НС</v>
          </cell>
        </row>
        <row r="62">
          <cell r="A62" t="str">
            <v>CBP</v>
          </cell>
          <cell r="B62" t="str">
            <v>Вклады+НС</v>
          </cell>
        </row>
        <row r="63">
          <cell r="A63" t="str">
            <v>CBP</v>
          </cell>
          <cell r="B63" t="str">
            <v>Конверсия</v>
          </cell>
        </row>
        <row r="64">
          <cell r="A64" t="str">
            <v>CBP</v>
          </cell>
          <cell r="B64" t="str">
            <v>Конверсия</v>
          </cell>
        </row>
        <row r="65">
          <cell r="A65" t="str">
            <v>CBP</v>
          </cell>
          <cell r="B65" t="str">
            <v>Конверсия</v>
          </cell>
        </row>
        <row r="66">
          <cell r="A66" t="str">
            <v>CBP</v>
          </cell>
          <cell r="B66" t="str">
            <v>Конверсия</v>
          </cell>
        </row>
        <row r="67">
          <cell r="A67" t="str">
            <v>CBP</v>
          </cell>
          <cell r="B67" t="str">
            <v>Конверсия</v>
          </cell>
        </row>
        <row r="68">
          <cell r="A68" t="str">
            <v>CBP</v>
          </cell>
          <cell r="B68" t="str">
            <v>Конверсия</v>
          </cell>
        </row>
        <row r="69">
          <cell r="A69" t="str">
            <v>CBP</v>
          </cell>
          <cell r="B69" t="str">
            <v>Конверсия</v>
          </cell>
        </row>
        <row r="70">
          <cell r="A70" t="str">
            <v>CBP</v>
          </cell>
          <cell r="B70" t="str">
            <v>Конверсия</v>
          </cell>
        </row>
        <row r="71">
          <cell r="A71" t="str">
            <v>CBP</v>
          </cell>
          <cell r="B71" t="str">
            <v>Конверсия</v>
          </cell>
        </row>
        <row r="72">
          <cell r="A72" t="str">
            <v>CBP</v>
          </cell>
          <cell r="B72" t="str">
            <v>Конверсия</v>
          </cell>
        </row>
        <row r="73">
          <cell r="A73" t="str">
            <v>CBP</v>
          </cell>
          <cell r="B73" t="str">
            <v>Конверсия</v>
          </cell>
        </row>
        <row r="74">
          <cell r="A74" t="str">
            <v>CBP</v>
          </cell>
          <cell r="B74" t="str">
            <v>Конверсия</v>
          </cell>
        </row>
        <row r="75">
          <cell r="A75" t="str">
            <v>CBP</v>
          </cell>
          <cell r="B75" t="str">
            <v>Конверсия</v>
          </cell>
        </row>
        <row r="76">
          <cell r="A76" t="str">
            <v>CBP</v>
          </cell>
          <cell r="B76" t="str">
            <v>Конверсия</v>
          </cell>
        </row>
        <row r="77">
          <cell r="A77" t="str">
            <v>CBP</v>
          </cell>
          <cell r="B77" t="str">
            <v>Конверсия</v>
          </cell>
        </row>
        <row r="78">
          <cell r="A78" t="str">
            <v>CBP</v>
          </cell>
          <cell r="B78" t="str">
            <v>Конверсия</v>
          </cell>
        </row>
        <row r="79">
          <cell r="A79" t="str">
            <v>CBP</v>
          </cell>
          <cell r="B79" t="str">
            <v>Конверсия</v>
          </cell>
        </row>
        <row r="80">
          <cell r="A80" t="str">
            <v>CBP</v>
          </cell>
          <cell r="B80" t="str">
            <v>Кредитный потенциал</v>
          </cell>
        </row>
        <row r="81">
          <cell r="A81" t="str">
            <v>CBP</v>
          </cell>
          <cell r="B81" t="str">
            <v>Кредитный потенциал</v>
          </cell>
        </row>
        <row r="82">
          <cell r="A82" t="str">
            <v>CBP</v>
          </cell>
          <cell r="B82" t="str">
            <v>Кредитный потенциал</v>
          </cell>
        </row>
        <row r="83">
          <cell r="A83" t="str">
            <v>CBP</v>
          </cell>
          <cell r="B83" t="str">
            <v>Кредитный потенциал</v>
          </cell>
        </row>
        <row r="84">
          <cell r="A84" t="str">
            <v>CBP</v>
          </cell>
          <cell r="B84" t="str">
            <v>Кредитный потенциал</v>
          </cell>
        </row>
        <row r="85">
          <cell r="A85" t="str">
            <v>CBP</v>
          </cell>
          <cell r="B85" t="str">
            <v>Кредитный потенциал</v>
          </cell>
        </row>
        <row r="86">
          <cell r="A86" t="str">
            <v>CBP</v>
          </cell>
          <cell r="B86" t="str">
            <v>Кредитный потенциал</v>
          </cell>
        </row>
        <row r="87">
          <cell r="A87" t="str">
            <v>CBP</v>
          </cell>
          <cell r="B87" t="str">
            <v>Кредитный потенциал</v>
          </cell>
        </row>
        <row r="88">
          <cell r="A88" t="str">
            <v>CBP</v>
          </cell>
          <cell r="B88" t="str">
            <v>Кредитный потенциал</v>
          </cell>
        </row>
        <row r="89">
          <cell r="A89" t="str">
            <v>CBP</v>
          </cell>
          <cell r="B89" t="str">
            <v>Кредитный потенциал</v>
          </cell>
        </row>
        <row r="90">
          <cell r="A90" t="str">
            <v>CBP</v>
          </cell>
          <cell r="B90" t="str">
            <v>Кредитный потенциал</v>
          </cell>
        </row>
        <row r="91">
          <cell r="A91" t="str">
            <v>CBP</v>
          </cell>
          <cell r="B91" t="str">
            <v>Кредитный потенциал</v>
          </cell>
        </row>
        <row r="92">
          <cell r="A92" t="str">
            <v>CBP</v>
          </cell>
          <cell r="B92" t="str">
            <v>Кредитный потенциал</v>
          </cell>
        </row>
        <row r="93">
          <cell r="A93" t="str">
            <v>CBP</v>
          </cell>
          <cell r="B93" t="str">
            <v>Монеты</v>
          </cell>
        </row>
        <row r="94">
          <cell r="A94" t="str">
            <v>CBP</v>
          </cell>
          <cell r="B94" t="str">
            <v>Монеты</v>
          </cell>
        </row>
        <row r="95">
          <cell r="A95" t="str">
            <v>CBP</v>
          </cell>
          <cell r="B95" t="str">
            <v>Монеты</v>
          </cell>
        </row>
        <row r="96">
          <cell r="A96" t="str">
            <v>CBP</v>
          </cell>
          <cell r="B96" t="str">
            <v>Монеты</v>
          </cell>
        </row>
        <row r="97">
          <cell r="A97" t="str">
            <v>CBP</v>
          </cell>
          <cell r="B97" t="str">
            <v>Монеты</v>
          </cell>
        </row>
        <row r="98">
          <cell r="A98" t="str">
            <v>CBP</v>
          </cell>
          <cell r="B98" t="str">
            <v>Монеты</v>
          </cell>
        </row>
        <row r="99">
          <cell r="A99" t="str">
            <v>CBP</v>
          </cell>
          <cell r="B99" t="str">
            <v>Монеты</v>
          </cell>
        </row>
        <row r="100">
          <cell r="A100" t="str">
            <v>CBP</v>
          </cell>
          <cell r="B100" t="str">
            <v>Монеты</v>
          </cell>
        </row>
        <row r="101">
          <cell r="A101" t="str">
            <v>CBP</v>
          </cell>
          <cell r="B101" t="str">
            <v>Монеты</v>
          </cell>
        </row>
        <row r="102">
          <cell r="A102" t="str">
            <v>CBP</v>
          </cell>
          <cell r="B102" t="str">
            <v>Монеты</v>
          </cell>
        </row>
        <row r="103">
          <cell r="A103" t="str">
            <v>CBP</v>
          </cell>
          <cell r="B103" t="str">
            <v>Монеты</v>
          </cell>
        </row>
        <row r="104">
          <cell r="A104" t="str">
            <v>CBP</v>
          </cell>
          <cell r="B104" t="str">
            <v>Монеты</v>
          </cell>
        </row>
        <row r="105">
          <cell r="A105" t="str">
            <v>CBP</v>
          </cell>
          <cell r="B105" t="str">
            <v>Монеты</v>
          </cell>
        </row>
        <row r="106">
          <cell r="A106" t="str">
            <v>CBP</v>
          </cell>
          <cell r="B106" t="str">
            <v>Монеты</v>
          </cell>
        </row>
        <row r="107">
          <cell r="A107" t="str">
            <v>CBP</v>
          </cell>
          <cell r="B107" t="str">
            <v>Монеты</v>
          </cell>
        </row>
        <row r="108">
          <cell r="A108" t="str">
            <v>CBP</v>
          </cell>
          <cell r="B108" t="str">
            <v>Монеты</v>
          </cell>
        </row>
        <row r="109">
          <cell r="A109" t="str">
            <v>CBP</v>
          </cell>
          <cell r="B109" t="str">
            <v>Монеты</v>
          </cell>
        </row>
        <row r="110">
          <cell r="A110" t="str">
            <v>CBP</v>
          </cell>
          <cell r="B110" t="str">
            <v>ОМС</v>
          </cell>
        </row>
        <row r="111">
          <cell r="A111" t="str">
            <v>CBP</v>
          </cell>
          <cell r="B111" t="str">
            <v>ОМС</v>
          </cell>
        </row>
        <row r="112">
          <cell r="A112" t="str">
            <v>CBP</v>
          </cell>
          <cell r="B112" t="str">
            <v>ОМС</v>
          </cell>
        </row>
        <row r="113">
          <cell r="A113" t="str">
            <v>CBP</v>
          </cell>
          <cell r="B113" t="str">
            <v>ОМС</v>
          </cell>
        </row>
        <row r="114">
          <cell r="A114" t="str">
            <v>CBP</v>
          </cell>
          <cell r="B114" t="str">
            <v>ОМС</v>
          </cell>
        </row>
        <row r="115">
          <cell r="A115" t="str">
            <v>CBP</v>
          </cell>
          <cell r="B115" t="str">
            <v>ОМС</v>
          </cell>
        </row>
        <row r="116">
          <cell r="A116" t="str">
            <v>CBP</v>
          </cell>
          <cell r="B116" t="str">
            <v>ОМС</v>
          </cell>
        </row>
        <row r="117">
          <cell r="A117" t="str">
            <v>CBP</v>
          </cell>
          <cell r="B117" t="str">
            <v>ОМС</v>
          </cell>
        </row>
        <row r="118">
          <cell r="A118" t="str">
            <v>CBP</v>
          </cell>
          <cell r="B118" t="str">
            <v>ОМС</v>
          </cell>
        </row>
        <row r="119">
          <cell r="A119" t="str">
            <v>CBP</v>
          </cell>
          <cell r="B119" t="str">
            <v>ОМС</v>
          </cell>
        </row>
        <row r="120">
          <cell r="A120" t="str">
            <v>CBP</v>
          </cell>
          <cell r="B120" t="str">
            <v>ОМС</v>
          </cell>
        </row>
        <row r="121">
          <cell r="A121" t="str">
            <v>CBP</v>
          </cell>
          <cell r="B121" t="str">
            <v>ОМС</v>
          </cell>
        </row>
        <row r="122">
          <cell r="A122" t="str">
            <v>CBP</v>
          </cell>
          <cell r="B122" t="str">
            <v>ОМС</v>
          </cell>
        </row>
        <row r="123">
          <cell r="A123" t="str">
            <v>CBP</v>
          </cell>
          <cell r="B123" t="str">
            <v>ОМС</v>
          </cell>
        </row>
        <row r="124">
          <cell r="A124" t="str">
            <v>CBP</v>
          </cell>
          <cell r="B124" t="str">
            <v>ОМС</v>
          </cell>
        </row>
        <row r="125">
          <cell r="A125" t="str">
            <v>CBP</v>
          </cell>
          <cell r="B125" t="str">
            <v>ОМС</v>
          </cell>
        </row>
        <row r="126">
          <cell r="A126" t="str">
            <v>CBP</v>
          </cell>
          <cell r="B126" t="str">
            <v>Образовательный кредит</v>
          </cell>
        </row>
        <row r="127">
          <cell r="A127" t="str">
            <v>CBP</v>
          </cell>
          <cell r="B127" t="str">
            <v>Образовательный кредит</v>
          </cell>
        </row>
        <row r="128">
          <cell r="A128" t="str">
            <v>CBP</v>
          </cell>
          <cell r="B128" t="str">
            <v>Образовательный кредит</v>
          </cell>
        </row>
        <row r="129">
          <cell r="A129" t="str">
            <v>CBP</v>
          </cell>
          <cell r="B129" t="str">
            <v>Образовательный кредит</v>
          </cell>
        </row>
        <row r="130">
          <cell r="A130" t="str">
            <v>CBP</v>
          </cell>
          <cell r="B130" t="str">
            <v>Образовательный кредит</v>
          </cell>
        </row>
        <row r="131">
          <cell r="A131" t="str">
            <v>CBP</v>
          </cell>
          <cell r="B131" t="str">
            <v>Образовательный кредит</v>
          </cell>
        </row>
        <row r="132">
          <cell r="A132" t="str">
            <v>CBP</v>
          </cell>
          <cell r="B132" t="str">
            <v>Образовательный кредит</v>
          </cell>
        </row>
        <row r="133">
          <cell r="A133" t="str">
            <v>CBP</v>
          </cell>
          <cell r="B133" t="str">
            <v>Образовательный кредит</v>
          </cell>
        </row>
        <row r="134">
          <cell r="A134" t="str">
            <v>CBP</v>
          </cell>
          <cell r="B134" t="str">
            <v>Образовательный кредит</v>
          </cell>
        </row>
        <row r="135">
          <cell r="A135" t="str">
            <v>CBP</v>
          </cell>
          <cell r="B135" t="str">
            <v>Образовательный кредит</v>
          </cell>
        </row>
        <row r="136">
          <cell r="A136" t="str">
            <v>CBP</v>
          </cell>
          <cell r="B136" t="str">
            <v>Образовательный кредит</v>
          </cell>
        </row>
        <row r="137">
          <cell r="A137" t="str">
            <v>CBP</v>
          </cell>
          <cell r="B137" t="str">
            <v>Образовательный кредит</v>
          </cell>
        </row>
        <row r="138">
          <cell r="A138" t="str">
            <v>CBP</v>
          </cell>
          <cell r="B138" t="str">
            <v>Объект Авто</v>
          </cell>
        </row>
        <row r="139">
          <cell r="A139" t="str">
            <v>CBP</v>
          </cell>
          <cell r="B139" t="str">
            <v>Объект Авто</v>
          </cell>
        </row>
        <row r="140">
          <cell r="A140" t="str">
            <v>CBP</v>
          </cell>
          <cell r="B140" t="str">
            <v>Объект Авто</v>
          </cell>
        </row>
        <row r="141">
          <cell r="A141" t="str">
            <v>CBP</v>
          </cell>
          <cell r="B141" t="str">
            <v>Объект Авто</v>
          </cell>
        </row>
        <row r="142">
          <cell r="A142" t="str">
            <v>CBP</v>
          </cell>
          <cell r="B142" t="str">
            <v>Объект Авто</v>
          </cell>
        </row>
        <row r="143">
          <cell r="A143" t="str">
            <v>CBP</v>
          </cell>
          <cell r="B143" t="str">
            <v>Объект Авто</v>
          </cell>
        </row>
        <row r="144">
          <cell r="A144" t="str">
            <v>CBP</v>
          </cell>
          <cell r="B144" t="str">
            <v>Объект Авто</v>
          </cell>
        </row>
        <row r="145">
          <cell r="A145" t="str">
            <v>CBP</v>
          </cell>
          <cell r="B145" t="str">
            <v>Объект Авто</v>
          </cell>
        </row>
        <row r="146">
          <cell r="A146" t="str">
            <v>CBP</v>
          </cell>
          <cell r="B146" t="str">
            <v>Объект Авто</v>
          </cell>
        </row>
        <row r="147">
          <cell r="A147" t="str">
            <v>CBP</v>
          </cell>
          <cell r="B147" t="str">
            <v>Объект Авто</v>
          </cell>
        </row>
        <row r="148">
          <cell r="A148" t="str">
            <v>CBP</v>
          </cell>
          <cell r="B148" t="str">
            <v>Объект Авто</v>
          </cell>
        </row>
        <row r="149">
          <cell r="A149" t="str">
            <v>CBP</v>
          </cell>
          <cell r="B149" t="str">
            <v>Объект Авто</v>
          </cell>
        </row>
        <row r="150">
          <cell r="A150" t="str">
            <v>CBP</v>
          </cell>
          <cell r="B150" t="str">
            <v>Объект Авто</v>
          </cell>
        </row>
        <row r="151">
          <cell r="A151" t="str">
            <v>CBP</v>
          </cell>
          <cell r="B151" t="str">
            <v>Объект Авто</v>
          </cell>
        </row>
        <row r="152">
          <cell r="A152" t="str">
            <v>CBP</v>
          </cell>
          <cell r="B152" t="str">
            <v>Объект Авто</v>
          </cell>
        </row>
        <row r="153">
          <cell r="A153" t="str">
            <v>CBP</v>
          </cell>
          <cell r="B153" t="str">
            <v>Объект Авто</v>
          </cell>
        </row>
        <row r="154">
          <cell r="A154" t="str">
            <v>CBP</v>
          </cell>
          <cell r="B154" t="str">
            <v>Объект Авто</v>
          </cell>
        </row>
        <row r="155">
          <cell r="A155" t="str">
            <v>CBP</v>
          </cell>
          <cell r="B155" t="str">
            <v>Объект Авто</v>
          </cell>
        </row>
        <row r="156">
          <cell r="A156" t="str">
            <v>CBP</v>
          </cell>
          <cell r="B156" t="str">
            <v>Объект Авто</v>
          </cell>
        </row>
        <row r="157">
          <cell r="A157" t="str">
            <v>CBP</v>
          </cell>
          <cell r="B157" t="str">
            <v>Объект Авто</v>
          </cell>
        </row>
        <row r="158">
          <cell r="A158" t="str">
            <v>CBP</v>
          </cell>
          <cell r="B158" t="str">
            <v>Объект Авто</v>
          </cell>
        </row>
        <row r="159">
          <cell r="A159" t="str">
            <v>CBP</v>
          </cell>
          <cell r="B159" t="str">
            <v>Объект Авто</v>
          </cell>
        </row>
        <row r="160">
          <cell r="A160" t="str">
            <v>CBP</v>
          </cell>
          <cell r="B160" t="str">
            <v>Потребительский кредит</v>
          </cell>
        </row>
        <row r="161">
          <cell r="A161" t="str">
            <v>CBP</v>
          </cell>
          <cell r="B161" t="str">
            <v>Потребительский кредит</v>
          </cell>
        </row>
        <row r="162">
          <cell r="A162" t="str">
            <v>CBP</v>
          </cell>
          <cell r="B162" t="str">
            <v>Потребительский кредит</v>
          </cell>
        </row>
        <row r="163">
          <cell r="A163" t="str">
            <v>CBP</v>
          </cell>
          <cell r="B163" t="str">
            <v>Потребительский кредит</v>
          </cell>
        </row>
        <row r="164">
          <cell r="A164" t="str">
            <v>CBP</v>
          </cell>
          <cell r="B164" t="str">
            <v>Потребительский кредит</v>
          </cell>
        </row>
        <row r="165">
          <cell r="A165" t="str">
            <v>CBP</v>
          </cell>
          <cell r="B165" t="str">
            <v>Потребительский кредит</v>
          </cell>
        </row>
        <row r="166">
          <cell r="A166" t="str">
            <v>CBP</v>
          </cell>
          <cell r="B166" t="str">
            <v>Потребительский кредит</v>
          </cell>
        </row>
        <row r="167">
          <cell r="A167" t="str">
            <v>CBP</v>
          </cell>
          <cell r="B167" t="str">
            <v>Потребительский кредит</v>
          </cell>
        </row>
        <row r="168">
          <cell r="A168" t="str">
            <v>CBP</v>
          </cell>
          <cell r="B168" t="str">
            <v>Потребительский кредит</v>
          </cell>
        </row>
        <row r="169">
          <cell r="A169" t="str">
            <v>CBP</v>
          </cell>
          <cell r="B169" t="str">
            <v>Потребительский кредит</v>
          </cell>
        </row>
        <row r="170">
          <cell r="A170" t="str">
            <v>CBP</v>
          </cell>
          <cell r="B170" t="str">
            <v>Потребительский кредит</v>
          </cell>
        </row>
        <row r="171">
          <cell r="A171" t="str">
            <v>CBP</v>
          </cell>
          <cell r="B171" t="str">
            <v>Потребительский кредит</v>
          </cell>
        </row>
        <row r="172">
          <cell r="A172" t="str">
            <v>CBP</v>
          </cell>
          <cell r="B172" t="str">
            <v>Потребительский кредит</v>
          </cell>
        </row>
        <row r="173">
          <cell r="A173" t="str">
            <v>CBP</v>
          </cell>
          <cell r="B173" t="str">
            <v>Сейфы</v>
          </cell>
        </row>
        <row r="174">
          <cell r="A174" t="str">
            <v>CBP</v>
          </cell>
          <cell r="B174" t="str">
            <v>Сейфы</v>
          </cell>
        </row>
        <row r="175">
          <cell r="A175" t="str">
            <v>CBP</v>
          </cell>
          <cell r="B175" t="str">
            <v>Сейфы</v>
          </cell>
        </row>
        <row r="176">
          <cell r="A176" t="str">
            <v>CBP</v>
          </cell>
          <cell r="B176" t="str">
            <v>Сейфы</v>
          </cell>
        </row>
        <row r="177">
          <cell r="A177" t="str">
            <v>CBP</v>
          </cell>
          <cell r="B177" t="str">
            <v>Сейфы</v>
          </cell>
        </row>
        <row r="178">
          <cell r="A178" t="str">
            <v>CBP</v>
          </cell>
          <cell r="B178" t="str">
            <v>Сейфы</v>
          </cell>
        </row>
        <row r="179">
          <cell r="A179" t="str">
            <v>CBP</v>
          </cell>
          <cell r="B179" t="str">
            <v>Сейфы</v>
          </cell>
        </row>
        <row r="180">
          <cell r="A180" t="str">
            <v>CBP</v>
          </cell>
          <cell r="B180" t="str">
            <v>Сейфы</v>
          </cell>
        </row>
        <row r="181">
          <cell r="A181" t="str">
            <v>CBP</v>
          </cell>
          <cell r="B181" t="str">
            <v>Сейфы</v>
          </cell>
        </row>
        <row r="182">
          <cell r="A182" t="str">
            <v>CBP</v>
          </cell>
          <cell r="B182" t="str">
            <v>Сейфы</v>
          </cell>
        </row>
        <row r="183">
          <cell r="A183" t="str">
            <v>CBP</v>
          </cell>
          <cell r="B183" t="str">
            <v>Сейфы</v>
          </cell>
        </row>
        <row r="184">
          <cell r="A184" t="str">
            <v>CBP</v>
          </cell>
          <cell r="B184" t="str">
            <v>Сейфы</v>
          </cell>
        </row>
        <row r="185">
          <cell r="A185" t="str">
            <v>CBP</v>
          </cell>
          <cell r="B185" t="str">
            <v>Сейфы</v>
          </cell>
        </row>
        <row r="186">
          <cell r="A186" t="str">
            <v>CBP</v>
          </cell>
          <cell r="B186" t="str">
            <v>Сейфы</v>
          </cell>
        </row>
        <row r="187">
          <cell r="A187" t="str">
            <v>CBP</v>
          </cell>
          <cell r="B187" t="str">
            <v>Сейфы</v>
          </cell>
        </row>
        <row r="188">
          <cell r="A188" t="str">
            <v>CBP</v>
          </cell>
          <cell r="B188" t="str">
            <v>Сейфы</v>
          </cell>
        </row>
        <row r="189">
          <cell r="A189" t="str">
            <v>CBP</v>
          </cell>
          <cell r="B189" t="str">
            <v>Сейфы</v>
          </cell>
        </row>
        <row r="190">
          <cell r="A190" t="str">
            <v>CBP</v>
          </cell>
          <cell r="B190" t="str">
            <v>Сейфы</v>
          </cell>
        </row>
        <row r="191">
          <cell r="A191" t="str">
            <v>CBP</v>
          </cell>
          <cell r="B191" t="str">
            <v>Сейфы</v>
          </cell>
        </row>
        <row r="192">
          <cell r="A192" t="str">
            <v>CBP</v>
          </cell>
          <cell r="B192" t="str">
            <v>Сейфы</v>
          </cell>
        </row>
        <row r="193">
          <cell r="A193" t="str">
            <v>CBP</v>
          </cell>
          <cell r="B193" t="str">
            <v>Сейфы</v>
          </cell>
        </row>
        <row r="194">
          <cell r="A194" t="str">
            <v>CBP</v>
          </cell>
          <cell r="B194" t="str">
            <v>Слитки</v>
          </cell>
        </row>
        <row r="195">
          <cell r="A195" t="str">
            <v>CBP</v>
          </cell>
          <cell r="B195" t="str">
            <v>Слитки</v>
          </cell>
        </row>
        <row r="196">
          <cell r="A196" t="str">
            <v>CBP</v>
          </cell>
          <cell r="B196" t="str">
            <v>Слитки</v>
          </cell>
        </row>
        <row r="197">
          <cell r="A197" t="str">
            <v>CBP</v>
          </cell>
          <cell r="B197" t="str">
            <v>Слитки</v>
          </cell>
        </row>
        <row r="198">
          <cell r="A198" t="str">
            <v>CBP</v>
          </cell>
          <cell r="B198" t="str">
            <v>Слитки</v>
          </cell>
        </row>
        <row r="199">
          <cell r="A199" t="str">
            <v>CBP</v>
          </cell>
          <cell r="B199" t="str">
            <v>Слитки</v>
          </cell>
        </row>
        <row r="200">
          <cell r="A200" t="str">
            <v>CBP</v>
          </cell>
          <cell r="B200" t="str">
            <v>Слитки</v>
          </cell>
        </row>
        <row r="201">
          <cell r="A201" t="str">
            <v>CBP</v>
          </cell>
          <cell r="B201" t="str">
            <v>Слитки</v>
          </cell>
        </row>
        <row r="202">
          <cell r="A202" t="str">
            <v>CBP</v>
          </cell>
          <cell r="B202" t="str">
            <v>Слитки</v>
          </cell>
        </row>
        <row r="203">
          <cell r="A203" t="str">
            <v>CBP</v>
          </cell>
          <cell r="B203" t="str">
            <v>Слитки</v>
          </cell>
        </row>
        <row r="204">
          <cell r="A204" t="str">
            <v>CBP</v>
          </cell>
          <cell r="B204" t="str">
            <v>Слитки</v>
          </cell>
        </row>
        <row r="205">
          <cell r="A205" t="str">
            <v>CBP</v>
          </cell>
          <cell r="B205" t="str">
            <v>Слитки</v>
          </cell>
        </row>
        <row r="206">
          <cell r="A206" t="str">
            <v>CBP</v>
          </cell>
          <cell r="B206" t="str">
            <v>Слитки</v>
          </cell>
        </row>
        <row r="207">
          <cell r="A207" t="str">
            <v>CBP</v>
          </cell>
          <cell r="B207" t="str">
            <v>Слитки</v>
          </cell>
        </row>
        <row r="208">
          <cell r="A208" t="str">
            <v>CBP</v>
          </cell>
          <cell r="B208" t="str">
            <v>Слитки</v>
          </cell>
        </row>
        <row r="209">
          <cell r="A209" t="str">
            <v>CBP</v>
          </cell>
          <cell r="B209" t="str">
            <v>Слитки</v>
          </cell>
        </row>
        <row r="210">
          <cell r="A210" t="str">
            <v>CBP</v>
          </cell>
          <cell r="B210" t="str">
            <v>Слитки</v>
          </cell>
        </row>
        <row r="211">
          <cell r="A211" t="str">
            <v>CBP</v>
          </cell>
          <cell r="B211" t="str">
            <v>Слитки</v>
          </cell>
        </row>
        <row r="212">
          <cell r="A212" t="str">
            <v>CBP</v>
          </cell>
          <cell r="B212" t="str">
            <v>Слитки</v>
          </cell>
        </row>
        <row r="213">
          <cell r="A213" t="str">
            <v>CBP</v>
          </cell>
          <cell r="B213" t="str">
            <v>Слитки</v>
          </cell>
        </row>
        <row r="214">
          <cell r="A214" t="str">
            <v>CBP</v>
          </cell>
          <cell r="B214" t="str">
            <v>Слитки</v>
          </cell>
        </row>
        <row r="215">
          <cell r="A215" t="str">
            <v>CBP</v>
          </cell>
          <cell r="B215" t="str">
            <v>Слитки</v>
          </cell>
        </row>
        <row r="216">
          <cell r="A216" t="str">
            <v>CBP</v>
          </cell>
          <cell r="B216" t="str">
            <v>Слитки</v>
          </cell>
        </row>
        <row r="217">
          <cell r="A217" t="str">
            <v>CBP</v>
          </cell>
          <cell r="B217" t="str">
            <v>Слитки</v>
          </cell>
        </row>
        <row r="218">
          <cell r="A218" t="str">
            <v>CBP</v>
          </cell>
          <cell r="B218" t="str">
            <v>Слитки</v>
          </cell>
        </row>
        <row r="219">
          <cell r="A219" t="str">
            <v>CBP</v>
          </cell>
          <cell r="B219" t="str">
            <v>Слитки</v>
          </cell>
        </row>
        <row r="220">
          <cell r="A220" t="str">
            <v>CX</v>
          </cell>
          <cell r="B220" t="str">
            <v>PB</v>
          </cell>
        </row>
        <row r="221">
          <cell r="A221" t="str">
            <v>CX</v>
          </cell>
          <cell r="B221" t="str">
            <v>PB</v>
          </cell>
        </row>
        <row r="222">
          <cell r="A222" t="str">
            <v>CX</v>
          </cell>
          <cell r="B222" t="str">
            <v>PB</v>
          </cell>
        </row>
        <row r="223">
          <cell r="A223" t="str">
            <v>CX</v>
          </cell>
          <cell r="B223" t="str">
            <v>PB</v>
          </cell>
        </row>
        <row r="224">
          <cell r="A224" t="str">
            <v>CX</v>
          </cell>
          <cell r="B224" t="str">
            <v>PB</v>
          </cell>
        </row>
        <row r="225">
          <cell r="A225" t="str">
            <v>CX</v>
          </cell>
          <cell r="B225" t="str">
            <v>PB</v>
          </cell>
        </row>
        <row r="226">
          <cell r="A226" t="str">
            <v>CX</v>
          </cell>
          <cell r="B226" t="str">
            <v>PB</v>
          </cell>
        </row>
        <row r="227">
          <cell r="A227" t="str">
            <v>CX</v>
          </cell>
          <cell r="B227" t="str">
            <v>PB</v>
          </cell>
        </row>
        <row r="228">
          <cell r="A228" t="str">
            <v>CX</v>
          </cell>
          <cell r="B228" t="str">
            <v>PB</v>
          </cell>
        </row>
        <row r="229">
          <cell r="A229" t="str">
            <v>CX</v>
          </cell>
          <cell r="B229" t="str">
            <v>PB</v>
          </cell>
        </row>
        <row r="230">
          <cell r="A230" t="str">
            <v>CX</v>
          </cell>
          <cell r="B230" t="str">
            <v>PB</v>
          </cell>
        </row>
        <row r="231">
          <cell r="A231" t="str">
            <v>CX</v>
          </cell>
          <cell r="B231" t="str">
            <v>PB</v>
          </cell>
        </row>
        <row r="232">
          <cell r="A232" t="str">
            <v>CX</v>
          </cell>
          <cell r="B232" t="str">
            <v>PB</v>
          </cell>
        </row>
        <row r="233">
          <cell r="A233" t="str">
            <v>CX</v>
          </cell>
          <cell r="B233" t="str">
            <v>PB</v>
          </cell>
        </row>
        <row r="234">
          <cell r="A234" t="str">
            <v>CX</v>
          </cell>
          <cell r="B234" t="str">
            <v>PB</v>
          </cell>
        </row>
        <row r="235">
          <cell r="A235" t="str">
            <v>CX</v>
          </cell>
          <cell r="B235" t="str">
            <v>PB</v>
          </cell>
        </row>
        <row r="236">
          <cell r="A236" t="str">
            <v>CX</v>
          </cell>
          <cell r="B236" t="str">
            <v>PB</v>
          </cell>
        </row>
        <row r="237">
          <cell r="A237" t="str">
            <v>CX</v>
          </cell>
          <cell r="B237" t="str">
            <v>Top Affluent</v>
          </cell>
        </row>
        <row r="238">
          <cell r="A238" t="str">
            <v>CX</v>
          </cell>
          <cell r="B238" t="str">
            <v>Top Affluent</v>
          </cell>
        </row>
        <row r="239">
          <cell r="A239" t="str">
            <v>CX</v>
          </cell>
          <cell r="B239" t="str">
            <v>Top Affluent</v>
          </cell>
        </row>
        <row r="240">
          <cell r="A240" t="str">
            <v>CX</v>
          </cell>
          <cell r="B240" t="str">
            <v>Top Affluent</v>
          </cell>
        </row>
        <row r="241">
          <cell r="A241" t="str">
            <v>CX</v>
          </cell>
          <cell r="B241" t="str">
            <v>Top Affluent</v>
          </cell>
        </row>
        <row r="242">
          <cell r="A242" t="str">
            <v>CX</v>
          </cell>
          <cell r="B242" t="str">
            <v>Top Affluent</v>
          </cell>
        </row>
        <row r="243">
          <cell r="A243" t="str">
            <v>CX</v>
          </cell>
          <cell r="B243" t="str">
            <v>Top Affluent</v>
          </cell>
        </row>
        <row r="244">
          <cell r="A244" t="str">
            <v>CX</v>
          </cell>
          <cell r="B244" t="str">
            <v>Top Affluent</v>
          </cell>
        </row>
        <row r="245">
          <cell r="A245" t="str">
            <v>CX</v>
          </cell>
          <cell r="B245" t="str">
            <v>Top Affluent</v>
          </cell>
        </row>
        <row r="246">
          <cell r="A246" t="str">
            <v>CX</v>
          </cell>
          <cell r="B246" t="str">
            <v>Top Affluent</v>
          </cell>
        </row>
        <row r="247">
          <cell r="A247" t="str">
            <v>CX</v>
          </cell>
          <cell r="B247" t="str">
            <v>Top Affluent</v>
          </cell>
        </row>
        <row r="248">
          <cell r="A248" t="str">
            <v>CX</v>
          </cell>
          <cell r="B248" t="str">
            <v>Top Affluent</v>
          </cell>
        </row>
        <row r="249">
          <cell r="A249" t="str">
            <v>CX</v>
          </cell>
          <cell r="B249" t="str">
            <v>Top Affluent</v>
          </cell>
        </row>
        <row r="250">
          <cell r="A250" t="str">
            <v>CX</v>
          </cell>
          <cell r="B250" t="str">
            <v>Top Affluent</v>
          </cell>
        </row>
        <row r="251">
          <cell r="A251" t="str">
            <v>CX</v>
          </cell>
          <cell r="B251" t="str">
            <v>Top Affluent</v>
          </cell>
        </row>
        <row r="252">
          <cell r="A252" t="str">
            <v>CX</v>
          </cell>
          <cell r="B252" t="str">
            <v>Top Affluent</v>
          </cell>
        </row>
        <row r="253">
          <cell r="A253" t="str">
            <v>CX</v>
          </cell>
          <cell r="B253" t="str">
            <v>Top Affluent</v>
          </cell>
        </row>
        <row r="254">
          <cell r="A254" t="str">
            <v>CX</v>
          </cell>
          <cell r="B254" t="str">
            <v>Дети</v>
          </cell>
        </row>
        <row r="255">
          <cell r="A255" t="str">
            <v>CX</v>
          </cell>
          <cell r="B255" t="str">
            <v>Дети</v>
          </cell>
        </row>
        <row r="256">
          <cell r="A256" t="str">
            <v>CX</v>
          </cell>
          <cell r="B256" t="str">
            <v>Дети</v>
          </cell>
        </row>
        <row r="257">
          <cell r="A257" t="str">
            <v>CX</v>
          </cell>
          <cell r="B257" t="str">
            <v>Дети</v>
          </cell>
        </row>
        <row r="258">
          <cell r="A258" t="str">
            <v>CX</v>
          </cell>
          <cell r="B258" t="str">
            <v>Дети</v>
          </cell>
        </row>
        <row r="259">
          <cell r="A259" t="str">
            <v>CX</v>
          </cell>
          <cell r="B259" t="str">
            <v>Дети</v>
          </cell>
        </row>
        <row r="260">
          <cell r="A260" t="str">
            <v>CX</v>
          </cell>
          <cell r="B260" t="str">
            <v>Дети</v>
          </cell>
        </row>
        <row r="261">
          <cell r="A261" t="str">
            <v>CX</v>
          </cell>
          <cell r="B261" t="str">
            <v>Дети</v>
          </cell>
        </row>
        <row r="262">
          <cell r="A262" t="str">
            <v>CX</v>
          </cell>
          <cell r="B262" t="str">
            <v>Дети</v>
          </cell>
        </row>
        <row r="263">
          <cell r="A263" t="str">
            <v>CX</v>
          </cell>
          <cell r="B263" t="str">
            <v>Дети</v>
          </cell>
        </row>
        <row r="264">
          <cell r="A264" t="str">
            <v>CX</v>
          </cell>
          <cell r="B264" t="str">
            <v>Дети</v>
          </cell>
        </row>
        <row r="265">
          <cell r="A265" t="str">
            <v>CX</v>
          </cell>
          <cell r="B265" t="str">
            <v>Дети</v>
          </cell>
        </row>
        <row r="266">
          <cell r="A266" t="str">
            <v>CX</v>
          </cell>
          <cell r="B266" t="str">
            <v>Дети</v>
          </cell>
        </row>
        <row r="267">
          <cell r="A267" t="str">
            <v>CX</v>
          </cell>
          <cell r="B267" t="str">
            <v>Дети</v>
          </cell>
        </row>
        <row r="268">
          <cell r="A268" t="str">
            <v>CX</v>
          </cell>
          <cell r="B268" t="str">
            <v>Дети</v>
          </cell>
        </row>
        <row r="269">
          <cell r="A269" t="str">
            <v>CX</v>
          </cell>
          <cell r="B269" t="str">
            <v>Зрелость</v>
          </cell>
        </row>
        <row r="270">
          <cell r="A270" t="str">
            <v>CX</v>
          </cell>
          <cell r="B270" t="str">
            <v>Зрелость</v>
          </cell>
        </row>
        <row r="271">
          <cell r="A271" t="str">
            <v>CX</v>
          </cell>
          <cell r="B271" t="str">
            <v>Зрелость</v>
          </cell>
        </row>
        <row r="272">
          <cell r="A272" t="str">
            <v>CX</v>
          </cell>
          <cell r="B272" t="str">
            <v>Зрелость</v>
          </cell>
        </row>
        <row r="273">
          <cell r="A273" t="str">
            <v>CX</v>
          </cell>
          <cell r="B273" t="str">
            <v>Зрелость</v>
          </cell>
        </row>
        <row r="274">
          <cell r="A274" t="str">
            <v>CX</v>
          </cell>
          <cell r="B274" t="str">
            <v>Зрелость</v>
          </cell>
        </row>
        <row r="275">
          <cell r="A275" t="str">
            <v>CX</v>
          </cell>
          <cell r="B275" t="str">
            <v>Зрелость</v>
          </cell>
        </row>
        <row r="276">
          <cell r="A276" t="str">
            <v>CX</v>
          </cell>
          <cell r="B276" t="str">
            <v>Зрелость</v>
          </cell>
        </row>
        <row r="277">
          <cell r="A277" t="str">
            <v>CX</v>
          </cell>
          <cell r="B277" t="str">
            <v>Зрелость</v>
          </cell>
        </row>
        <row r="278">
          <cell r="A278" t="str">
            <v>CX</v>
          </cell>
          <cell r="B278" t="str">
            <v>Зрелость</v>
          </cell>
        </row>
        <row r="279">
          <cell r="A279" t="str">
            <v>CX</v>
          </cell>
          <cell r="B279" t="str">
            <v>Зрелость</v>
          </cell>
        </row>
        <row r="280">
          <cell r="A280" t="str">
            <v>CX</v>
          </cell>
          <cell r="B280" t="str">
            <v>Зрелость</v>
          </cell>
        </row>
        <row r="281">
          <cell r="A281" t="str">
            <v>CX</v>
          </cell>
          <cell r="B281" t="str">
            <v>Зрелость</v>
          </cell>
        </row>
        <row r="282">
          <cell r="A282" t="str">
            <v>CX</v>
          </cell>
          <cell r="B282" t="str">
            <v>Зрелость</v>
          </cell>
        </row>
        <row r="283">
          <cell r="A283" t="str">
            <v>CX</v>
          </cell>
          <cell r="B283" t="str">
            <v>Зрелость</v>
          </cell>
        </row>
        <row r="284">
          <cell r="A284" t="str">
            <v>CX</v>
          </cell>
          <cell r="B284" t="str">
            <v>Зрелость</v>
          </cell>
        </row>
        <row r="285">
          <cell r="A285" t="str">
            <v>CX</v>
          </cell>
          <cell r="B285" t="str">
            <v>Зрелость</v>
          </cell>
        </row>
        <row r="286">
          <cell r="A286" t="str">
            <v>CX</v>
          </cell>
          <cell r="B286" t="str">
            <v>МВС</v>
          </cell>
        </row>
        <row r="287">
          <cell r="A287" t="str">
            <v>CX</v>
          </cell>
          <cell r="B287" t="str">
            <v>МВС</v>
          </cell>
        </row>
        <row r="288">
          <cell r="A288" t="str">
            <v>CX</v>
          </cell>
          <cell r="B288" t="str">
            <v>МВС</v>
          </cell>
        </row>
        <row r="289">
          <cell r="A289" t="str">
            <v>CX</v>
          </cell>
          <cell r="B289" t="str">
            <v>МВС</v>
          </cell>
        </row>
        <row r="290">
          <cell r="A290" t="str">
            <v>CX</v>
          </cell>
          <cell r="B290" t="str">
            <v>МВС</v>
          </cell>
        </row>
        <row r="291">
          <cell r="A291" t="str">
            <v>CX</v>
          </cell>
          <cell r="B291" t="str">
            <v>МВС</v>
          </cell>
        </row>
        <row r="292">
          <cell r="A292" t="str">
            <v>CX</v>
          </cell>
          <cell r="B292" t="str">
            <v>МВС</v>
          </cell>
        </row>
        <row r="293">
          <cell r="A293" t="str">
            <v>CX</v>
          </cell>
          <cell r="B293" t="str">
            <v>МВС</v>
          </cell>
        </row>
        <row r="294">
          <cell r="A294" t="str">
            <v>CX</v>
          </cell>
          <cell r="B294" t="str">
            <v>МВС</v>
          </cell>
        </row>
        <row r="295">
          <cell r="A295" t="str">
            <v>CX</v>
          </cell>
          <cell r="B295" t="str">
            <v>МВС</v>
          </cell>
        </row>
        <row r="296">
          <cell r="A296" t="str">
            <v>CX</v>
          </cell>
          <cell r="B296" t="str">
            <v>МВС</v>
          </cell>
        </row>
        <row r="297">
          <cell r="A297" t="str">
            <v>CX</v>
          </cell>
          <cell r="B297" t="str">
            <v>МВС</v>
          </cell>
        </row>
        <row r="298">
          <cell r="A298" t="str">
            <v>CX</v>
          </cell>
          <cell r="B298" t="str">
            <v>МВС</v>
          </cell>
        </row>
        <row r="299">
          <cell r="A299" t="str">
            <v>CX</v>
          </cell>
          <cell r="B299" t="str">
            <v>МВС</v>
          </cell>
        </row>
        <row r="300">
          <cell r="A300" t="str">
            <v>CX</v>
          </cell>
          <cell r="B300" t="str">
            <v>МВС</v>
          </cell>
        </row>
        <row r="301">
          <cell r="A301" t="str">
            <v>CX</v>
          </cell>
          <cell r="B301" t="str">
            <v>МВС</v>
          </cell>
        </row>
        <row r="302">
          <cell r="A302" t="str">
            <v>CX</v>
          </cell>
          <cell r="B302" t="str">
            <v>МВС</v>
          </cell>
        </row>
        <row r="303">
          <cell r="A303" t="str">
            <v>CX</v>
          </cell>
          <cell r="B303" t="str">
            <v>МВС</v>
          </cell>
        </row>
        <row r="304">
          <cell r="A304" t="str">
            <v>CX</v>
          </cell>
          <cell r="B304" t="str">
            <v>МВС</v>
          </cell>
        </row>
        <row r="305">
          <cell r="A305" t="str">
            <v>CX</v>
          </cell>
          <cell r="B305" t="str">
            <v>МВС</v>
          </cell>
        </row>
        <row r="306">
          <cell r="A306" t="str">
            <v>CX</v>
          </cell>
          <cell r="B306" t="str">
            <v>МВС</v>
          </cell>
        </row>
        <row r="307">
          <cell r="A307" t="str">
            <v>CX</v>
          </cell>
          <cell r="B307" t="str">
            <v>Молодежь</v>
          </cell>
        </row>
        <row r="308">
          <cell r="A308" t="str">
            <v>CX</v>
          </cell>
          <cell r="B308" t="str">
            <v>Молодежь</v>
          </cell>
        </row>
        <row r="309">
          <cell r="A309" t="str">
            <v>CX</v>
          </cell>
          <cell r="B309" t="str">
            <v>Молодежь</v>
          </cell>
        </row>
        <row r="310">
          <cell r="A310" t="str">
            <v>CX</v>
          </cell>
          <cell r="B310" t="str">
            <v>Молодежь</v>
          </cell>
        </row>
        <row r="311">
          <cell r="A311" t="str">
            <v>CX</v>
          </cell>
          <cell r="B311" t="str">
            <v>Молодежь</v>
          </cell>
        </row>
        <row r="312">
          <cell r="A312" t="str">
            <v>CX</v>
          </cell>
          <cell r="B312" t="str">
            <v>Молодежь</v>
          </cell>
        </row>
        <row r="313">
          <cell r="A313" t="str">
            <v>CX</v>
          </cell>
          <cell r="B313" t="str">
            <v>Молодежь</v>
          </cell>
        </row>
        <row r="314">
          <cell r="A314" t="str">
            <v>CX</v>
          </cell>
          <cell r="B314" t="str">
            <v>Молодежь</v>
          </cell>
        </row>
        <row r="315">
          <cell r="A315" t="str">
            <v>CX</v>
          </cell>
          <cell r="B315" t="str">
            <v>Молодежь</v>
          </cell>
        </row>
        <row r="316">
          <cell r="A316" t="str">
            <v>CX</v>
          </cell>
          <cell r="B316" t="str">
            <v>Молодежь</v>
          </cell>
        </row>
        <row r="317">
          <cell r="A317" t="str">
            <v>CX</v>
          </cell>
          <cell r="B317" t="str">
            <v>Молодежь</v>
          </cell>
        </row>
        <row r="318">
          <cell r="A318" t="str">
            <v>CX</v>
          </cell>
          <cell r="B318" t="str">
            <v>Молодежь</v>
          </cell>
        </row>
        <row r="319">
          <cell r="A319" t="str">
            <v>CX</v>
          </cell>
          <cell r="B319" t="str">
            <v>Молодежь</v>
          </cell>
        </row>
        <row r="320">
          <cell r="A320" t="str">
            <v>CX</v>
          </cell>
          <cell r="B320" t="str">
            <v>Молодежь</v>
          </cell>
        </row>
        <row r="321">
          <cell r="A321" t="str">
            <v>CX</v>
          </cell>
          <cell r="B321" t="str">
            <v>Молодежь</v>
          </cell>
        </row>
        <row r="322">
          <cell r="A322" t="str">
            <v>CX</v>
          </cell>
          <cell r="B322" t="str">
            <v>Молодежь</v>
          </cell>
        </row>
        <row r="323">
          <cell r="A323" t="str">
            <v>CX</v>
          </cell>
          <cell r="B323" t="str">
            <v>Молодежь</v>
          </cell>
        </row>
        <row r="324">
          <cell r="A324" t="str">
            <v>CX</v>
          </cell>
          <cell r="B324" t="str">
            <v>Молодежь</v>
          </cell>
        </row>
        <row r="325">
          <cell r="A325" t="str">
            <v>CX</v>
          </cell>
          <cell r="B325" t="str">
            <v>Пакет услуг СберПервый</v>
          </cell>
        </row>
        <row r="326">
          <cell r="A326" t="str">
            <v>CX</v>
          </cell>
          <cell r="B326" t="str">
            <v>Пакет услуг СберПервый</v>
          </cell>
        </row>
        <row r="327">
          <cell r="A327" t="str">
            <v>CX</v>
          </cell>
          <cell r="B327" t="str">
            <v>Пакет услуг СберПервый</v>
          </cell>
        </row>
        <row r="328">
          <cell r="A328" t="str">
            <v>CX</v>
          </cell>
          <cell r="B328" t="str">
            <v>Пакет услуг СберПервый</v>
          </cell>
        </row>
        <row r="329">
          <cell r="A329" t="str">
            <v>CX</v>
          </cell>
          <cell r="B329" t="str">
            <v>Пакет услуг СберПервый</v>
          </cell>
        </row>
        <row r="330">
          <cell r="A330" t="str">
            <v>CX</v>
          </cell>
          <cell r="B330" t="str">
            <v>Пакет услуг СберПервый</v>
          </cell>
        </row>
        <row r="331">
          <cell r="A331" t="str">
            <v>CX</v>
          </cell>
          <cell r="B331" t="str">
            <v>Пакет услуг СберПервый</v>
          </cell>
        </row>
        <row r="332">
          <cell r="A332" t="str">
            <v>CX</v>
          </cell>
          <cell r="B332" t="str">
            <v>Пакет услуг СберПервый</v>
          </cell>
        </row>
        <row r="333">
          <cell r="A333" t="str">
            <v>CX</v>
          </cell>
          <cell r="B333" t="str">
            <v>Пакет услуг СберПервый</v>
          </cell>
        </row>
        <row r="334">
          <cell r="A334" t="str">
            <v>CX</v>
          </cell>
          <cell r="B334" t="str">
            <v>Пакет услуг СберПервый</v>
          </cell>
        </row>
        <row r="335">
          <cell r="A335" t="str">
            <v>CX</v>
          </cell>
          <cell r="B335" t="str">
            <v>Пакет услуг СберПервый</v>
          </cell>
        </row>
        <row r="336">
          <cell r="A336" t="str">
            <v>CX</v>
          </cell>
          <cell r="B336" t="str">
            <v>Пакет услуг СберПервый</v>
          </cell>
        </row>
        <row r="337">
          <cell r="A337" t="str">
            <v>CX</v>
          </cell>
          <cell r="B337" t="str">
            <v>Пакет услуг СберПервый</v>
          </cell>
        </row>
        <row r="338">
          <cell r="A338" t="str">
            <v>CX</v>
          </cell>
          <cell r="B338" t="str">
            <v>Пакет услуг СберПервый</v>
          </cell>
        </row>
        <row r="339">
          <cell r="A339" t="str">
            <v>CX</v>
          </cell>
          <cell r="B339" t="str">
            <v>Пакет услуг СберПервый</v>
          </cell>
        </row>
        <row r="340">
          <cell r="A340" t="str">
            <v>CX</v>
          </cell>
          <cell r="B340" t="str">
            <v>Пакет услуг СберПервый</v>
          </cell>
        </row>
        <row r="341">
          <cell r="A341" t="str">
            <v>CX</v>
          </cell>
          <cell r="B341" t="str">
            <v>Пакет услуг СберПервый</v>
          </cell>
        </row>
        <row r="342">
          <cell r="A342" t="str">
            <v>CX</v>
          </cell>
          <cell r="B342" t="str">
            <v>Пакет услуг СберПервый</v>
          </cell>
        </row>
        <row r="343">
          <cell r="A343" t="str">
            <v>CX</v>
          </cell>
          <cell r="B343" t="str">
            <v>Пакет услуг СберПервый</v>
          </cell>
        </row>
        <row r="344">
          <cell r="A344" t="str">
            <v>CX</v>
          </cell>
          <cell r="B344" t="str">
            <v>Пакет услуг СберПервый</v>
          </cell>
        </row>
        <row r="345">
          <cell r="A345" t="str">
            <v>CX</v>
          </cell>
          <cell r="B345" t="str">
            <v>Пакет услуг СберПервый</v>
          </cell>
        </row>
        <row r="346">
          <cell r="A346" t="str">
            <v>CX</v>
          </cell>
          <cell r="B346" t="str">
            <v>Пакет услуг СберПервый</v>
          </cell>
        </row>
        <row r="347">
          <cell r="A347" t="str">
            <v>CX</v>
          </cell>
          <cell r="B347" t="str">
            <v>Пакет услуг СберПервый</v>
          </cell>
        </row>
        <row r="348">
          <cell r="A348" t="str">
            <v>CX</v>
          </cell>
          <cell r="B348" t="str">
            <v>Пакет услуг СберПремьер</v>
          </cell>
        </row>
        <row r="349">
          <cell r="A349" t="str">
            <v>CX</v>
          </cell>
          <cell r="B349" t="str">
            <v>Пакет услуг СберПремьер</v>
          </cell>
        </row>
        <row r="350">
          <cell r="A350" t="str">
            <v>CX</v>
          </cell>
          <cell r="B350" t="str">
            <v>Пакет услуг СберПремьер</v>
          </cell>
        </row>
        <row r="351">
          <cell r="A351" t="str">
            <v>CX</v>
          </cell>
          <cell r="B351" t="str">
            <v>Пакет услуг СберПремьер</v>
          </cell>
        </row>
        <row r="352">
          <cell r="A352" t="str">
            <v>CX</v>
          </cell>
          <cell r="B352" t="str">
            <v>Пакет услуг СберПремьер</v>
          </cell>
        </row>
        <row r="353">
          <cell r="A353" t="str">
            <v>CX</v>
          </cell>
          <cell r="B353" t="str">
            <v>Пакет услуг СберПремьер</v>
          </cell>
        </row>
        <row r="354">
          <cell r="A354" t="str">
            <v>CX</v>
          </cell>
          <cell r="B354" t="str">
            <v>Пакет услуг СберПремьер</v>
          </cell>
        </row>
        <row r="355">
          <cell r="A355" t="str">
            <v>CX</v>
          </cell>
          <cell r="B355" t="str">
            <v>Пакет услуг СберПремьер</v>
          </cell>
        </row>
        <row r="356">
          <cell r="A356" t="str">
            <v>CX</v>
          </cell>
          <cell r="B356" t="str">
            <v>Пакет услуг СберПремьер</v>
          </cell>
        </row>
        <row r="357">
          <cell r="A357" t="str">
            <v>CX</v>
          </cell>
          <cell r="B357" t="str">
            <v>Пакет услуг СберПремьер</v>
          </cell>
        </row>
        <row r="358">
          <cell r="A358" t="str">
            <v>CX</v>
          </cell>
          <cell r="B358" t="str">
            <v>Пакет услуг СберПремьер</v>
          </cell>
        </row>
        <row r="359">
          <cell r="A359" t="str">
            <v>CX</v>
          </cell>
          <cell r="B359" t="str">
            <v>Пакет услуг СберПремьер</v>
          </cell>
        </row>
        <row r="360">
          <cell r="A360" t="str">
            <v>CX</v>
          </cell>
          <cell r="B360" t="str">
            <v>Пакет услуг СберПремьер</v>
          </cell>
        </row>
        <row r="361">
          <cell r="A361" t="str">
            <v>CX</v>
          </cell>
          <cell r="B361" t="str">
            <v>Пакет услуг СберПремьер</v>
          </cell>
        </row>
        <row r="362">
          <cell r="A362" t="str">
            <v>CX</v>
          </cell>
          <cell r="B362" t="str">
            <v>Пакет услуг СберПремьер</v>
          </cell>
        </row>
        <row r="363">
          <cell r="A363" t="str">
            <v>CX</v>
          </cell>
          <cell r="B363" t="str">
            <v>Рабочий возраст</v>
          </cell>
        </row>
        <row r="364">
          <cell r="A364" t="str">
            <v>CX</v>
          </cell>
          <cell r="B364" t="str">
            <v>Рабочий возраст</v>
          </cell>
        </row>
        <row r="365">
          <cell r="A365" t="str">
            <v>CX</v>
          </cell>
          <cell r="B365" t="str">
            <v>Рабочий возраст</v>
          </cell>
        </row>
        <row r="366">
          <cell r="A366" t="str">
            <v>CX</v>
          </cell>
          <cell r="B366" t="str">
            <v>Рабочий возраст</v>
          </cell>
        </row>
        <row r="367">
          <cell r="A367" t="str">
            <v>CX</v>
          </cell>
          <cell r="B367" t="str">
            <v>Рабочий возраст</v>
          </cell>
        </row>
        <row r="368">
          <cell r="A368" t="str">
            <v>CX</v>
          </cell>
          <cell r="B368" t="str">
            <v>Рабочий возраст</v>
          </cell>
        </row>
        <row r="369">
          <cell r="A369" t="str">
            <v>CX</v>
          </cell>
          <cell r="B369" t="str">
            <v>Рабочий возраст</v>
          </cell>
        </row>
        <row r="370">
          <cell r="A370" t="str">
            <v>CX</v>
          </cell>
          <cell r="B370" t="str">
            <v>Рабочий возраст</v>
          </cell>
        </row>
        <row r="371">
          <cell r="A371" t="str">
            <v>CX</v>
          </cell>
          <cell r="B371" t="str">
            <v>Рабочий возраст</v>
          </cell>
        </row>
        <row r="372">
          <cell r="A372" t="str">
            <v>CX</v>
          </cell>
          <cell r="B372" t="str">
            <v>Рабочий возраст</v>
          </cell>
        </row>
        <row r="373">
          <cell r="A373" t="str">
            <v>CX</v>
          </cell>
          <cell r="B373" t="str">
            <v>Рабочий возраст</v>
          </cell>
        </row>
        <row r="374">
          <cell r="A374" t="str">
            <v>CX</v>
          </cell>
          <cell r="B374" t="str">
            <v>Рабочий возраст</v>
          </cell>
        </row>
        <row r="375">
          <cell r="A375" t="str">
            <v>CX</v>
          </cell>
          <cell r="B375" t="str">
            <v>Рабочий возраст</v>
          </cell>
        </row>
        <row r="376">
          <cell r="A376" t="str">
            <v>CX</v>
          </cell>
          <cell r="B376" t="str">
            <v>Рабочий возраст</v>
          </cell>
        </row>
        <row r="377">
          <cell r="A377" t="str">
            <v>CX</v>
          </cell>
          <cell r="B377" t="str">
            <v>Рабочий возраст</v>
          </cell>
        </row>
        <row r="378">
          <cell r="A378" t="str">
            <v>CX</v>
          </cell>
          <cell r="B378" t="str">
            <v>СберПрайм</v>
          </cell>
        </row>
        <row r="379">
          <cell r="A379" t="str">
            <v>CX</v>
          </cell>
          <cell r="B379" t="str">
            <v>СберПрайм</v>
          </cell>
        </row>
        <row r="380">
          <cell r="A380" t="str">
            <v>CX</v>
          </cell>
          <cell r="B380" t="str">
            <v>СберПрайм</v>
          </cell>
        </row>
        <row r="381">
          <cell r="A381" t="str">
            <v>CX</v>
          </cell>
          <cell r="B381" t="str">
            <v>СберПрайм</v>
          </cell>
        </row>
        <row r="382">
          <cell r="A382" t="str">
            <v>CX</v>
          </cell>
          <cell r="B382" t="str">
            <v>СберПрайм</v>
          </cell>
        </row>
        <row r="383">
          <cell r="A383" t="str">
            <v>CX</v>
          </cell>
          <cell r="B383" t="str">
            <v>СберПрайм</v>
          </cell>
        </row>
        <row r="384">
          <cell r="A384" t="str">
            <v>CX</v>
          </cell>
          <cell r="B384" t="str">
            <v>СберПрайм</v>
          </cell>
        </row>
        <row r="385">
          <cell r="A385" t="str">
            <v>CX</v>
          </cell>
          <cell r="B385" t="str">
            <v>СберПрайм</v>
          </cell>
        </row>
        <row r="386">
          <cell r="A386" t="str">
            <v>CX</v>
          </cell>
          <cell r="B386" t="str">
            <v>СберПрайм</v>
          </cell>
        </row>
        <row r="387">
          <cell r="A387" t="str">
            <v>CX</v>
          </cell>
          <cell r="B387" t="str">
            <v>СберПрайм</v>
          </cell>
        </row>
        <row r="388">
          <cell r="A388" t="str">
            <v>CX</v>
          </cell>
          <cell r="B388" t="str">
            <v>СберПрайм</v>
          </cell>
        </row>
        <row r="389">
          <cell r="A389" t="str">
            <v>CX</v>
          </cell>
          <cell r="B389" t="str">
            <v>СберПрайм</v>
          </cell>
        </row>
        <row r="390">
          <cell r="A390" t="str">
            <v>CX</v>
          </cell>
          <cell r="B390" t="str">
            <v>СберПрайм</v>
          </cell>
        </row>
        <row r="391">
          <cell r="A391" t="str">
            <v>CX</v>
          </cell>
          <cell r="B391" t="str">
            <v>СберПрайм</v>
          </cell>
        </row>
        <row r="392">
          <cell r="A392" t="str">
            <v>CX</v>
          </cell>
          <cell r="B392" t="str">
            <v>СберПрайм</v>
          </cell>
        </row>
        <row r="393">
          <cell r="A393" t="str">
            <v>CX</v>
          </cell>
          <cell r="B393" t="str">
            <v>СберПрайм</v>
          </cell>
        </row>
        <row r="394">
          <cell r="A394" t="str">
            <v>CX</v>
          </cell>
          <cell r="B394" t="str">
            <v>СберПрайм</v>
          </cell>
        </row>
        <row r="395">
          <cell r="A395" t="str">
            <v>CX</v>
          </cell>
          <cell r="B395" t="str">
            <v>СберПрайм</v>
          </cell>
        </row>
        <row r="396">
          <cell r="A396" t="str">
            <v>CX</v>
          </cell>
          <cell r="B396" t="str">
            <v>СберПрайм</v>
          </cell>
        </row>
        <row r="397">
          <cell r="A397" t="str">
            <v>CX</v>
          </cell>
          <cell r="B397" t="str">
            <v>СберСпасибо</v>
          </cell>
        </row>
        <row r="398">
          <cell r="A398" t="str">
            <v>CX</v>
          </cell>
          <cell r="B398" t="str">
            <v>СберСпасибо</v>
          </cell>
        </row>
        <row r="399">
          <cell r="A399" t="str">
            <v>CX</v>
          </cell>
          <cell r="B399" t="str">
            <v>СберСпасибо</v>
          </cell>
        </row>
        <row r="400">
          <cell r="A400" t="str">
            <v>CX</v>
          </cell>
          <cell r="B400" t="str">
            <v>СберСпасибо</v>
          </cell>
        </row>
        <row r="401">
          <cell r="A401" t="str">
            <v>CX</v>
          </cell>
          <cell r="B401" t="str">
            <v>СберСпасибо</v>
          </cell>
        </row>
        <row r="402">
          <cell r="A402" t="str">
            <v>CX</v>
          </cell>
          <cell r="B402" t="str">
            <v>СберСпасибо</v>
          </cell>
        </row>
        <row r="403">
          <cell r="A403" t="str">
            <v>CX</v>
          </cell>
          <cell r="B403" t="str">
            <v>СберСпасибо</v>
          </cell>
        </row>
        <row r="404">
          <cell r="A404" t="str">
            <v>CX</v>
          </cell>
          <cell r="B404" t="str">
            <v>СберСпасибо</v>
          </cell>
        </row>
        <row r="405">
          <cell r="A405" t="str">
            <v>CX</v>
          </cell>
          <cell r="B405" t="str">
            <v>СберСпасибо</v>
          </cell>
        </row>
        <row r="406">
          <cell r="A406" t="str">
            <v>CX</v>
          </cell>
          <cell r="B406" t="str">
            <v>СберСпасибо</v>
          </cell>
        </row>
        <row r="407">
          <cell r="A407" t="str">
            <v>CX</v>
          </cell>
          <cell r="B407" t="str">
            <v>СберСпасибо</v>
          </cell>
        </row>
        <row r="408">
          <cell r="A408" t="str">
            <v>CX</v>
          </cell>
          <cell r="B408" t="str">
            <v>СберСпасибо</v>
          </cell>
        </row>
        <row r="409">
          <cell r="A409" t="str">
            <v>DB</v>
          </cell>
          <cell r="B409" t="str">
            <v>SberPay Ecom</v>
          </cell>
        </row>
        <row r="410">
          <cell r="A410" t="str">
            <v>DB</v>
          </cell>
          <cell r="B410" t="str">
            <v>SberPay Ecom</v>
          </cell>
        </row>
        <row r="411">
          <cell r="A411" t="str">
            <v>DB</v>
          </cell>
          <cell r="B411" t="str">
            <v>SberPay Ecom</v>
          </cell>
        </row>
        <row r="412">
          <cell r="A412" t="str">
            <v>DB</v>
          </cell>
          <cell r="B412" t="str">
            <v>SberPay Ecom</v>
          </cell>
        </row>
        <row r="413">
          <cell r="A413" t="str">
            <v>DB</v>
          </cell>
          <cell r="B413" t="str">
            <v>SberPay Ecom</v>
          </cell>
        </row>
        <row r="414">
          <cell r="A414" t="str">
            <v>DB</v>
          </cell>
          <cell r="B414" t="str">
            <v>SberPay Ecom</v>
          </cell>
        </row>
        <row r="415">
          <cell r="A415" t="str">
            <v>DB</v>
          </cell>
          <cell r="B415" t="str">
            <v>SberPay Ecom</v>
          </cell>
        </row>
        <row r="416">
          <cell r="A416" t="str">
            <v>DB</v>
          </cell>
          <cell r="B416" t="str">
            <v>SberPay Ecom</v>
          </cell>
        </row>
        <row r="417">
          <cell r="A417" t="str">
            <v>DB</v>
          </cell>
          <cell r="B417" t="str">
            <v>SberPay Ecom</v>
          </cell>
        </row>
        <row r="418">
          <cell r="A418" t="str">
            <v>DB</v>
          </cell>
          <cell r="B418" t="str">
            <v>SberPay Ecom</v>
          </cell>
        </row>
        <row r="419">
          <cell r="A419" t="str">
            <v>DB</v>
          </cell>
          <cell r="B419" t="str">
            <v>SberPay Ecom</v>
          </cell>
        </row>
        <row r="420">
          <cell r="A420" t="str">
            <v>DB</v>
          </cell>
          <cell r="B420" t="str">
            <v>SberPay Ecom</v>
          </cell>
        </row>
        <row r="421">
          <cell r="A421" t="str">
            <v>DB</v>
          </cell>
          <cell r="B421" t="str">
            <v>SberPay Ecom</v>
          </cell>
        </row>
        <row r="422">
          <cell r="A422" t="str">
            <v>DB</v>
          </cell>
          <cell r="B422" t="str">
            <v>SberPay Ecom</v>
          </cell>
        </row>
        <row r="423">
          <cell r="A423" t="str">
            <v>DB</v>
          </cell>
          <cell r="B423" t="str">
            <v>SberPay Ecom</v>
          </cell>
        </row>
        <row r="424">
          <cell r="A424" t="str">
            <v>DB</v>
          </cell>
          <cell r="B424" t="str">
            <v>SberPay Ecom</v>
          </cell>
        </row>
        <row r="425">
          <cell r="A425" t="str">
            <v>DB</v>
          </cell>
          <cell r="B425" t="str">
            <v>SberPay NFC</v>
          </cell>
        </row>
        <row r="426">
          <cell r="A426" t="str">
            <v>DB</v>
          </cell>
          <cell r="B426" t="str">
            <v>SberPay NFC</v>
          </cell>
        </row>
        <row r="427">
          <cell r="A427" t="str">
            <v>DB</v>
          </cell>
          <cell r="B427" t="str">
            <v>SberPay NFC</v>
          </cell>
        </row>
        <row r="428">
          <cell r="A428" t="str">
            <v>DB</v>
          </cell>
          <cell r="B428" t="str">
            <v>SberPay NFC</v>
          </cell>
        </row>
        <row r="429">
          <cell r="A429" t="str">
            <v>DB</v>
          </cell>
          <cell r="B429" t="str">
            <v>SberPay NFC</v>
          </cell>
        </row>
        <row r="430">
          <cell r="A430" t="str">
            <v>DB</v>
          </cell>
          <cell r="B430" t="str">
            <v>SberPay NFC</v>
          </cell>
        </row>
        <row r="431">
          <cell r="A431" t="str">
            <v>DB</v>
          </cell>
          <cell r="B431" t="str">
            <v>SberPay NFC</v>
          </cell>
        </row>
        <row r="432">
          <cell r="A432" t="str">
            <v>DB</v>
          </cell>
          <cell r="B432" t="str">
            <v>SberPay NFC</v>
          </cell>
        </row>
        <row r="433">
          <cell r="A433" t="str">
            <v>DB</v>
          </cell>
          <cell r="B433" t="str">
            <v>SberPay NFC</v>
          </cell>
        </row>
        <row r="434">
          <cell r="A434" t="str">
            <v>DB</v>
          </cell>
          <cell r="B434" t="str">
            <v>SberPay NFC</v>
          </cell>
        </row>
        <row r="435">
          <cell r="A435" t="str">
            <v>DB</v>
          </cell>
          <cell r="B435" t="str">
            <v>SberPay Вжух</v>
          </cell>
        </row>
        <row r="436">
          <cell r="A436" t="str">
            <v>DB</v>
          </cell>
          <cell r="B436" t="str">
            <v>SberPay Вжух</v>
          </cell>
        </row>
        <row r="437">
          <cell r="A437" t="str">
            <v>DB</v>
          </cell>
          <cell r="B437" t="str">
            <v>SberPay Вжух</v>
          </cell>
        </row>
        <row r="438">
          <cell r="A438" t="str">
            <v>DB</v>
          </cell>
          <cell r="B438" t="str">
            <v>SberPay Вжух</v>
          </cell>
        </row>
        <row r="439">
          <cell r="A439" t="str">
            <v>DB</v>
          </cell>
          <cell r="B439" t="str">
            <v>SberPay Вжух</v>
          </cell>
        </row>
        <row r="440">
          <cell r="A440" t="str">
            <v>DB</v>
          </cell>
          <cell r="B440" t="str">
            <v>SberPay Вжух</v>
          </cell>
        </row>
        <row r="441">
          <cell r="A441" t="str">
            <v>DB</v>
          </cell>
          <cell r="B441" t="str">
            <v>SberPay Вжух</v>
          </cell>
        </row>
        <row r="442">
          <cell r="A442" t="str">
            <v>DB</v>
          </cell>
          <cell r="B442" t="str">
            <v>SberPay Вжух</v>
          </cell>
        </row>
        <row r="443">
          <cell r="A443" t="str">
            <v>DB</v>
          </cell>
          <cell r="B443" t="str">
            <v>SberPay Вжух</v>
          </cell>
        </row>
        <row r="444">
          <cell r="A444" t="str">
            <v>DB</v>
          </cell>
          <cell r="B444" t="str">
            <v>SberPay Вжух</v>
          </cell>
        </row>
        <row r="445">
          <cell r="A445" t="str">
            <v>DB</v>
          </cell>
          <cell r="B445" t="str">
            <v>SberPay Вжух</v>
          </cell>
        </row>
        <row r="446">
          <cell r="A446" t="str">
            <v>DB</v>
          </cell>
          <cell r="B446" t="str">
            <v>SberPay Вжух</v>
          </cell>
        </row>
        <row r="447">
          <cell r="A447" t="str">
            <v>DB</v>
          </cell>
          <cell r="B447" t="str">
            <v>SberPay Вжух</v>
          </cell>
        </row>
        <row r="448">
          <cell r="A448" t="str">
            <v>DB</v>
          </cell>
          <cell r="B448" t="str">
            <v>SberPay Вжух</v>
          </cell>
        </row>
        <row r="449">
          <cell r="A449" t="str">
            <v>DB</v>
          </cell>
          <cell r="B449" t="str">
            <v>SberPay Вжух</v>
          </cell>
        </row>
        <row r="450">
          <cell r="A450" t="str">
            <v>DB</v>
          </cell>
          <cell r="B450" t="str">
            <v>SberPay Вжух</v>
          </cell>
        </row>
        <row r="451">
          <cell r="A451" t="str">
            <v>DB</v>
          </cell>
          <cell r="B451" t="str">
            <v>SberPay Вжух</v>
          </cell>
        </row>
        <row r="452">
          <cell r="A452" t="str">
            <v>DB</v>
          </cell>
          <cell r="B452" t="str">
            <v>SberPay Вжух</v>
          </cell>
        </row>
        <row r="453">
          <cell r="A453" t="str">
            <v>DB</v>
          </cell>
          <cell r="B453" t="str">
            <v>SberPay Вжух</v>
          </cell>
        </row>
        <row r="454">
          <cell r="A454" t="str">
            <v>DB</v>
          </cell>
          <cell r="B454" t="str">
            <v>SberPay Вжух</v>
          </cell>
        </row>
        <row r="455">
          <cell r="A455" t="str">
            <v>DB</v>
          </cell>
          <cell r="B455" t="str">
            <v>SberPay Вжух</v>
          </cell>
        </row>
        <row r="456">
          <cell r="A456" t="str">
            <v>DB</v>
          </cell>
          <cell r="B456" t="str">
            <v>Военная пенсия</v>
          </cell>
        </row>
        <row r="457">
          <cell r="A457" t="str">
            <v>DB</v>
          </cell>
          <cell r="B457" t="str">
            <v>Военная пенсия</v>
          </cell>
        </row>
        <row r="458">
          <cell r="A458" t="str">
            <v>DB</v>
          </cell>
          <cell r="B458" t="str">
            <v>Военная пенсия</v>
          </cell>
        </row>
        <row r="459">
          <cell r="A459" t="str">
            <v>DB</v>
          </cell>
          <cell r="B459" t="str">
            <v>Военная пенсия</v>
          </cell>
        </row>
        <row r="460">
          <cell r="A460" t="str">
            <v>DB</v>
          </cell>
          <cell r="B460" t="str">
            <v>Военная пенсия</v>
          </cell>
        </row>
        <row r="461">
          <cell r="A461" t="str">
            <v>DB</v>
          </cell>
          <cell r="B461" t="str">
            <v>Военная пенсия</v>
          </cell>
        </row>
        <row r="462">
          <cell r="A462" t="str">
            <v>DB</v>
          </cell>
          <cell r="B462" t="str">
            <v>Военная пенсия</v>
          </cell>
        </row>
        <row r="463">
          <cell r="A463" t="str">
            <v>DB</v>
          </cell>
          <cell r="B463" t="str">
            <v>Военная пенсия</v>
          </cell>
        </row>
        <row r="464">
          <cell r="A464" t="str">
            <v>DB</v>
          </cell>
          <cell r="B464" t="str">
            <v>Военная пенсия</v>
          </cell>
        </row>
        <row r="465">
          <cell r="A465" t="str">
            <v>DB</v>
          </cell>
          <cell r="B465" t="str">
            <v>Военная пенсия</v>
          </cell>
        </row>
        <row r="466">
          <cell r="A466" t="str">
            <v>DB</v>
          </cell>
          <cell r="B466" t="str">
            <v>Военная пенсия</v>
          </cell>
        </row>
        <row r="467">
          <cell r="A467" t="str">
            <v>DB</v>
          </cell>
          <cell r="B467" t="str">
            <v>Военная пенсия</v>
          </cell>
        </row>
        <row r="468">
          <cell r="A468" t="str">
            <v>DB</v>
          </cell>
          <cell r="B468" t="str">
            <v>Военная пенсия</v>
          </cell>
        </row>
        <row r="469">
          <cell r="A469" t="str">
            <v>DB</v>
          </cell>
          <cell r="B469" t="str">
            <v>Военная пенсия</v>
          </cell>
        </row>
        <row r="470">
          <cell r="A470" t="str">
            <v>DB</v>
          </cell>
          <cell r="B470" t="str">
            <v>Военная пенсия</v>
          </cell>
        </row>
        <row r="471">
          <cell r="A471" t="str">
            <v>DB</v>
          </cell>
          <cell r="B471" t="str">
            <v>Военная пенсия</v>
          </cell>
        </row>
        <row r="472">
          <cell r="A472" t="str">
            <v>DB</v>
          </cell>
          <cell r="B472" t="str">
            <v>Военная пенсия</v>
          </cell>
        </row>
        <row r="473">
          <cell r="A473" t="str">
            <v>DB</v>
          </cell>
          <cell r="B473" t="str">
            <v>Военная пенсия</v>
          </cell>
        </row>
        <row r="474">
          <cell r="A474" t="str">
            <v>DB</v>
          </cell>
          <cell r="B474" t="str">
            <v>Военная пенсия</v>
          </cell>
        </row>
        <row r="475">
          <cell r="A475" t="str">
            <v>DB</v>
          </cell>
          <cell r="B475" t="str">
            <v>Военная пенсия</v>
          </cell>
        </row>
        <row r="476">
          <cell r="A476" t="str">
            <v>DB</v>
          </cell>
          <cell r="B476" t="str">
            <v>Дебетовая карта</v>
          </cell>
        </row>
        <row r="477">
          <cell r="A477" t="str">
            <v>DB</v>
          </cell>
          <cell r="B477" t="str">
            <v>Дебетовая карта</v>
          </cell>
        </row>
        <row r="478">
          <cell r="A478" t="str">
            <v>DB</v>
          </cell>
          <cell r="B478" t="str">
            <v>Дебетовая карта</v>
          </cell>
        </row>
        <row r="479">
          <cell r="A479" t="str">
            <v>DB</v>
          </cell>
          <cell r="B479" t="str">
            <v>Дебетовая карта</v>
          </cell>
        </row>
        <row r="480">
          <cell r="A480" t="str">
            <v>DB</v>
          </cell>
          <cell r="B480" t="str">
            <v>Дебетовая карта</v>
          </cell>
        </row>
        <row r="481">
          <cell r="A481" t="str">
            <v>DB</v>
          </cell>
          <cell r="B481" t="str">
            <v>Дебетовая карта</v>
          </cell>
        </row>
        <row r="482">
          <cell r="A482" t="str">
            <v>DB</v>
          </cell>
          <cell r="B482" t="str">
            <v>Дебетовая карта</v>
          </cell>
        </row>
        <row r="483">
          <cell r="A483" t="str">
            <v>DB</v>
          </cell>
          <cell r="B483" t="str">
            <v>Дебетовая карта</v>
          </cell>
        </row>
        <row r="484">
          <cell r="A484" t="str">
            <v>DB</v>
          </cell>
          <cell r="B484" t="str">
            <v>Дебетовая карта</v>
          </cell>
        </row>
        <row r="485">
          <cell r="A485" t="str">
            <v>DB</v>
          </cell>
          <cell r="B485" t="str">
            <v>Дебетовая карта</v>
          </cell>
        </row>
        <row r="486">
          <cell r="A486" t="str">
            <v>DB</v>
          </cell>
          <cell r="B486" t="str">
            <v>Дебетовая карта</v>
          </cell>
        </row>
        <row r="487">
          <cell r="A487" t="str">
            <v>DB</v>
          </cell>
          <cell r="B487" t="str">
            <v>Дебетовая карта</v>
          </cell>
        </row>
        <row r="488">
          <cell r="A488" t="str">
            <v>DB</v>
          </cell>
          <cell r="B488" t="str">
            <v>Дебетовая карта</v>
          </cell>
        </row>
        <row r="489">
          <cell r="A489" t="str">
            <v>DB</v>
          </cell>
          <cell r="B489" t="str">
            <v>Дебетовая карта</v>
          </cell>
        </row>
        <row r="490">
          <cell r="A490" t="str">
            <v>DB</v>
          </cell>
          <cell r="B490" t="str">
            <v>Дебетовая карта</v>
          </cell>
        </row>
        <row r="491">
          <cell r="A491" t="str">
            <v>DB</v>
          </cell>
          <cell r="B491" t="str">
            <v>Дебетовая карта</v>
          </cell>
        </row>
        <row r="492">
          <cell r="A492" t="str">
            <v>DB</v>
          </cell>
          <cell r="B492" t="str">
            <v>Дебетовая карта</v>
          </cell>
        </row>
        <row r="493">
          <cell r="A493" t="str">
            <v>DB</v>
          </cell>
          <cell r="B493" t="str">
            <v>Дебетовая карта</v>
          </cell>
        </row>
        <row r="494">
          <cell r="A494" t="str">
            <v>DB</v>
          </cell>
          <cell r="B494" t="str">
            <v>Детская карта</v>
          </cell>
        </row>
        <row r="495">
          <cell r="A495" t="str">
            <v>DB</v>
          </cell>
          <cell r="B495" t="str">
            <v>Детская карта</v>
          </cell>
        </row>
        <row r="496">
          <cell r="A496" t="str">
            <v>DB</v>
          </cell>
          <cell r="B496" t="str">
            <v>Детская карта</v>
          </cell>
        </row>
        <row r="497">
          <cell r="A497" t="str">
            <v>DB</v>
          </cell>
          <cell r="B497" t="str">
            <v>Детская карта</v>
          </cell>
        </row>
        <row r="498">
          <cell r="A498" t="str">
            <v>DB</v>
          </cell>
          <cell r="B498" t="str">
            <v>Детская карта</v>
          </cell>
        </row>
        <row r="499">
          <cell r="A499" t="str">
            <v>DB</v>
          </cell>
          <cell r="B499" t="str">
            <v>Детская карта</v>
          </cell>
        </row>
        <row r="500">
          <cell r="A500" t="str">
            <v>DB</v>
          </cell>
          <cell r="B500" t="str">
            <v>Детская карта</v>
          </cell>
        </row>
        <row r="501">
          <cell r="A501" t="str">
            <v>DB</v>
          </cell>
          <cell r="B501" t="str">
            <v>Детская карта</v>
          </cell>
        </row>
        <row r="502">
          <cell r="A502" t="str">
            <v>DB</v>
          </cell>
          <cell r="B502" t="str">
            <v>Детская карта</v>
          </cell>
        </row>
        <row r="503">
          <cell r="A503" t="str">
            <v>DB</v>
          </cell>
          <cell r="B503" t="str">
            <v>Детская карта</v>
          </cell>
        </row>
        <row r="504">
          <cell r="A504" t="str">
            <v>DB</v>
          </cell>
          <cell r="B504" t="str">
            <v>Детская карта</v>
          </cell>
        </row>
        <row r="505">
          <cell r="A505" t="str">
            <v>DB</v>
          </cell>
          <cell r="B505" t="str">
            <v>Детская карта</v>
          </cell>
        </row>
        <row r="506">
          <cell r="A506" t="str">
            <v>DB</v>
          </cell>
          <cell r="B506" t="str">
            <v>Детская карта</v>
          </cell>
        </row>
        <row r="507">
          <cell r="A507" t="str">
            <v>DB</v>
          </cell>
          <cell r="B507" t="str">
            <v>Детская карта</v>
          </cell>
        </row>
        <row r="508">
          <cell r="A508" t="str">
            <v>DB</v>
          </cell>
          <cell r="B508" t="str">
            <v>Детская карта</v>
          </cell>
        </row>
        <row r="509">
          <cell r="A509" t="str">
            <v>DB</v>
          </cell>
          <cell r="B509" t="str">
            <v>Детская карта</v>
          </cell>
        </row>
        <row r="510">
          <cell r="A510" t="str">
            <v>DB</v>
          </cell>
          <cell r="B510" t="str">
            <v>Детская карта</v>
          </cell>
        </row>
        <row r="511">
          <cell r="A511" t="str">
            <v>DB</v>
          </cell>
          <cell r="B511" t="str">
            <v>Детская карта</v>
          </cell>
        </row>
        <row r="512">
          <cell r="A512" t="str">
            <v>DB</v>
          </cell>
          <cell r="B512" t="str">
            <v>Детская карта</v>
          </cell>
        </row>
        <row r="513">
          <cell r="A513" t="str">
            <v>DB</v>
          </cell>
          <cell r="B513" t="str">
            <v>Детская карта</v>
          </cell>
        </row>
        <row r="514">
          <cell r="A514" t="str">
            <v>DB</v>
          </cell>
          <cell r="B514" t="str">
            <v>Детская карта</v>
          </cell>
        </row>
        <row r="515">
          <cell r="A515" t="str">
            <v>DB</v>
          </cell>
          <cell r="B515" t="str">
            <v>Детская карта</v>
          </cell>
        </row>
        <row r="516">
          <cell r="A516" t="str">
            <v>DB</v>
          </cell>
          <cell r="B516" t="str">
            <v>Детская карта</v>
          </cell>
        </row>
        <row r="517">
          <cell r="A517" t="str">
            <v>DB</v>
          </cell>
          <cell r="B517" t="str">
            <v>Детская карта</v>
          </cell>
        </row>
        <row r="518">
          <cell r="A518" t="str">
            <v>DB</v>
          </cell>
          <cell r="B518" t="str">
            <v>Детская карта</v>
          </cell>
        </row>
        <row r="519">
          <cell r="A519" t="str">
            <v>DB</v>
          </cell>
          <cell r="B519" t="str">
            <v>Зарплатный продукт</v>
          </cell>
        </row>
        <row r="520">
          <cell r="A520" t="str">
            <v>DB</v>
          </cell>
          <cell r="B520" t="str">
            <v>Зарплатный продукт</v>
          </cell>
        </row>
        <row r="521">
          <cell r="A521" t="str">
            <v>DB</v>
          </cell>
          <cell r="B521" t="str">
            <v>Зарплатный продукт</v>
          </cell>
        </row>
        <row r="522">
          <cell r="A522" t="str">
            <v>DB</v>
          </cell>
          <cell r="B522" t="str">
            <v>Зарплатный продукт</v>
          </cell>
        </row>
        <row r="523">
          <cell r="A523" t="str">
            <v>DB</v>
          </cell>
          <cell r="B523" t="str">
            <v>Зарплатный продукт</v>
          </cell>
        </row>
        <row r="524">
          <cell r="A524" t="str">
            <v>DB</v>
          </cell>
          <cell r="B524" t="str">
            <v>Зарплатный продукт</v>
          </cell>
        </row>
        <row r="525">
          <cell r="A525" t="str">
            <v>DB</v>
          </cell>
          <cell r="B525" t="str">
            <v>Зарплатный продукт</v>
          </cell>
        </row>
        <row r="526">
          <cell r="A526" t="str">
            <v>DB</v>
          </cell>
          <cell r="B526" t="str">
            <v>Зарплатный продукт</v>
          </cell>
        </row>
        <row r="527">
          <cell r="A527" t="str">
            <v>DB</v>
          </cell>
          <cell r="B527" t="str">
            <v>Зарплатный продукт</v>
          </cell>
        </row>
        <row r="528">
          <cell r="A528" t="str">
            <v>DB</v>
          </cell>
          <cell r="B528" t="str">
            <v>Зарплатный продукт</v>
          </cell>
        </row>
        <row r="529">
          <cell r="A529" t="str">
            <v>DB</v>
          </cell>
          <cell r="B529" t="str">
            <v>Зарплатный продукт</v>
          </cell>
        </row>
        <row r="530">
          <cell r="A530" t="str">
            <v>DB</v>
          </cell>
          <cell r="B530" t="str">
            <v>Зарплатный продукт</v>
          </cell>
        </row>
        <row r="531">
          <cell r="A531" t="str">
            <v>DB</v>
          </cell>
          <cell r="B531" t="str">
            <v>Зарплатный продукт</v>
          </cell>
        </row>
        <row r="532">
          <cell r="A532" t="str">
            <v>DB</v>
          </cell>
          <cell r="B532" t="str">
            <v>Зарплатный продукт</v>
          </cell>
        </row>
        <row r="533">
          <cell r="A533" t="str">
            <v>DB</v>
          </cell>
          <cell r="B533" t="str">
            <v>Зарплатный продукт</v>
          </cell>
        </row>
        <row r="534">
          <cell r="A534" t="str">
            <v>DB</v>
          </cell>
          <cell r="B534" t="str">
            <v>Зарплатный продукт</v>
          </cell>
        </row>
        <row r="535">
          <cell r="A535" t="str">
            <v>DB</v>
          </cell>
          <cell r="B535" t="str">
            <v>Зарплатный продукт</v>
          </cell>
        </row>
        <row r="536">
          <cell r="A536" t="str">
            <v>DB</v>
          </cell>
          <cell r="B536" t="str">
            <v>Зарплатный продукт</v>
          </cell>
        </row>
        <row r="537">
          <cell r="A537" t="str">
            <v>DB</v>
          </cell>
          <cell r="B537" t="str">
            <v>Зарплатный продукт</v>
          </cell>
        </row>
        <row r="538">
          <cell r="A538" t="str">
            <v>DB</v>
          </cell>
          <cell r="B538" t="str">
            <v>Зарплатный продукт</v>
          </cell>
        </row>
        <row r="539">
          <cell r="A539" t="str">
            <v>DB</v>
          </cell>
          <cell r="B539" t="str">
            <v>Зарплатный продукт</v>
          </cell>
        </row>
        <row r="540">
          <cell r="A540" t="str">
            <v>DB</v>
          </cell>
          <cell r="B540" t="str">
            <v>Зарплатный продукт</v>
          </cell>
        </row>
        <row r="541">
          <cell r="A541" t="str">
            <v>DB</v>
          </cell>
          <cell r="B541" t="str">
            <v>Интернет-Эквайринг</v>
          </cell>
        </row>
        <row r="542">
          <cell r="A542" t="str">
            <v>DB</v>
          </cell>
          <cell r="B542" t="str">
            <v>Интернет-Эквайринг</v>
          </cell>
        </row>
        <row r="543">
          <cell r="A543" t="str">
            <v>DB</v>
          </cell>
          <cell r="B543" t="str">
            <v>Интернет-Эквайринг</v>
          </cell>
        </row>
        <row r="544">
          <cell r="A544" t="str">
            <v>DB</v>
          </cell>
          <cell r="B544" t="str">
            <v>Интернет-Эквайринг</v>
          </cell>
        </row>
        <row r="545">
          <cell r="A545" t="str">
            <v>DB</v>
          </cell>
          <cell r="B545" t="str">
            <v>Интернет-Эквайринг</v>
          </cell>
        </row>
        <row r="546">
          <cell r="A546" t="str">
            <v>DB</v>
          </cell>
          <cell r="B546" t="str">
            <v>Интернет-Эквайринг</v>
          </cell>
        </row>
        <row r="547">
          <cell r="A547" t="str">
            <v>DB</v>
          </cell>
          <cell r="B547" t="str">
            <v>Интернет-Эквайринг</v>
          </cell>
        </row>
        <row r="548">
          <cell r="A548" t="str">
            <v>DB</v>
          </cell>
          <cell r="B548" t="str">
            <v>Интернет-Эквайринг</v>
          </cell>
        </row>
        <row r="549">
          <cell r="A549" t="str">
            <v>DB</v>
          </cell>
          <cell r="B549" t="str">
            <v>Интернет-Эквайринг</v>
          </cell>
        </row>
        <row r="550">
          <cell r="A550" t="str">
            <v>DB</v>
          </cell>
          <cell r="B550" t="str">
            <v>Интернет-Эквайринг</v>
          </cell>
        </row>
        <row r="551">
          <cell r="A551" t="str">
            <v>DB</v>
          </cell>
          <cell r="B551" t="str">
            <v>Интернет-Эквайринг</v>
          </cell>
        </row>
        <row r="552">
          <cell r="A552" t="str">
            <v>DB</v>
          </cell>
          <cell r="B552" t="str">
            <v>Интернет-Эквайринг</v>
          </cell>
        </row>
        <row r="553">
          <cell r="A553" t="str">
            <v>DB</v>
          </cell>
          <cell r="B553" t="str">
            <v>Интернет-Эквайринг</v>
          </cell>
        </row>
        <row r="554">
          <cell r="A554" t="str">
            <v>DB</v>
          </cell>
          <cell r="B554" t="str">
            <v>Интернет-Эквайринг</v>
          </cell>
        </row>
        <row r="555">
          <cell r="A555" t="str">
            <v>DB</v>
          </cell>
          <cell r="B555" t="str">
            <v>Интернет-Эквайринг</v>
          </cell>
        </row>
        <row r="556">
          <cell r="A556" t="str">
            <v>DB</v>
          </cell>
          <cell r="B556" t="str">
            <v>Интернет-Эквайринг</v>
          </cell>
        </row>
        <row r="557">
          <cell r="A557" t="str">
            <v>DB</v>
          </cell>
          <cell r="B557" t="str">
            <v>Интернет-Эквайринг</v>
          </cell>
        </row>
        <row r="558">
          <cell r="A558" t="str">
            <v>DB</v>
          </cell>
          <cell r="B558" t="str">
            <v>Как зарплатный</v>
          </cell>
        </row>
        <row r="559">
          <cell r="A559" t="str">
            <v>DB</v>
          </cell>
          <cell r="B559" t="str">
            <v>Как зарплатный</v>
          </cell>
        </row>
        <row r="560">
          <cell r="A560" t="str">
            <v>DB</v>
          </cell>
          <cell r="B560" t="str">
            <v>Как зарплатный</v>
          </cell>
        </row>
        <row r="561">
          <cell r="A561" t="str">
            <v>DB</v>
          </cell>
          <cell r="B561" t="str">
            <v>Как зарплатный</v>
          </cell>
        </row>
        <row r="562">
          <cell r="A562" t="str">
            <v>DB</v>
          </cell>
          <cell r="B562" t="str">
            <v>Как зарплатный</v>
          </cell>
        </row>
        <row r="563">
          <cell r="A563" t="str">
            <v>DB</v>
          </cell>
          <cell r="B563" t="str">
            <v>Как зарплатный</v>
          </cell>
        </row>
        <row r="564">
          <cell r="A564" t="str">
            <v>DB</v>
          </cell>
          <cell r="B564" t="str">
            <v>Как зарплатный</v>
          </cell>
        </row>
        <row r="565">
          <cell r="A565" t="str">
            <v>DB</v>
          </cell>
          <cell r="B565" t="str">
            <v>Как зарплатный</v>
          </cell>
        </row>
        <row r="566">
          <cell r="A566" t="str">
            <v>DB</v>
          </cell>
          <cell r="B566" t="str">
            <v>Как зарплатный</v>
          </cell>
        </row>
        <row r="567">
          <cell r="A567" t="str">
            <v>DB</v>
          </cell>
          <cell r="B567" t="str">
            <v>Как зарплатный</v>
          </cell>
        </row>
        <row r="568">
          <cell r="A568" t="str">
            <v>DB</v>
          </cell>
          <cell r="B568" t="str">
            <v>Как зарплатный</v>
          </cell>
        </row>
        <row r="569">
          <cell r="A569" t="str">
            <v>DB</v>
          </cell>
          <cell r="B569" t="str">
            <v>Как зарплатный</v>
          </cell>
        </row>
        <row r="570">
          <cell r="A570" t="str">
            <v>DB</v>
          </cell>
          <cell r="B570" t="str">
            <v>Как зарплатный</v>
          </cell>
        </row>
        <row r="571">
          <cell r="A571" t="str">
            <v>DB</v>
          </cell>
          <cell r="B571" t="str">
            <v>Как зарплатный</v>
          </cell>
        </row>
        <row r="572">
          <cell r="A572" t="str">
            <v>DB</v>
          </cell>
          <cell r="B572" t="str">
            <v>Как зарплатный</v>
          </cell>
        </row>
        <row r="573">
          <cell r="A573" t="str">
            <v>DB</v>
          </cell>
          <cell r="B573" t="str">
            <v>Как зарплатный</v>
          </cell>
        </row>
        <row r="574">
          <cell r="A574" t="str">
            <v>DB</v>
          </cell>
          <cell r="B574" t="str">
            <v>Как зарплатный</v>
          </cell>
        </row>
        <row r="575">
          <cell r="A575" t="str">
            <v>DB</v>
          </cell>
          <cell r="B575" t="str">
            <v>Как зарплатный</v>
          </cell>
        </row>
        <row r="576">
          <cell r="A576" t="str">
            <v>DB</v>
          </cell>
          <cell r="B576" t="str">
            <v>Как зарплатный</v>
          </cell>
        </row>
        <row r="577">
          <cell r="A577" t="str">
            <v>DB</v>
          </cell>
          <cell r="B577" t="str">
            <v>Кредитные карты</v>
          </cell>
        </row>
        <row r="578">
          <cell r="A578" t="str">
            <v>DB</v>
          </cell>
          <cell r="B578" t="str">
            <v>Кредитные карты</v>
          </cell>
        </row>
        <row r="579">
          <cell r="A579" t="str">
            <v>DB</v>
          </cell>
          <cell r="B579" t="str">
            <v>Кредитные карты</v>
          </cell>
        </row>
        <row r="580">
          <cell r="A580" t="str">
            <v>DB</v>
          </cell>
          <cell r="B580" t="str">
            <v>Кредитные карты</v>
          </cell>
        </row>
        <row r="581">
          <cell r="A581" t="str">
            <v>DB</v>
          </cell>
          <cell r="B581" t="str">
            <v>Кредитные карты</v>
          </cell>
        </row>
        <row r="582">
          <cell r="A582" t="str">
            <v>DB</v>
          </cell>
          <cell r="B582" t="str">
            <v>Кредитные карты</v>
          </cell>
        </row>
        <row r="583">
          <cell r="A583" t="str">
            <v>DB</v>
          </cell>
          <cell r="B583" t="str">
            <v>Кредитные карты</v>
          </cell>
        </row>
        <row r="584">
          <cell r="A584" t="str">
            <v>DB</v>
          </cell>
          <cell r="B584" t="str">
            <v>Кредитные карты</v>
          </cell>
        </row>
        <row r="585">
          <cell r="A585" t="str">
            <v>DB</v>
          </cell>
          <cell r="B585" t="str">
            <v>Кредитные карты</v>
          </cell>
        </row>
        <row r="586">
          <cell r="A586" t="str">
            <v>DB</v>
          </cell>
          <cell r="B586" t="str">
            <v>Кредитные карты</v>
          </cell>
        </row>
        <row r="587">
          <cell r="A587" t="str">
            <v>DB</v>
          </cell>
          <cell r="B587" t="str">
            <v>Кредитные карты</v>
          </cell>
        </row>
        <row r="588">
          <cell r="A588" t="str">
            <v>DB</v>
          </cell>
          <cell r="B588" t="str">
            <v>Кредитные карты</v>
          </cell>
        </row>
        <row r="589">
          <cell r="A589" t="str">
            <v>DB</v>
          </cell>
          <cell r="B589" t="str">
            <v>Кредитные карты</v>
          </cell>
        </row>
        <row r="590">
          <cell r="A590" t="str">
            <v>DB</v>
          </cell>
          <cell r="B590" t="str">
            <v>Кредитные карты</v>
          </cell>
        </row>
        <row r="591">
          <cell r="A591" t="str">
            <v>DB</v>
          </cell>
          <cell r="B591" t="str">
            <v>Кредитные карты</v>
          </cell>
        </row>
        <row r="592">
          <cell r="A592" t="str">
            <v>DB</v>
          </cell>
          <cell r="B592" t="str">
            <v>Кредитные карты</v>
          </cell>
        </row>
        <row r="593">
          <cell r="A593" t="str">
            <v>DB</v>
          </cell>
          <cell r="B593" t="str">
            <v>Кредитные карты</v>
          </cell>
        </row>
        <row r="594">
          <cell r="A594" t="str">
            <v>DB</v>
          </cell>
          <cell r="B594" t="str">
            <v>Кредитные карты</v>
          </cell>
        </row>
        <row r="595">
          <cell r="A595" t="str">
            <v>DB</v>
          </cell>
          <cell r="B595" t="str">
            <v>Кредитные карты</v>
          </cell>
        </row>
        <row r="596">
          <cell r="A596" t="str">
            <v>DB</v>
          </cell>
          <cell r="B596" t="str">
            <v>Кредитные карты</v>
          </cell>
        </row>
        <row r="597">
          <cell r="A597" t="str">
            <v>DB</v>
          </cell>
          <cell r="B597" t="str">
            <v>Оплата улыбкой</v>
          </cell>
        </row>
        <row r="598">
          <cell r="A598" t="str">
            <v>DB</v>
          </cell>
          <cell r="B598" t="str">
            <v>Оплата улыбкой</v>
          </cell>
        </row>
        <row r="599">
          <cell r="A599" t="str">
            <v>DB</v>
          </cell>
          <cell r="B599" t="str">
            <v>Оплата улыбкой</v>
          </cell>
        </row>
        <row r="600">
          <cell r="A600" t="str">
            <v>DB</v>
          </cell>
          <cell r="B600" t="str">
            <v>Оплата улыбкой</v>
          </cell>
        </row>
        <row r="601">
          <cell r="A601" t="str">
            <v>DB</v>
          </cell>
          <cell r="B601" t="str">
            <v>Оплата улыбкой</v>
          </cell>
        </row>
        <row r="602">
          <cell r="A602" t="str">
            <v>DB</v>
          </cell>
          <cell r="B602" t="str">
            <v>Оплата улыбкой</v>
          </cell>
        </row>
        <row r="603">
          <cell r="A603" t="str">
            <v>DB</v>
          </cell>
          <cell r="B603" t="str">
            <v>Оплата улыбкой</v>
          </cell>
        </row>
        <row r="604">
          <cell r="A604" t="str">
            <v>DB</v>
          </cell>
          <cell r="B604" t="str">
            <v>Оплата улыбкой</v>
          </cell>
        </row>
        <row r="605">
          <cell r="A605" t="str">
            <v>DB</v>
          </cell>
          <cell r="B605" t="str">
            <v>Оплата улыбкой</v>
          </cell>
        </row>
        <row r="606">
          <cell r="A606" t="str">
            <v>DB</v>
          </cell>
          <cell r="B606" t="str">
            <v>Оплата улыбкой</v>
          </cell>
        </row>
        <row r="607">
          <cell r="A607" t="str">
            <v>DB</v>
          </cell>
          <cell r="B607" t="str">
            <v>Оплата улыбкой</v>
          </cell>
        </row>
        <row r="608">
          <cell r="A608" t="str">
            <v>DB</v>
          </cell>
          <cell r="B608" t="str">
            <v>Оплата улыбкой</v>
          </cell>
        </row>
        <row r="609">
          <cell r="A609" t="str">
            <v>DB</v>
          </cell>
          <cell r="B609" t="str">
            <v>Оплата улыбкой</v>
          </cell>
        </row>
        <row r="610">
          <cell r="A610" t="str">
            <v>DB</v>
          </cell>
          <cell r="B610" t="str">
            <v>Оплата улыбкой</v>
          </cell>
        </row>
        <row r="611">
          <cell r="A611" t="str">
            <v>DB</v>
          </cell>
          <cell r="B611" t="str">
            <v>Оплата улыбкой</v>
          </cell>
        </row>
        <row r="612">
          <cell r="A612" t="str">
            <v>DB</v>
          </cell>
          <cell r="B612" t="str">
            <v>Пенсионный продукт</v>
          </cell>
        </row>
        <row r="613">
          <cell r="A613" t="str">
            <v>DB</v>
          </cell>
          <cell r="B613" t="str">
            <v>Пенсионный продукт</v>
          </cell>
        </row>
        <row r="614">
          <cell r="A614" t="str">
            <v>DB</v>
          </cell>
          <cell r="B614" t="str">
            <v>Пенсионный продукт</v>
          </cell>
        </row>
        <row r="615">
          <cell r="A615" t="str">
            <v>DB</v>
          </cell>
          <cell r="B615" t="str">
            <v>Пенсионный продукт</v>
          </cell>
        </row>
        <row r="616">
          <cell r="A616" t="str">
            <v>DB</v>
          </cell>
          <cell r="B616" t="str">
            <v>Пенсионный продукт</v>
          </cell>
        </row>
        <row r="617">
          <cell r="A617" t="str">
            <v>DB</v>
          </cell>
          <cell r="B617" t="str">
            <v>Пенсионный продукт</v>
          </cell>
        </row>
        <row r="618">
          <cell r="A618" t="str">
            <v>DB</v>
          </cell>
          <cell r="B618" t="str">
            <v>Пенсионный продукт</v>
          </cell>
        </row>
        <row r="619">
          <cell r="A619" t="str">
            <v>DB</v>
          </cell>
          <cell r="B619" t="str">
            <v>Пенсионный продукт</v>
          </cell>
        </row>
        <row r="620">
          <cell r="A620" t="str">
            <v>DB</v>
          </cell>
          <cell r="B620" t="str">
            <v>Пенсионный продукт</v>
          </cell>
        </row>
        <row r="621">
          <cell r="A621" t="str">
            <v>DB</v>
          </cell>
          <cell r="B621" t="str">
            <v>Пенсионный продукт</v>
          </cell>
        </row>
        <row r="622">
          <cell r="A622" t="str">
            <v>DB</v>
          </cell>
          <cell r="B622" t="str">
            <v>Пенсионный продукт</v>
          </cell>
        </row>
        <row r="623">
          <cell r="A623" t="str">
            <v>DB</v>
          </cell>
          <cell r="B623" t="str">
            <v>Пенсионный продукт</v>
          </cell>
        </row>
        <row r="624">
          <cell r="A624" t="str">
            <v>DB</v>
          </cell>
          <cell r="B624" t="str">
            <v>Пенсионный продукт</v>
          </cell>
        </row>
        <row r="625">
          <cell r="A625" t="str">
            <v>DB</v>
          </cell>
          <cell r="B625" t="str">
            <v>Пенсионный продукт</v>
          </cell>
        </row>
        <row r="626">
          <cell r="A626" t="str">
            <v>DB</v>
          </cell>
          <cell r="B626" t="str">
            <v>Пенсионный продукт</v>
          </cell>
        </row>
        <row r="627">
          <cell r="A627" t="str">
            <v>DB</v>
          </cell>
          <cell r="B627" t="str">
            <v>Пенсионный продукт</v>
          </cell>
        </row>
        <row r="628">
          <cell r="A628" t="str">
            <v>DB</v>
          </cell>
          <cell r="B628" t="str">
            <v>Пенсионный продукт</v>
          </cell>
        </row>
        <row r="629">
          <cell r="A629" t="str">
            <v>DB</v>
          </cell>
          <cell r="B629" t="str">
            <v>Пенсионный продукт</v>
          </cell>
        </row>
        <row r="630">
          <cell r="A630" t="str">
            <v>DB</v>
          </cell>
          <cell r="B630" t="str">
            <v>Пенсионный продукт</v>
          </cell>
        </row>
        <row r="631">
          <cell r="A631" t="str">
            <v>DB</v>
          </cell>
          <cell r="B631" t="str">
            <v>Пенсионный продукт</v>
          </cell>
        </row>
        <row r="632">
          <cell r="A632" t="str">
            <v>DB</v>
          </cell>
          <cell r="B632" t="str">
            <v>Пенсионный продукт</v>
          </cell>
        </row>
        <row r="633">
          <cell r="A633" t="str">
            <v>DB</v>
          </cell>
          <cell r="B633" t="str">
            <v>Переводы по РФ</v>
          </cell>
        </row>
        <row r="634">
          <cell r="A634" t="str">
            <v>DB</v>
          </cell>
          <cell r="B634" t="str">
            <v>Переводы по РФ</v>
          </cell>
        </row>
        <row r="635">
          <cell r="A635" t="str">
            <v>DB</v>
          </cell>
          <cell r="B635" t="str">
            <v>Переводы по РФ</v>
          </cell>
        </row>
        <row r="636">
          <cell r="A636" t="str">
            <v>DB</v>
          </cell>
          <cell r="B636" t="str">
            <v>Переводы по РФ</v>
          </cell>
        </row>
        <row r="637">
          <cell r="A637" t="str">
            <v>DB</v>
          </cell>
          <cell r="B637" t="str">
            <v>Переводы по РФ</v>
          </cell>
        </row>
        <row r="638">
          <cell r="A638" t="str">
            <v>DB</v>
          </cell>
          <cell r="B638" t="str">
            <v>Переводы по РФ</v>
          </cell>
        </row>
        <row r="639">
          <cell r="A639" t="str">
            <v>DB</v>
          </cell>
          <cell r="B639" t="str">
            <v>Переводы по РФ</v>
          </cell>
        </row>
        <row r="640">
          <cell r="A640" t="str">
            <v>DB</v>
          </cell>
          <cell r="B640" t="str">
            <v>Переводы по РФ</v>
          </cell>
        </row>
        <row r="641">
          <cell r="A641" t="str">
            <v>DB</v>
          </cell>
          <cell r="B641" t="str">
            <v>Переводы по РФ</v>
          </cell>
        </row>
        <row r="642">
          <cell r="A642" t="str">
            <v>DB</v>
          </cell>
          <cell r="B642" t="str">
            <v>Переводы по РФ</v>
          </cell>
        </row>
        <row r="643">
          <cell r="A643" t="str">
            <v>DB</v>
          </cell>
          <cell r="B643" t="str">
            <v>Переводы по РФ</v>
          </cell>
        </row>
        <row r="644">
          <cell r="A644" t="str">
            <v>DB</v>
          </cell>
          <cell r="B644" t="str">
            <v>Переводы по РФ</v>
          </cell>
        </row>
        <row r="645">
          <cell r="A645" t="str">
            <v>DB</v>
          </cell>
          <cell r="B645" t="str">
            <v>Переводы по РФ</v>
          </cell>
        </row>
        <row r="646">
          <cell r="A646" t="str">
            <v>DB</v>
          </cell>
          <cell r="B646" t="str">
            <v>Переводы по РФ</v>
          </cell>
        </row>
        <row r="647">
          <cell r="A647" t="str">
            <v>DB</v>
          </cell>
          <cell r="B647" t="str">
            <v>Переводы подарков</v>
          </cell>
        </row>
        <row r="648">
          <cell r="A648" t="str">
            <v>DB</v>
          </cell>
          <cell r="B648" t="str">
            <v>Переводы подарков</v>
          </cell>
        </row>
        <row r="649">
          <cell r="A649" t="str">
            <v>DB</v>
          </cell>
          <cell r="B649" t="str">
            <v>Переводы подарков</v>
          </cell>
        </row>
        <row r="650">
          <cell r="A650" t="str">
            <v>DB</v>
          </cell>
          <cell r="B650" t="str">
            <v>Переводы подарков</v>
          </cell>
        </row>
        <row r="651">
          <cell r="A651" t="str">
            <v>DB</v>
          </cell>
          <cell r="B651" t="str">
            <v>Переводы подарков</v>
          </cell>
        </row>
        <row r="652">
          <cell r="A652" t="str">
            <v>DB</v>
          </cell>
          <cell r="B652" t="str">
            <v>Переводы подарков</v>
          </cell>
        </row>
        <row r="653">
          <cell r="A653" t="str">
            <v>DB</v>
          </cell>
          <cell r="B653" t="str">
            <v>Переводы подарков</v>
          </cell>
        </row>
        <row r="654">
          <cell r="A654" t="str">
            <v>DB</v>
          </cell>
          <cell r="B654" t="str">
            <v>Переводы подарков</v>
          </cell>
        </row>
        <row r="655">
          <cell r="A655" t="str">
            <v>DB</v>
          </cell>
          <cell r="B655" t="str">
            <v>Переводы подарков</v>
          </cell>
        </row>
        <row r="656">
          <cell r="A656" t="str">
            <v>DB</v>
          </cell>
          <cell r="B656" t="str">
            <v>Переводы подарков</v>
          </cell>
        </row>
        <row r="657">
          <cell r="A657" t="str">
            <v>DB</v>
          </cell>
          <cell r="B657" t="str">
            <v>Переводы подарков</v>
          </cell>
        </row>
        <row r="658">
          <cell r="A658" t="str">
            <v>DB</v>
          </cell>
          <cell r="B658" t="str">
            <v>Переводы подарков</v>
          </cell>
        </row>
        <row r="659">
          <cell r="A659" t="str">
            <v>DB</v>
          </cell>
          <cell r="B659" t="str">
            <v>Переводы подарков</v>
          </cell>
        </row>
        <row r="660">
          <cell r="A660" t="str">
            <v>DB</v>
          </cell>
          <cell r="B660" t="str">
            <v>Переводы подарков</v>
          </cell>
        </row>
        <row r="661">
          <cell r="A661" t="str">
            <v>DB</v>
          </cell>
          <cell r="B661" t="str">
            <v>Переводы подарков</v>
          </cell>
        </row>
        <row r="662">
          <cell r="A662" t="str">
            <v>DB</v>
          </cell>
          <cell r="B662" t="str">
            <v>Переводы подарков</v>
          </cell>
        </row>
        <row r="663">
          <cell r="A663" t="str">
            <v>DB</v>
          </cell>
          <cell r="B663" t="str">
            <v>Переводы подарков</v>
          </cell>
        </row>
        <row r="664">
          <cell r="A664" t="str">
            <v>DB</v>
          </cell>
          <cell r="B664" t="str">
            <v>Переводы подарков</v>
          </cell>
        </row>
        <row r="665">
          <cell r="A665" t="str">
            <v>DB</v>
          </cell>
          <cell r="B665" t="str">
            <v>Переводы подарков</v>
          </cell>
        </row>
        <row r="666">
          <cell r="A666" t="str">
            <v>DB</v>
          </cell>
          <cell r="B666" t="str">
            <v>Переводы подарков</v>
          </cell>
        </row>
        <row r="667">
          <cell r="A667" t="str">
            <v>DB</v>
          </cell>
          <cell r="B667" t="str">
            <v>Платежи</v>
          </cell>
        </row>
        <row r="668">
          <cell r="A668" t="str">
            <v>DB</v>
          </cell>
          <cell r="B668" t="str">
            <v>Платежи</v>
          </cell>
        </row>
        <row r="669">
          <cell r="A669" t="str">
            <v>DB</v>
          </cell>
          <cell r="B669" t="str">
            <v>Платежи</v>
          </cell>
        </row>
        <row r="670">
          <cell r="A670" t="str">
            <v>DB</v>
          </cell>
          <cell r="B670" t="str">
            <v>Платежи</v>
          </cell>
        </row>
        <row r="671">
          <cell r="A671" t="str">
            <v>DB</v>
          </cell>
          <cell r="B671" t="str">
            <v>Платежи</v>
          </cell>
        </row>
        <row r="672">
          <cell r="A672" t="str">
            <v>DB</v>
          </cell>
          <cell r="B672" t="str">
            <v>Платежи</v>
          </cell>
        </row>
        <row r="673">
          <cell r="A673" t="str">
            <v>DB</v>
          </cell>
          <cell r="B673" t="str">
            <v>Платежи</v>
          </cell>
        </row>
        <row r="674">
          <cell r="A674" t="str">
            <v>DB</v>
          </cell>
          <cell r="B674" t="str">
            <v>Платежи</v>
          </cell>
        </row>
        <row r="675">
          <cell r="A675" t="str">
            <v>DB</v>
          </cell>
          <cell r="B675" t="str">
            <v>Платежи</v>
          </cell>
        </row>
        <row r="676">
          <cell r="A676" t="str">
            <v>DB</v>
          </cell>
          <cell r="B676" t="str">
            <v>Платежи</v>
          </cell>
        </row>
        <row r="677">
          <cell r="A677" t="str">
            <v>DB</v>
          </cell>
          <cell r="B677" t="str">
            <v>Платежи</v>
          </cell>
        </row>
        <row r="678">
          <cell r="A678" t="str">
            <v>DB</v>
          </cell>
          <cell r="B678" t="str">
            <v>Платежи</v>
          </cell>
        </row>
        <row r="679">
          <cell r="A679" t="str">
            <v>DB</v>
          </cell>
          <cell r="B679" t="str">
            <v>Платежи</v>
          </cell>
        </row>
        <row r="680">
          <cell r="A680" t="str">
            <v>DB</v>
          </cell>
          <cell r="B680" t="str">
            <v>Платежи</v>
          </cell>
        </row>
        <row r="681">
          <cell r="A681" t="str">
            <v>DB</v>
          </cell>
          <cell r="B681" t="str">
            <v>Платежи</v>
          </cell>
        </row>
        <row r="682">
          <cell r="A682" t="str">
            <v>DB</v>
          </cell>
          <cell r="B682" t="str">
            <v>Платежи</v>
          </cell>
        </row>
        <row r="683">
          <cell r="A683" t="str">
            <v>DB</v>
          </cell>
          <cell r="B683" t="str">
            <v>Платежи</v>
          </cell>
        </row>
        <row r="684">
          <cell r="A684" t="str">
            <v>DB</v>
          </cell>
          <cell r="B684" t="str">
            <v>Платежи</v>
          </cell>
        </row>
        <row r="685">
          <cell r="A685" t="str">
            <v>DB</v>
          </cell>
          <cell r="B685" t="str">
            <v>Платежи</v>
          </cell>
        </row>
        <row r="686">
          <cell r="A686" t="str">
            <v>DB</v>
          </cell>
          <cell r="B686" t="str">
            <v>Платежи</v>
          </cell>
        </row>
        <row r="687">
          <cell r="A687" t="str">
            <v>DB</v>
          </cell>
          <cell r="B687" t="str">
            <v>Платежи</v>
          </cell>
        </row>
        <row r="688">
          <cell r="A688" t="str">
            <v>DB</v>
          </cell>
          <cell r="B688" t="str">
            <v>СберЧаевые</v>
          </cell>
        </row>
        <row r="689">
          <cell r="A689" t="str">
            <v>DB</v>
          </cell>
          <cell r="B689" t="str">
            <v>СберЧаевые</v>
          </cell>
        </row>
        <row r="690">
          <cell r="A690" t="str">
            <v>DB</v>
          </cell>
          <cell r="B690" t="str">
            <v>СберЧаевые</v>
          </cell>
        </row>
        <row r="691">
          <cell r="A691" t="str">
            <v>DB</v>
          </cell>
          <cell r="B691" t="str">
            <v>СберЧаевые</v>
          </cell>
        </row>
        <row r="692">
          <cell r="A692" t="str">
            <v>DB</v>
          </cell>
          <cell r="B692" t="str">
            <v>СберЧаевые</v>
          </cell>
        </row>
        <row r="693">
          <cell r="A693" t="str">
            <v>DB</v>
          </cell>
          <cell r="B693" t="str">
            <v>СберЧаевые</v>
          </cell>
        </row>
        <row r="694">
          <cell r="A694" t="str">
            <v>DB</v>
          </cell>
          <cell r="B694" t="str">
            <v>СберЧаевые</v>
          </cell>
        </row>
        <row r="695">
          <cell r="A695" t="str">
            <v>DB</v>
          </cell>
          <cell r="B695" t="str">
            <v>СберЧаевые</v>
          </cell>
        </row>
        <row r="696">
          <cell r="A696" t="str">
            <v>DB</v>
          </cell>
          <cell r="B696" t="str">
            <v>СберЧаевые</v>
          </cell>
        </row>
        <row r="697">
          <cell r="A697" t="str">
            <v>DB</v>
          </cell>
          <cell r="B697" t="str">
            <v>СберЧаевые</v>
          </cell>
        </row>
        <row r="698">
          <cell r="A698" t="str">
            <v>DB</v>
          </cell>
          <cell r="B698" t="str">
            <v>СберЧаевые</v>
          </cell>
        </row>
        <row r="699">
          <cell r="A699" t="str">
            <v>DB</v>
          </cell>
          <cell r="B699" t="str">
            <v>СберЧаевые</v>
          </cell>
        </row>
        <row r="700">
          <cell r="A700" t="str">
            <v>DB</v>
          </cell>
          <cell r="B700" t="str">
            <v>СберЧаевые</v>
          </cell>
        </row>
        <row r="701">
          <cell r="A701" t="str">
            <v>DB</v>
          </cell>
          <cell r="B701" t="str">
            <v>СберЧаевые</v>
          </cell>
        </row>
        <row r="702">
          <cell r="A702" t="str">
            <v>DB</v>
          </cell>
          <cell r="B702" t="str">
            <v>СберЧаевые</v>
          </cell>
        </row>
        <row r="703">
          <cell r="A703" t="str">
            <v>DB</v>
          </cell>
          <cell r="B703" t="str">
            <v>СберЧаевые</v>
          </cell>
        </row>
        <row r="704">
          <cell r="A704" t="str">
            <v>DB</v>
          </cell>
          <cell r="B704" t="str">
            <v>СберЧаевые</v>
          </cell>
        </row>
        <row r="705">
          <cell r="A705" t="str">
            <v>DB</v>
          </cell>
          <cell r="B705" t="str">
            <v>СберЧаевые</v>
          </cell>
        </row>
        <row r="706">
          <cell r="A706" t="str">
            <v>DB</v>
          </cell>
          <cell r="B706" t="str">
            <v>СберЧаевые</v>
          </cell>
        </row>
        <row r="707">
          <cell r="A707" t="str">
            <v>DB</v>
          </cell>
          <cell r="B707" t="str">
            <v>СберЧаевые</v>
          </cell>
        </row>
        <row r="708">
          <cell r="A708" t="str">
            <v>DB</v>
          </cell>
          <cell r="B708" t="str">
            <v>СберЧаевые</v>
          </cell>
        </row>
        <row r="709">
          <cell r="A709" t="str">
            <v>DB</v>
          </cell>
          <cell r="B709" t="str">
            <v>СберЧаевые</v>
          </cell>
        </row>
        <row r="710">
          <cell r="A710" t="str">
            <v>DB</v>
          </cell>
          <cell r="B710" t="str">
            <v>СберЧаевые</v>
          </cell>
        </row>
        <row r="711">
          <cell r="A711" t="str">
            <v>DB</v>
          </cell>
          <cell r="B711" t="str">
            <v>СберЧаевые</v>
          </cell>
        </row>
        <row r="712">
          <cell r="A712" t="str">
            <v>DB</v>
          </cell>
          <cell r="B712" t="str">
            <v>СберЧаевые</v>
          </cell>
        </row>
        <row r="713">
          <cell r="A713" t="str">
            <v>DB</v>
          </cell>
          <cell r="B713" t="str">
            <v>Сценарии оплаты</v>
          </cell>
        </row>
        <row r="714">
          <cell r="A714" t="str">
            <v>DB</v>
          </cell>
          <cell r="B714" t="str">
            <v>Сценарии оплаты</v>
          </cell>
        </row>
        <row r="715">
          <cell r="A715" t="str">
            <v>DB</v>
          </cell>
          <cell r="B715" t="str">
            <v>Сценарии оплаты</v>
          </cell>
        </row>
        <row r="716">
          <cell r="A716" t="str">
            <v>DB</v>
          </cell>
          <cell r="B716" t="str">
            <v>Сценарии оплаты</v>
          </cell>
        </row>
        <row r="717">
          <cell r="A717" t="str">
            <v>DB</v>
          </cell>
          <cell r="B717" t="str">
            <v>Сценарии оплаты</v>
          </cell>
        </row>
        <row r="718">
          <cell r="A718" t="str">
            <v>DB</v>
          </cell>
          <cell r="B718" t="str">
            <v>Сценарии оплаты</v>
          </cell>
        </row>
        <row r="719">
          <cell r="A719" t="str">
            <v>DB</v>
          </cell>
          <cell r="B719" t="str">
            <v>Сценарии оплаты</v>
          </cell>
        </row>
        <row r="720">
          <cell r="A720" t="str">
            <v>DB</v>
          </cell>
          <cell r="B720" t="str">
            <v>Сценарии оплаты</v>
          </cell>
        </row>
        <row r="721">
          <cell r="A721" t="str">
            <v>DB</v>
          </cell>
          <cell r="B721" t="str">
            <v>Сценарии оплаты</v>
          </cell>
        </row>
        <row r="722">
          <cell r="A722" t="str">
            <v>DB</v>
          </cell>
          <cell r="B722" t="str">
            <v>Сценарии оплаты</v>
          </cell>
        </row>
        <row r="723">
          <cell r="A723" t="str">
            <v>DB</v>
          </cell>
          <cell r="B723" t="str">
            <v>Сценарии оплаты</v>
          </cell>
        </row>
        <row r="724">
          <cell r="A724" t="str">
            <v>DB</v>
          </cell>
          <cell r="B724" t="str">
            <v>Сценарии оплаты</v>
          </cell>
        </row>
        <row r="725">
          <cell r="A725" t="str">
            <v>DB</v>
          </cell>
          <cell r="B725" t="str">
            <v>Сценарии оплаты</v>
          </cell>
        </row>
        <row r="726">
          <cell r="A726" t="str">
            <v>DB</v>
          </cell>
          <cell r="B726" t="str">
            <v>Сценарии оплаты</v>
          </cell>
        </row>
        <row r="727">
          <cell r="A727" t="str">
            <v>DB</v>
          </cell>
          <cell r="B727" t="str">
            <v>Сценарии оплаты</v>
          </cell>
        </row>
        <row r="728">
          <cell r="A728" t="str">
            <v>DB</v>
          </cell>
          <cell r="B728" t="str">
            <v>Сценарии оплаты</v>
          </cell>
        </row>
        <row r="729">
          <cell r="A729" t="str">
            <v>DB</v>
          </cell>
          <cell r="B729" t="str">
            <v>Сценарии оплаты</v>
          </cell>
        </row>
        <row r="730">
          <cell r="A730" t="str">
            <v>DB</v>
          </cell>
          <cell r="B730" t="str">
            <v>Торговый Эквайринг</v>
          </cell>
        </row>
        <row r="731">
          <cell r="A731" t="str">
            <v>DB</v>
          </cell>
          <cell r="B731" t="str">
            <v>Торговый Эквайринг</v>
          </cell>
        </row>
        <row r="732">
          <cell r="A732" t="str">
            <v>DB</v>
          </cell>
          <cell r="B732" t="str">
            <v>Торговый Эквайринг</v>
          </cell>
        </row>
        <row r="733">
          <cell r="A733" t="str">
            <v>DB</v>
          </cell>
          <cell r="B733" t="str">
            <v>Торговый Эквайринг</v>
          </cell>
        </row>
        <row r="734">
          <cell r="A734" t="str">
            <v>DB</v>
          </cell>
          <cell r="B734" t="str">
            <v>Торговый Эквайринг</v>
          </cell>
        </row>
        <row r="735">
          <cell r="A735" t="str">
            <v>DB</v>
          </cell>
          <cell r="B735" t="str">
            <v>Торговый Эквайринг</v>
          </cell>
        </row>
        <row r="736">
          <cell r="A736" t="str">
            <v>DB</v>
          </cell>
          <cell r="B736" t="str">
            <v>Торговый Эквайринг</v>
          </cell>
        </row>
        <row r="737">
          <cell r="A737" t="str">
            <v>DB</v>
          </cell>
          <cell r="B737" t="str">
            <v>Торговый Эквайринг</v>
          </cell>
        </row>
        <row r="738">
          <cell r="A738" t="str">
            <v>DB</v>
          </cell>
          <cell r="B738" t="str">
            <v>Торговый Эквайринг</v>
          </cell>
        </row>
        <row r="739">
          <cell r="A739" t="str">
            <v>DB</v>
          </cell>
          <cell r="B739" t="str">
            <v>Торговый Эквайринг</v>
          </cell>
        </row>
        <row r="740">
          <cell r="A740" t="str">
            <v>DB</v>
          </cell>
          <cell r="B740" t="str">
            <v>Торговый Эквайринг</v>
          </cell>
        </row>
        <row r="741">
          <cell r="A741" t="str">
            <v>DB</v>
          </cell>
          <cell r="B741" t="str">
            <v>Трансграничные переводы</v>
          </cell>
        </row>
        <row r="742">
          <cell r="A742" t="str">
            <v>DB</v>
          </cell>
          <cell r="B742" t="str">
            <v>Трансграничные переводы</v>
          </cell>
        </row>
        <row r="743">
          <cell r="A743" t="str">
            <v>DB</v>
          </cell>
          <cell r="B743" t="str">
            <v>Трансграничные переводы</v>
          </cell>
        </row>
        <row r="744">
          <cell r="A744" t="str">
            <v>DB</v>
          </cell>
          <cell r="B744" t="str">
            <v>Трансграничные переводы</v>
          </cell>
        </row>
        <row r="745">
          <cell r="A745" t="str">
            <v>DB</v>
          </cell>
          <cell r="B745" t="str">
            <v>Трансграничные переводы</v>
          </cell>
        </row>
        <row r="746">
          <cell r="A746" t="str">
            <v>DB</v>
          </cell>
          <cell r="B746" t="str">
            <v>Трансграничные переводы</v>
          </cell>
        </row>
        <row r="747">
          <cell r="A747" t="str">
            <v>DB</v>
          </cell>
          <cell r="B747" t="str">
            <v>Трансграничные переводы</v>
          </cell>
        </row>
        <row r="748">
          <cell r="A748" t="str">
            <v>DB</v>
          </cell>
          <cell r="B748" t="str">
            <v>Трансграничные переводы</v>
          </cell>
        </row>
        <row r="749">
          <cell r="A749" t="str">
            <v>DB</v>
          </cell>
          <cell r="B749" t="str">
            <v>Трансграничные переводы</v>
          </cell>
        </row>
        <row r="750">
          <cell r="A750" t="str">
            <v>DB</v>
          </cell>
          <cell r="B750" t="str">
            <v>Трансграничные переводы</v>
          </cell>
        </row>
        <row r="751">
          <cell r="A751" t="str">
            <v>DB</v>
          </cell>
          <cell r="B751" t="str">
            <v>Трансграничные переводы</v>
          </cell>
        </row>
        <row r="752">
          <cell r="A752" t="str">
            <v>DB</v>
          </cell>
          <cell r="B752" t="str">
            <v>Трансграничные переводы</v>
          </cell>
        </row>
        <row r="753">
          <cell r="A753" t="str">
            <v>DB</v>
          </cell>
          <cell r="B753" t="str">
            <v>Трансграничные переводы</v>
          </cell>
        </row>
        <row r="754">
          <cell r="A754" t="str">
            <v>DB</v>
          </cell>
          <cell r="B754" t="str">
            <v>Трансграничные переводы</v>
          </cell>
        </row>
        <row r="755">
          <cell r="A755" t="str">
            <v>DB</v>
          </cell>
          <cell r="B755" t="str">
            <v>Трансграничные переводы</v>
          </cell>
        </row>
        <row r="756">
          <cell r="A756" t="str">
            <v>DB</v>
          </cell>
          <cell r="B756" t="str">
            <v>Трансграничные переводы</v>
          </cell>
        </row>
        <row r="757">
          <cell r="A757" t="str">
            <v>DB</v>
          </cell>
          <cell r="B757" t="str">
            <v>Трансграничные переводы</v>
          </cell>
        </row>
        <row r="758">
          <cell r="A758" t="str">
            <v>DB</v>
          </cell>
          <cell r="B758" t="str">
            <v>Трансграничные переводы</v>
          </cell>
        </row>
        <row r="759">
          <cell r="A759" t="str">
            <v>DB</v>
          </cell>
          <cell r="B759" t="str">
            <v>Трансграничный эквайринг</v>
          </cell>
        </row>
        <row r="760">
          <cell r="A760" t="str">
            <v>DB</v>
          </cell>
          <cell r="B760" t="str">
            <v>Трансграничный эквайринг</v>
          </cell>
        </row>
        <row r="761">
          <cell r="A761" t="str">
            <v>DB</v>
          </cell>
          <cell r="B761" t="str">
            <v>Трансграничный эквайринг</v>
          </cell>
        </row>
        <row r="762">
          <cell r="A762" t="str">
            <v>DB</v>
          </cell>
          <cell r="B762" t="str">
            <v>Трансграничный эквайринг</v>
          </cell>
        </row>
        <row r="763">
          <cell r="A763" t="str">
            <v>DB</v>
          </cell>
          <cell r="B763" t="str">
            <v>Трансграничный эквайринг</v>
          </cell>
        </row>
        <row r="764">
          <cell r="A764" t="str">
            <v>DB</v>
          </cell>
          <cell r="B764" t="str">
            <v>Трансграничный эквайринг</v>
          </cell>
        </row>
        <row r="765">
          <cell r="A765" t="str">
            <v>DB</v>
          </cell>
          <cell r="B765" t="str">
            <v>Трансграничный эквайринг</v>
          </cell>
        </row>
        <row r="766">
          <cell r="A766" t="str">
            <v>DB</v>
          </cell>
          <cell r="B766" t="str">
            <v>Трансграничный эквайринг</v>
          </cell>
        </row>
        <row r="767">
          <cell r="A767" t="str">
            <v>DB</v>
          </cell>
          <cell r="B767" t="str">
            <v>Трансграничный эквайринг</v>
          </cell>
        </row>
        <row r="768">
          <cell r="A768" t="str">
            <v>DB</v>
          </cell>
          <cell r="B768" t="str">
            <v>Трансграничный эквайринг</v>
          </cell>
        </row>
        <row r="769">
          <cell r="A769" t="str">
            <v>DB</v>
          </cell>
          <cell r="B769" t="str">
            <v>Трансграничный эквайринг</v>
          </cell>
        </row>
        <row r="770">
          <cell r="A770" t="str">
            <v>DB</v>
          </cell>
          <cell r="B770" t="str">
            <v>Трансграничный эквайринг</v>
          </cell>
        </row>
        <row r="771">
          <cell r="A771" t="str">
            <v>DB</v>
          </cell>
          <cell r="B771" t="str">
            <v>Трансграничный эквайринг</v>
          </cell>
        </row>
        <row r="772">
          <cell r="A772" t="str">
            <v>DB</v>
          </cell>
          <cell r="B772" t="str">
            <v>Трансграничный эквайринг</v>
          </cell>
        </row>
        <row r="773">
          <cell r="A773" t="str">
            <v>DB</v>
          </cell>
          <cell r="B773" t="str">
            <v>Трансграничный эквайринг</v>
          </cell>
        </row>
        <row r="774">
          <cell r="A774" t="str">
            <v>DB</v>
          </cell>
          <cell r="B774" t="str">
            <v>Трансграничный эквайринг</v>
          </cell>
        </row>
        <row r="775">
          <cell r="A775" t="str">
            <v>DB</v>
          </cell>
          <cell r="B775" t="str">
            <v>Трансграничный эквайринг</v>
          </cell>
        </row>
        <row r="776">
          <cell r="A776" t="str">
            <v>DB</v>
          </cell>
          <cell r="B776" t="str">
            <v>Транспортный эквайринг</v>
          </cell>
        </row>
        <row r="777">
          <cell r="A777" t="str">
            <v>DB</v>
          </cell>
          <cell r="B777" t="str">
            <v>Транспортный эквайринг</v>
          </cell>
        </row>
        <row r="778">
          <cell r="A778" t="str">
            <v>DB</v>
          </cell>
          <cell r="B778" t="str">
            <v>Транспортный эквайринг</v>
          </cell>
        </row>
        <row r="779">
          <cell r="A779" t="str">
            <v>DB</v>
          </cell>
          <cell r="B779" t="str">
            <v>Транспортный эквайринг</v>
          </cell>
        </row>
        <row r="780">
          <cell r="A780" t="str">
            <v>DB</v>
          </cell>
          <cell r="B780" t="str">
            <v>Транспортный эквайринг</v>
          </cell>
        </row>
        <row r="781">
          <cell r="A781" t="str">
            <v>DB</v>
          </cell>
          <cell r="B781" t="str">
            <v>Транспортный эквайринг</v>
          </cell>
        </row>
        <row r="782">
          <cell r="A782" t="str">
            <v>DB</v>
          </cell>
          <cell r="B782" t="str">
            <v>Транспортный эквайринг</v>
          </cell>
        </row>
        <row r="783">
          <cell r="A783" t="str">
            <v>DB</v>
          </cell>
          <cell r="B783" t="str">
            <v>Транспортный эквайринг</v>
          </cell>
        </row>
        <row r="784">
          <cell r="A784" t="str">
            <v>DB</v>
          </cell>
          <cell r="B784" t="str">
            <v>Транспортный эквайринг</v>
          </cell>
        </row>
        <row r="785">
          <cell r="A785" t="str">
            <v>DB</v>
          </cell>
          <cell r="B785" t="str">
            <v>Транспортный эквайринг</v>
          </cell>
        </row>
        <row r="786">
          <cell r="A786" t="str">
            <v>DB</v>
          </cell>
          <cell r="B786" t="str">
            <v>Транспортный эквайринг</v>
          </cell>
        </row>
        <row r="787">
          <cell r="A787" t="str">
            <v>DB</v>
          </cell>
          <cell r="B787" t="str">
            <v>Транспортный эквайринг</v>
          </cell>
        </row>
        <row r="788">
          <cell r="A788" t="str">
            <v>DB</v>
          </cell>
          <cell r="B788" t="str">
            <v>Транспортный эквайринг</v>
          </cell>
        </row>
        <row r="789">
          <cell r="A789" t="str">
            <v>DB</v>
          </cell>
          <cell r="B789" t="str">
            <v>Транспортный эквайринг</v>
          </cell>
        </row>
        <row r="790">
          <cell r="A790" t="str">
            <v>DB</v>
          </cell>
          <cell r="B790" t="str">
            <v>Транспортный эквайринг</v>
          </cell>
        </row>
        <row r="791">
          <cell r="A791" t="str">
            <v>DB</v>
          </cell>
          <cell r="B791" t="str">
            <v>Транспортный эквайринг</v>
          </cell>
        </row>
        <row r="792">
          <cell r="A792" t="str">
            <v>DB</v>
          </cell>
          <cell r="B792" t="str">
            <v>Транспортный эквайринг</v>
          </cell>
        </row>
        <row r="793">
          <cell r="A793" t="str">
            <v>DB</v>
          </cell>
          <cell r="B793" t="str">
            <v>Транспортный эквайринг</v>
          </cell>
        </row>
        <row r="794">
          <cell r="A794" t="str">
            <v>DB</v>
          </cell>
          <cell r="B794" t="str">
            <v>Транспортный эквайринг</v>
          </cell>
        </row>
        <row r="795">
          <cell r="A795" t="str">
            <v>DB</v>
          </cell>
          <cell r="B795" t="str">
            <v>Школьные сервисы</v>
          </cell>
        </row>
        <row r="796">
          <cell r="A796" t="str">
            <v>DB</v>
          </cell>
          <cell r="B796" t="str">
            <v>Школьные сервисы</v>
          </cell>
        </row>
        <row r="797">
          <cell r="A797" t="str">
            <v>DB</v>
          </cell>
          <cell r="B797" t="str">
            <v>Школьные сервисы</v>
          </cell>
        </row>
        <row r="798">
          <cell r="A798" t="str">
            <v>DB</v>
          </cell>
          <cell r="B798" t="str">
            <v>Школьные сервисы</v>
          </cell>
        </row>
        <row r="799">
          <cell r="A799" t="str">
            <v>DB</v>
          </cell>
          <cell r="B799" t="str">
            <v>Школьные сервисы</v>
          </cell>
        </row>
        <row r="800">
          <cell r="A800" t="str">
            <v>DB</v>
          </cell>
          <cell r="B800" t="str">
            <v>Школьные сервисы</v>
          </cell>
        </row>
        <row r="801">
          <cell r="A801" t="str">
            <v>DB</v>
          </cell>
          <cell r="B801" t="str">
            <v>Школьные сервисы</v>
          </cell>
        </row>
        <row r="802">
          <cell r="A802" t="str">
            <v>DB</v>
          </cell>
          <cell r="B802" t="str">
            <v>Школьные сервисы</v>
          </cell>
        </row>
        <row r="803">
          <cell r="A803" t="str">
            <v>DB</v>
          </cell>
          <cell r="B803" t="str">
            <v>Школьные сервисы</v>
          </cell>
        </row>
        <row r="804">
          <cell r="A804" t="str">
            <v>DB</v>
          </cell>
          <cell r="B804" t="str">
            <v>Школьные сервисы</v>
          </cell>
        </row>
        <row r="805">
          <cell r="A805" t="str">
            <v>DB</v>
          </cell>
          <cell r="B805" t="str">
            <v>Школьные сервисы</v>
          </cell>
        </row>
        <row r="806">
          <cell r="A806" t="str">
            <v>DB</v>
          </cell>
          <cell r="B806" t="str">
            <v>Школьные сервисы</v>
          </cell>
        </row>
        <row r="807">
          <cell r="A807" t="str">
            <v>DB</v>
          </cell>
          <cell r="B807" t="str">
            <v>Школьные сервисы</v>
          </cell>
        </row>
        <row r="808">
          <cell r="A808" t="str">
            <v>DB</v>
          </cell>
          <cell r="B808" t="str">
            <v>Школьные сервисы</v>
          </cell>
        </row>
        <row r="809">
          <cell r="A809" t="str">
            <v>DB</v>
          </cell>
          <cell r="B809" t="str">
            <v>Школьные сервисы</v>
          </cell>
        </row>
        <row r="810">
          <cell r="A810" t="str">
            <v>DB</v>
          </cell>
          <cell r="B810" t="str">
            <v>Школьные сервисы</v>
          </cell>
        </row>
        <row r="811">
          <cell r="A811" t="str">
            <v>DB</v>
          </cell>
          <cell r="B811" t="str">
            <v>Школьные сервисы</v>
          </cell>
        </row>
        <row r="812">
          <cell r="A812" t="str">
            <v>DB</v>
          </cell>
          <cell r="B812" t="str">
            <v>Школьные сервисы</v>
          </cell>
        </row>
        <row r="813">
          <cell r="A813" t="str">
            <v>DB</v>
          </cell>
          <cell r="B813" t="str">
            <v>Школьные сервисы</v>
          </cell>
        </row>
        <row r="814">
          <cell r="A814" t="str">
            <v>DP</v>
          </cell>
          <cell r="B814" t="str">
            <v>СБОЛ</v>
          </cell>
        </row>
        <row r="815">
          <cell r="A815" t="str">
            <v>DP</v>
          </cell>
          <cell r="B815" t="str">
            <v>СБОЛ</v>
          </cell>
        </row>
        <row r="816">
          <cell r="A816" t="str">
            <v>DP</v>
          </cell>
          <cell r="B816" t="str">
            <v>СБОЛ</v>
          </cell>
        </row>
        <row r="817">
          <cell r="A817" t="str">
            <v>DP</v>
          </cell>
          <cell r="B817" t="str">
            <v>СБОЛ</v>
          </cell>
        </row>
        <row r="818">
          <cell r="A818" t="str">
            <v>DP</v>
          </cell>
          <cell r="B818" t="str">
            <v>СБОЛ</v>
          </cell>
        </row>
        <row r="819">
          <cell r="A819" t="str">
            <v>DP</v>
          </cell>
          <cell r="B819" t="str">
            <v>СБОЛ</v>
          </cell>
        </row>
        <row r="820">
          <cell r="A820" t="str">
            <v>DP</v>
          </cell>
          <cell r="B820" t="str">
            <v>СБОЛ</v>
          </cell>
        </row>
        <row r="821">
          <cell r="A821" t="str">
            <v>DP</v>
          </cell>
          <cell r="B821" t="str">
            <v>СБОЛ</v>
          </cell>
        </row>
        <row r="822">
          <cell r="A822" t="str">
            <v>DP</v>
          </cell>
          <cell r="B822" t="str">
            <v>СБОЛ</v>
          </cell>
        </row>
        <row r="823">
          <cell r="A823" t="str">
            <v>DP</v>
          </cell>
          <cell r="B823" t="str">
            <v>СБОЛ</v>
          </cell>
        </row>
        <row r="824">
          <cell r="A824" t="str">
            <v>DP</v>
          </cell>
          <cell r="B824" t="str">
            <v>СБОЛ</v>
          </cell>
        </row>
        <row r="825">
          <cell r="A825" t="str">
            <v>DP</v>
          </cell>
          <cell r="B825" t="str">
            <v>СБОЛ</v>
          </cell>
        </row>
        <row r="826">
          <cell r="A826" t="str">
            <v>DP</v>
          </cell>
          <cell r="B826" t="str">
            <v>СБОЛ</v>
          </cell>
        </row>
        <row r="827">
          <cell r="A827" t="str">
            <v>DP</v>
          </cell>
          <cell r="B827" t="str">
            <v>СБОЛ</v>
          </cell>
        </row>
        <row r="828">
          <cell r="A828" t="str">
            <v>DP</v>
          </cell>
          <cell r="B828" t="str">
            <v>СБОЛ</v>
          </cell>
        </row>
        <row r="829">
          <cell r="A829" t="str">
            <v>DP</v>
          </cell>
          <cell r="B829" t="str">
            <v>СБОЛ</v>
          </cell>
        </row>
        <row r="830">
          <cell r="A830" t="str">
            <v>DP</v>
          </cell>
          <cell r="B830" t="str">
            <v>СБОЛ</v>
          </cell>
        </row>
        <row r="831">
          <cell r="A831" t="str">
            <v>DP</v>
          </cell>
          <cell r="B831" t="str">
            <v>СБОЛ</v>
          </cell>
        </row>
        <row r="832">
          <cell r="A832" t="str">
            <v>DP</v>
          </cell>
          <cell r="B832" t="str">
            <v>СБОЛ</v>
          </cell>
        </row>
        <row r="833">
          <cell r="A833" t="str">
            <v>DP</v>
          </cell>
          <cell r="B833" t="str">
            <v>СберKids</v>
          </cell>
        </row>
        <row r="834">
          <cell r="A834" t="str">
            <v>DP</v>
          </cell>
          <cell r="B834" t="str">
            <v>СберKids</v>
          </cell>
        </row>
        <row r="835">
          <cell r="A835" t="str">
            <v>DP</v>
          </cell>
          <cell r="B835" t="str">
            <v>СберKids</v>
          </cell>
        </row>
        <row r="836">
          <cell r="A836" t="str">
            <v>DP</v>
          </cell>
          <cell r="B836" t="str">
            <v>СберKids</v>
          </cell>
        </row>
        <row r="837">
          <cell r="A837" t="str">
            <v>DP</v>
          </cell>
          <cell r="B837" t="str">
            <v>СберKids</v>
          </cell>
        </row>
        <row r="838">
          <cell r="A838" t="str">
            <v>DP</v>
          </cell>
          <cell r="B838" t="str">
            <v>СберKids</v>
          </cell>
        </row>
        <row r="839">
          <cell r="A839" t="str">
            <v>DP</v>
          </cell>
          <cell r="B839" t="str">
            <v>СберKids</v>
          </cell>
        </row>
        <row r="840">
          <cell r="A840" t="str">
            <v>DP</v>
          </cell>
          <cell r="B840" t="str">
            <v>СберKids</v>
          </cell>
        </row>
        <row r="841">
          <cell r="A841" t="str">
            <v>DP</v>
          </cell>
          <cell r="B841" t="str">
            <v>СберKids</v>
          </cell>
        </row>
        <row r="842">
          <cell r="A842" t="str">
            <v>DP</v>
          </cell>
          <cell r="B842" t="str">
            <v>СберKids</v>
          </cell>
        </row>
        <row r="843">
          <cell r="A843" t="str">
            <v>DP</v>
          </cell>
          <cell r="B843" t="str">
            <v>СберKids</v>
          </cell>
        </row>
        <row r="844">
          <cell r="A844" t="str">
            <v>DP</v>
          </cell>
          <cell r="B844" t="str">
            <v>СберKids</v>
          </cell>
        </row>
        <row r="845">
          <cell r="A845" t="str">
            <v>DP</v>
          </cell>
          <cell r="B845" t="str">
            <v>СберKids</v>
          </cell>
        </row>
        <row r="846">
          <cell r="A846" t="str">
            <v>DP</v>
          </cell>
          <cell r="B846" t="str">
            <v>СберKids</v>
          </cell>
        </row>
        <row r="847">
          <cell r="A847" t="str">
            <v>DP</v>
          </cell>
          <cell r="B847" t="str">
            <v>СберKids</v>
          </cell>
        </row>
        <row r="848">
          <cell r="A848" t="str">
            <v>DP</v>
          </cell>
          <cell r="B848" t="str">
            <v>СберKids</v>
          </cell>
        </row>
        <row r="849">
          <cell r="A849" t="str">
            <v>DP</v>
          </cell>
          <cell r="B849" t="str">
            <v>СберKids</v>
          </cell>
        </row>
        <row r="850">
          <cell r="A850" t="str">
            <v>DP</v>
          </cell>
          <cell r="B850" t="str">
            <v>СберKids</v>
          </cell>
        </row>
        <row r="851">
          <cell r="A851" t="str">
            <v>DP</v>
          </cell>
          <cell r="B851" t="str">
            <v>СберKids</v>
          </cell>
        </row>
        <row r="852">
          <cell r="A852" t="str">
            <v>DP</v>
          </cell>
          <cell r="B852" t="str">
            <v>СберИнвестор</v>
          </cell>
        </row>
        <row r="853">
          <cell r="A853" t="str">
            <v>DP</v>
          </cell>
          <cell r="B853" t="str">
            <v>СберИнвестор</v>
          </cell>
        </row>
        <row r="854">
          <cell r="A854" t="str">
            <v>DP</v>
          </cell>
          <cell r="B854" t="str">
            <v>СберИнвестор</v>
          </cell>
        </row>
        <row r="855">
          <cell r="A855" t="str">
            <v>DP</v>
          </cell>
          <cell r="B855" t="str">
            <v>СберИнвестор</v>
          </cell>
        </row>
        <row r="856">
          <cell r="A856" t="str">
            <v>DP</v>
          </cell>
          <cell r="B856" t="str">
            <v>СберИнвестор</v>
          </cell>
        </row>
        <row r="857">
          <cell r="A857" t="str">
            <v>DP</v>
          </cell>
          <cell r="B857" t="str">
            <v>СберИнвестор</v>
          </cell>
        </row>
        <row r="858">
          <cell r="A858" t="str">
            <v>DP</v>
          </cell>
          <cell r="B858" t="str">
            <v>СберИнвестор</v>
          </cell>
        </row>
        <row r="859">
          <cell r="A859" t="str">
            <v>DP</v>
          </cell>
          <cell r="B859" t="str">
            <v>СберИнвестор</v>
          </cell>
        </row>
        <row r="860">
          <cell r="A860" t="str">
            <v>DP</v>
          </cell>
          <cell r="B860" t="str">
            <v>СберИнвестор</v>
          </cell>
        </row>
        <row r="861">
          <cell r="A861" t="str">
            <v>DP</v>
          </cell>
          <cell r="B861" t="str">
            <v>СберИнвестор</v>
          </cell>
        </row>
        <row r="862">
          <cell r="A862" t="str">
            <v>DP</v>
          </cell>
          <cell r="B862" t="str">
            <v>СберИнвестор</v>
          </cell>
        </row>
        <row r="863">
          <cell r="A863" t="str">
            <v>DP</v>
          </cell>
          <cell r="B863" t="str">
            <v>СберИнвестор</v>
          </cell>
        </row>
        <row r="864">
          <cell r="A864" t="str">
            <v>DP</v>
          </cell>
          <cell r="B864" t="str">
            <v>СберИнвестор</v>
          </cell>
        </row>
        <row r="865">
          <cell r="A865" t="str">
            <v>DP</v>
          </cell>
          <cell r="B865" t="str">
            <v>СберИнвестор</v>
          </cell>
        </row>
        <row r="866">
          <cell r="A866" t="str">
            <v>DP</v>
          </cell>
          <cell r="B866" t="str">
            <v>СберИнвестор</v>
          </cell>
        </row>
        <row r="867">
          <cell r="A867" t="str">
            <v>DP</v>
          </cell>
          <cell r="B867" t="str">
            <v>СберИнвестор</v>
          </cell>
        </row>
        <row r="868">
          <cell r="A868" t="str">
            <v>DP</v>
          </cell>
          <cell r="B868" t="str">
            <v>СберИнвестор</v>
          </cell>
        </row>
        <row r="869">
          <cell r="A869" t="str">
            <v>DP</v>
          </cell>
          <cell r="B869" t="str">
            <v>СберИнвестор</v>
          </cell>
        </row>
        <row r="870">
          <cell r="A870" t="str">
            <v>DP</v>
          </cell>
          <cell r="B870" t="str">
            <v>СберИнвестор</v>
          </cell>
        </row>
        <row r="871">
          <cell r="A871" t="str">
            <v>DP</v>
          </cell>
          <cell r="B871" t="str">
            <v>СберИнвестор</v>
          </cell>
        </row>
        <row r="872">
          <cell r="A872" t="str">
            <v>DP</v>
          </cell>
          <cell r="B872" t="str">
            <v>СберИнвестор</v>
          </cell>
        </row>
        <row r="873">
          <cell r="A873" t="str">
            <v>DP</v>
          </cell>
          <cell r="B873" t="str">
            <v>Уведомления</v>
          </cell>
        </row>
        <row r="874">
          <cell r="A874" t="str">
            <v>DP</v>
          </cell>
          <cell r="B874" t="str">
            <v>Уведомления</v>
          </cell>
        </row>
        <row r="875">
          <cell r="A875" t="str">
            <v>DP</v>
          </cell>
          <cell r="B875" t="str">
            <v>Уведомления</v>
          </cell>
        </row>
        <row r="876">
          <cell r="A876" t="str">
            <v>DP</v>
          </cell>
          <cell r="B876" t="str">
            <v>Уведомления</v>
          </cell>
        </row>
        <row r="877">
          <cell r="A877" t="str">
            <v>DP</v>
          </cell>
          <cell r="B877" t="str">
            <v>Уведомления</v>
          </cell>
        </row>
        <row r="878">
          <cell r="A878" t="str">
            <v>DP</v>
          </cell>
          <cell r="B878" t="str">
            <v>Уведомления</v>
          </cell>
        </row>
        <row r="879">
          <cell r="A879" t="str">
            <v>DP</v>
          </cell>
          <cell r="B879" t="str">
            <v>Уведомления</v>
          </cell>
        </row>
        <row r="880">
          <cell r="A880" t="str">
            <v>DP</v>
          </cell>
          <cell r="B880" t="str">
            <v>Уведомления</v>
          </cell>
        </row>
        <row r="881">
          <cell r="A881" t="str">
            <v>DP</v>
          </cell>
          <cell r="B881" t="str">
            <v>Уведомления</v>
          </cell>
        </row>
        <row r="882">
          <cell r="A882" t="str">
            <v>DP</v>
          </cell>
          <cell r="B882" t="str">
            <v>Уведомления</v>
          </cell>
        </row>
        <row r="883">
          <cell r="A883" t="str">
            <v>DP</v>
          </cell>
          <cell r="B883" t="str">
            <v>Уведомления</v>
          </cell>
        </row>
        <row r="884">
          <cell r="A884" t="str">
            <v>DP</v>
          </cell>
          <cell r="B884" t="str">
            <v>Уведомления</v>
          </cell>
        </row>
        <row r="885">
          <cell r="A885" t="str">
            <v>DP</v>
          </cell>
          <cell r="B885" t="str">
            <v>Уведомления</v>
          </cell>
        </row>
        <row r="886">
          <cell r="A886" t="str">
            <v>DP</v>
          </cell>
          <cell r="B886" t="str">
            <v>Уведомления</v>
          </cell>
        </row>
        <row r="887">
          <cell r="A887" t="str">
            <v>DP</v>
          </cell>
          <cell r="B887" t="str">
            <v>Уведомления</v>
          </cell>
        </row>
        <row r="888">
          <cell r="A888" t="str">
            <v>DP</v>
          </cell>
          <cell r="B888" t="str">
            <v>Уведомления</v>
          </cell>
        </row>
        <row r="889">
          <cell r="A889" t="str">
            <v>DP</v>
          </cell>
          <cell r="B889" t="str">
            <v>Уведомления</v>
          </cell>
        </row>
        <row r="890">
          <cell r="A890" t="str">
            <v>DP</v>
          </cell>
          <cell r="B890" t="str">
            <v>Уведомления</v>
          </cell>
        </row>
        <row r="891">
          <cell r="A891" t="str">
            <v>DP</v>
          </cell>
          <cell r="B891" t="str">
            <v>Уведомления</v>
          </cell>
        </row>
        <row r="892">
          <cell r="A892" t="str">
            <v>DP</v>
          </cell>
          <cell r="B892" t="str">
            <v>Уведомления</v>
          </cell>
        </row>
        <row r="893">
          <cell r="A893" t="str">
            <v>Data</v>
          </cell>
          <cell r="B893" t="str">
            <v>SberID</v>
          </cell>
        </row>
        <row r="894">
          <cell r="A894" t="str">
            <v>Data</v>
          </cell>
          <cell r="B894" t="str">
            <v>SberID</v>
          </cell>
        </row>
        <row r="895">
          <cell r="A895" t="str">
            <v>Data</v>
          </cell>
          <cell r="B895" t="str">
            <v>SberID</v>
          </cell>
        </row>
        <row r="896">
          <cell r="A896" t="str">
            <v>Data</v>
          </cell>
          <cell r="B896" t="str">
            <v>SberID</v>
          </cell>
        </row>
        <row r="897">
          <cell r="A897" t="str">
            <v>Data</v>
          </cell>
          <cell r="B897" t="str">
            <v>SberID</v>
          </cell>
        </row>
        <row r="898">
          <cell r="A898" t="str">
            <v>Data</v>
          </cell>
          <cell r="B898" t="str">
            <v>SberID</v>
          </cell>
        </row>
        <row r="899">
          <cell r="A899" t="str">
            <v>Data</v>
          </cell>
          <cell r="B899" t="str">
            <v>SberID</v>
          </cell>
        </row>
        <row r="900">
          <cell r="A900" t="str">
            <v>Data</v>
          </cell>
          <cell r="B900" t="str">
            <v>SberID</v>
          </cell>
        </row>
        <row r="901">
          <cell r="A901" t="str">
            <v>Data</v>
          </cell>
          <cell r="B901" t="str">
            <v>SberID</v>
          </cell>
        </row>
        <row r="902">
          <cell r="A902" t="str">
            <v>Data</v>
          </cell>
          <cell r="B902" t="str">
            <v>SberID</v>
          </cell>
        </row>
        <row r="903">
          <cell r="A903" t="str">
            <v>Data</v>
          </cell>
          <cell r="B903" t="str">
            <v>SberID</v>
          </cell>
        </row>
        <row r="904">
          <cell r="A904" t="str">
            <v>Data</v>
          </cell>
          <cell r="B904" t="str">
            <v>Единый личный кабинет (ЕЛК)</v>
          </cell>
        </row>
        <row r="905">
          <cell r="A905" t="str">
            <v>Data</v>
          </cell>
          <cell r="B905" t="str">
            <v>Единый личный кабинет (ЕЛК)</v>
          </cell>
        </row>
        <row r="906">
          <cell r="A906" t="str">
            <v>Data</v>
          </cell>
          <cell r="B906" t="str">
            <v>Единый личный кабинет (ЕЛК)</v>
          </cell>
        </row>
        <row r="907">
          <cell r="A907" t="str">
            <v>Data</v>
          </cell>
          <cell r="B907" t="str">
            <v>Единый личный кабинет (ЕЛК)</v>
          </cell>
        </row>
        <row r="908">
          <cell r="A908" t="str">
            <v>Data</v>
          </cell>
          <cell r="B908" t="str">
            <v>Единый личный кабинет (ЕЛК)</v>
          </cell>
        </row>
        <row r="909">
          <cell r="A909" t="str">
            <v>Data</v>
          </cell>
          <cell r="B909" t="str">
            <v>Единый личный кабинет (ЕЛК)</v>
          </cell>
        </row>
        <row r="910">
          <cell r="A910" t="str">
            <v>Data</v>
          </cell>
          <cell r="B910" t="str">
            <v>Единый личный кабинет (ЕЛК)</v>
          </cell>
        </row>
        <row r="911">
          <cell r="A911" t="str">
            <v>Data</v>
          </cell>
          <cell r="B911" t="str">
            <v>Единый личный кабинет (ЕЛК)</v>
          </cell>
        </row>
        <row r="912">
          <cell r="A912" t="str">
            <v>Data</v>
          </cell>
          <cell r="B912" t="str">
            <v>Единый личный кабинет (ЕЛК)</v>
          </cell>
        </row>
        <row r="913">
          <cell r="A913" t="str">
            <v>Data</v>
          </cell>
          <cell r="B913" t="str">
            <v>Единый личный кабинет (ЕЛК)</v>
          </cell>
        </row>
        <row r="914">
          <cell r="A914" t="str">
            <v>Data</v>
          </cell>
          <cell r="B914" t="str">
            <v>Единый личный кабинет (ЕЛК)</v>
          </cell>
        </row>
        <row r="915">
          <cell r="A915" t="str">
            <v>Data</v>
          </cell>
          <cell r="B915" t="str">
            <v>Единый личный кабинет (ЕЛК)</v>
          </cell>
        </row>
        <row r="916">
          <cell r="A916" t="str">
            <v>Data</v>
          </cell>
          <cell r="B916" t="str">
            <v>Единый личный кабинет (ЕЛК)</v>
          </cell>
        </row>
        <row r="917">
          <cell r="A917" t="str">
            <v>Data</v>
          </cell>
          <cell r="B917" t="str">
            <v>Единый личный кабинет (ЕЛК)</v>
          </cell>
        </row>
        <row r="918">
          <cell r="A918" t="str">
            <v>Data</v>
          </cell>
          <cell r="B918" t="str">
            <v>Единый личный кабинет (ЕЛК)</v>
          </cell>
        </row>
        <row r="919">
          <cell r="A919" t="str">
            <v>Data</v>
          </cell>
          <cell r="B919" t="str">
            <v>Единый личный кабинет (ЕЛК)</v>
          </cell>
        </row>
        <row r="920">
          <cell r="A920" t="str">
            <v>Data</v>
          </cell>
          <cell r="B920" t="str">
            <v>Единый личный кабинет (ЕЛК)</v>
          </cell>
        </row>
        <row r="921">
          <cell r="A921" t="str">
            <v>Data</v>
          </cell>
          <cell r="B921" t="str">
            <v>Единый личный кабинет (ЕЛК)</v>
          </cell>
        </row>
        <row r="922">
          <cell r="A922" t="str">
            <v>PC</v>
          </cell>
          <cell r="B922" t="str">
            <v>Выписки, справки</v>
          </cell>
        </row>
        <row r="923">
          <cell r="A923" t="str">
            <v>PC</v>
          </cell>
          <cell r="B923" t="str">
            <v>Выписки, справки</v>
          </cell>
        </row>
        <row r="924">
          <cell r="A924" t="str">
            <v>PC</v>
          </cell>
          <cell r="B924" t="str">
            <v>Выписки, справки</v>
          </cell>
        </row>
        <row r="925">
          <cell r="A925" t="str">
            <v>PC</v>
          </cell>
          <cell r="B925" t="str">
            <v>Выписки, справки</v>
          </cell>
        </row>
        <row r="926">
          <cell r="A926" t="str">
            <v>PC</v>
          </cell>
          <cell r="B926" t="str">
            <v>Выписки, справки</v>
          </cell>
        </row>
        <row r="927">
          <cell r="A927" t="str">
            <v>PC</v>
          </cell>
          <cell r="B927" t="str">
            <v>Выписки, справки</v>
          </cell>
        </row>
        <row r="928">
          <cell r="A928" t="str">
            <v>PC</v>
          </cell>
          <cell r="B928" t="str">
            <v>Выписки, справки</v>
          </cell>
        </row>
        <row r="929">
          <cell r="A929" t="str">
            <v>PC</v>
          </cell>
          <cell r="B929" t="str">
            <v>Выписки, справки</v>
          </cell>
        </row>
        <row r="930">
          <cell r="A930" t="str">
            <v>PC</v>
          </cell>
          <cell r="B930" t="str">
            <v>Выписки, справки</v>
          </cell>
        </row>
        <row r="931">
          <cell r="A931" t="str">
            <v>PC</v>
          </cell>
          <cell r="B931" t="str">
            <v>Выписки, справки</v>
          </cell>
        </row>
        <row r="932">
          <cell r="A932" t="str">
            <v>PC</v>
          </cell>
          <cell r="B932" t="str">
            <v>Колл-центр</v>
          </cell>
        </row>
        <row r="933">
          <cell r="A933" t="str">
            <v>PC</v>
          </cell>
          <cell r="B933" t="str">
            <v>Колл-центр</v>
          </cell>
        </row>
        <row r="934">
          <cell r="A934" t="str">
            <v>PC</v>
          </cell>
          <cell r="B934" t="str">
            <v>Колл-центр</v>
          </cell>
        </row>
        <row r="935">
          <cell r="A935" t="str">
            <v>PC</v>
          </cell>
          <cell r="B935" t="str">
            <v>Колл-центр</v>
          </cell>
        </row>
        <row r="936">
          <cell r="A936" t="str">
            <v>PC</v>
          </cell>
          <cell r="B936" t="str">
            <v>Телемаркетинг</v>
          </cell>
        </row>
        <row r="937">
          <cell r="A937" t="str">
            <v>PC</v>
          </cell>
          <cell r="B937" t="str">
            <v>Телемаркетинг</v>
          </cell>
        </row>
        <row r="938">
          <cell r="A938" t="str">
            <v>PC</v>
          </cell>
          <cell r="B938" t="str">
            <v>Телемаркетинг</v>
          </cell>
        </row>
        <row r="939">
          <cell r="A939" t="str">
            <v>PC</v>
          </cell>
          <cell r="B939" t="str">
            <v>Телемаркетинг</v>
          </cell>
        </row>
        <row r="940">
          <cell r="A940" t="str">
            <v>PC</v>
          </cell>
          <cell r="B940" t="str">
            <v>Чат</v>
          </cell>
        </row>
        <row r="941">
          <cell r="A941" t="str">
            <v>PC</v>
          </cell>
          <cell r="B941" t="str">
            <v>Чат</v>
          </cell>
        </row>
        <row r="942">
          <cell r="A942" t="str">
            <v>PC</v>
          </cell>
          <cell r="B942" t="str">
            <v>Чат</v>
          </cell>
        </row>
        <row r="943">
          <cell r="A943" t="str">
            <v>PC</v>
          </cell>
          <cell r="B943" t="str">
            <v>Чат</v>
          </cell>
        </row>
        <row r="944">
          <cell r="A944" t="str">
            <v>PC</v>
          </cell>
          <cell r="B944" t="str">
            <v>Чат</v>
          </cell>
        </row>
        <row r="945">
          <cell r="A945" t="str">
            <v>PC</v>
          </cell>
          <cell r="B945" t="str">
            <v>Чат</v>
          </cell>
        </row>
        <row r="946">
          <cell r="A946" t="str">
            <v>PC</v>
          </cell>
          <cell r="B946" t="str">
            <v>Чат</v>
          </cell>
        </row>
        <row r="947">
          <cell r="A947" t="str">
            <v>ДомКлик</v>
          </cell>
          <cell r="B947" t="str">
            <v>Много денег (НКПЗН)</v>
          </cell>
        </row>
        <row r="948">
          <cell r="A948" t="str">
            <v>ДомКлик</v>
          </cell>
          <cell r="B948" t="str">
            <v>Много денег (НКПЗН)</v>
          </cell>
        </row>
        <row r="949">
          <cell r="A949" t="str">
            <v>ДомКлик</v>
          </cell>
          <cell r="B949" t="str">
            <v>Много денег (НКПЗН)</v>
          </cell>
        </row>
        <row r="950">
          <cell r="A950" t="str">
            <v>ДомКлик</v>
          </cell>
          <cell r="B950" t="str">
            <v>Много денег (НКПЗН)</v>
          </cell>
        </row>
        <row r="951">
          <cell r="A951" t="str">
            <v>ДомКлик</v>
          </cell>
          <cell r="B951" t="str">
            <v>Много денег (НКПЗН)</v>
          </cell>
        </row>
        <row r="952">
          <cell r="A952" t="str">
            <v>ДомКлик</v>
          </cell>
          <cell r="B952" t="str">
            <v>Много денег (НКПЗН)</v>
          </cell>
        </row>
        <row r="953">
          <cell r="A953" t="str">
            <v>ДомКлик</v>
          </cell>
          <cell r="B953" t="str">
            <v>Много денег (НКПЗН)</v>
          </cell>
        </row>
        <row r="954">
          <cell r="A954" t="str">
            <v>ДомКлик</v>
          </cell>
          <cell r="B954" t="str">
            <v>Много денег (НКПЗН)</v>
          </cell>
        </row>
        <row r="955">
          <cell r="A955" t="str">
            <v>ДомКлик</v>
          </cell>
          <cell r="B955" t="str">
            <v>Много денег (НКПЗН)</v>
          </cell>
        </row>
        <row r="956">
          <cell r="A956" t="str">
            <v>ДомКлик</v>
          </cell>
          <cell r="B956" t="str">
            <v>Много денег (НКПЗН)</v>
          </cell>
        </row>
        <row r="957">
          <cell r="A957" t="str">
            <v>ДомКлик</v>
          </cell>
          <cell r="B957" t="str">
            <v>Много денег (НКПЗН)</v>
          </cell>
        </row>
        <row r="958">
          <cell r="A958" t="str">
            <v>ДомКлик</v>
          </cell>
          <cell r="B958" t="str">
            <v>Много денег (НКПЗН)</v>
          </cell>
        </row>
        <row r="959">
          <cell r="A959" t="str">
            <v>ДомКлик</v>
          </cell>
          <cell r="B959" t="str">
            <v>Много денег (НКПЗН)</v>
          </cell>
        </row>
        <row r="960">
          <cell r="A960" t="str">
            <v>ДомКлик</v>
          </cell>
          <cell r="B960" t="str">
            <v>Сделка ИЖС</v>
          </cell>
        </row>
        <row r="961">
          <cell r="A961" t="str">
            <v>ДомКлик</v>
          </cell>
          <cell r="B961" t="str">
            <v>Сделка ИЖС</v>
          </cell>
        </row>
        <row r="962">
          <cell r="A962" t="str">
            <v>ДомКлик</v>
          </cell>
          <cell r="B962" t="str">
            <v>Сделка ИЖС</v>
          </cell>
        </row>
        <row r="963">
          <cell r="A963" t="str">
            <v>ДомКлик</v>
          </cell>
          <cell r="B963" t="str">
            <v>Сделка ИЖС</v>
          </cell>
        </row>
        <row r="964">
          <cell r="A964" t="str">
            <v>ДомКлик</v>
          </cell>
          <cell r="B964" t="str">
            <v>Сделка ИЖС</v>
          </cell>
        </row>
        <row r="965">
          <cell r="A965" t="str">
            <v>ДомКлик</v>
          </cell>
          <cell r="B965" t="str">
            <v>Сделка ИЖС</v>
          </cell>
        </row>
        <row r="966">
          <cell r="A966" t="str">
            <v>ДомКлик</v>
          </cell>
          <cell r="B966" t="str">
            <v>Сделка ИЖС</v>
          </cell>
        </row>
        <row r="967">
          <cell r="A967" t="str">
            <v>ДомКлик</v>
          </cell>
          <cell r="B967" t="str">
            <v>Сделка ИЖС</v>
          </cell>
        </row>
        <row r="968">
          <cell r="A968" t="str">
            <v>ДомКлик</v>
          </cell>
          <cell r="B968" t="str">
            <v>Сделка ИЖС</v>
          </cell>
        </row>
        <row r="969">
          <cell r="A969" t="str">
            <v>ДомКлик</v>
          </cell>
          <cell r="B969" t="str">
            <v>Сделка ИЖС</v>
          </cell>
        </row>
        <row r="970">
          <cell r="A970" t="str">
            <v>ДомКлик</v>
          </cell>
          <cell r="B970" t="str">
            <v>Сделка ИЖС</v>
          </cell>
        </row>
        <row r="971">
          <cell r="A971" t="str">
            <v>ДомКлик</v>
          </cell>
          <cell r="B971" t="str">
            <v>Сделка ИЖС</v>
          </cell>
        </row>
        <row r="972">
          <cell r="A972" t="str">
            <v>ДомКлик</v>
          </cell>
          <cell r="B972" t="str">
            <v>Сделка ИЖС</v>
          </cell>
        </row>
        <row r="973">
          <cell r="A973" t="str">
            <v>ДомКлик</v>
          </cell>
          <cell r="B973" t="str">
            <v>Сделка ИЖС</v>
          </cell>
        </row>
        <row r="974">
          <cell r="A974" t="str">
            <v>ДомКлик</v>
          </cell>
          <cell r="B974" t="str">
            <v>Сделка ИЖС</v>
          </cell>
        </row>
        <row r="975">
          <cell r="A975" t="str">
            <v>ДомКлик</v>
          </cell>
          <cell r="B975" t="str">
            <v>Сделка ИЖС</v>
          </cell>
        </row>
        <row r="976">
          <cell r="A976" t="str">
            <v>ДомКлик</v>
          </cell>
          <cell r="B976" t="str">
            <v>Сделка ИЖС</v>
          </cell>
        </row>
        <row r="977">
          <cell r="A977" t="str">
            <v>ДомКлик</v>
          </cell>
          <cell r="B977" t="str">
            <v>Сделка вторичка</v>
          </cell>
        </row>
        <row r="978">
          <cell r="A978" t="str">
            <v>ДомКлик</v>
          </cell>
          <cell r="B978" t="str">
            <v>Сделка вторичка</v>
          </cell>
        </row>
        <row r="979">
          <cell r="A979" t="str">
            <v>ДомКлик</v>
          </cell>
          <cell r="B979" t="str">
            <v>Сделка вторичка</v>
          </cell>
        </row>
        <row r="980">
          <cell r="A980" t="str">
            <v>ДомКлик</v>
          </cell>
          <cell r="B980" t="str">
            <v>Сделка вторичка</v>
          </cell>
        </row>
        <row r="981">
          <cell r="A981" t="str">
            <v>ДомКлик</v>
          </cell>
          <cell r="B981" t="str">
            <v>Сделка вторичка</v>
          </cell>
        </row>
        <row r="982">
          <cell r="A982" t="str">
            <v>ДомКлик</v>
          </cell>
          <cell r="B982" t="str">
            <v>Сделка вторичка</v>
          </cell>
        </row>
        <row r="983">
          <cell r="A983" t="str">
            <v>ДомКлик</v>
          </cell>
          <cell r="B983" t="str">
            <v>Сделка вторичка</v>
          </cell>
        </row>
        <row r="984">
          <cell r="A984" t="str">
            <v>ДомКлик</v>
          </cell>
          <cell r="B984" t="str">
            <v>Сделка вторичка</v>
          </cell>
        </row>
        <row r="985">
          <cell r="A985" t="str">
            <v>ДомКлик</v>
          </cell>
          <cell r="B985" t="str">
            <v>Сделка вторичка</v>
          </cell>
        </row>
        <row r="986">
          <cell r="A986" t="str">
            <v>ДомКлик</v>
          </cell>
          <cell r="B986" t="str">
            <v>Сделка вторичка</v>
          </cell>
        </row>
        <row r="987">
          <cell r="A987" t="str">
            <v>ДомКлик</v>
          </cell>
          <cell r="B987" t="str">
            <v>Сделка вторичка</v>
          </cell>
        </row>
        <row r="988">
          <cell r="A988" t="str">
            <v>ДомКлик</v>
          </cell>
          <cell r="B988" t="str">
            <v>Сделка вторичка</v>
          </cell>
        </row>
        <row r="989">
          <cell r="A989" t="str">
            <v>ДомКлик</v>
          </cell>
          <cell r="B989" t="str">
            <v>Сделка вторичка</v>
          </cell>
        </row>
        <row r="990">
          <cell r="A990" t="str">
            <v>ДомКлик</v>
          </cell>
          <cell r="B990" t="str">
            <v>Сделка с Первичным жильём</v>
          </cell>
        </row>
        <row r="991">
          <cell r="A991" t="str">
            <v>ДомКлик</v>
          </cell>
          <cell r="B991" t="str">
            <v>Сделка с Первичным жильём</v>
          </cell>
        </row>
        <row r="992">
          <cell r="A992" t="str">
            <v>ДомКлик</v>
          </cell>
          <cell r="B992" t="str">
            <v>Сделка с Первичным жильём</v>
          </cell>
        </row>
        <row r="993">
          <cell r="A993" t="str">
            <v>ДомКлик</v>
          </cell>
          <cell r="B993" t="str">
            <v>Сделка с Первичным жильём</v>
          </cell>
        </row>
        <row r="994">
          <cell r="A994" t="str">
            <v>ДомКлик</v>
          </cell>
          <cell r="B994" t="str">
            <v>Сделка с Первичным жильём</v>
          </cell>
        </row>
        <row r="995">
          <cell r="A995" t="str">
            <v>ДомКлик</v>
          </cell>
          <cell r="B995" t="str">
            <v>Сделка с Первичным жильём</v>
          </cell>
        </row>
        <row r="996">
          <cell r="A996" t="str">
            <v>ДомКлик</v>
          </cell>
          <cell r="B996" t="str">
            <v>Сделка с Первичным жильём</v>
          </cell>
        </row>
        <row r="997">
          <cell r="A997" t="str">
            <v>ДомКлик</v>
          </cell>
          <cell r="B997" t="str">
            <v>Сделка с Первичным жильём</v>
          </cell>
        </row>
        <row r="998">
          <cell r="A998" t="str">
            <v>ДомКлик</v>
          </cell>
          <cell r="B998" t="str">
            <v>Сделка с Первичным жильём</v>
          </cell>
        </row>
        <row r="999">
          <cell r="A999" t="str">
            <v>ДомКлик</v>
          </cell>
          <cell r="B999" t="str">
            <v>Сделка с Первичным жильём</v>
          </cell>
        </row>
        <row r="1000">
          <cell r="A1000" t="str">
            <v>ДомКлик</v>
          </cell>
          <cell r="B1000" t="str">
            <v>Сделка с Первичным жильём</v>
          </cell>
        </row>
        <row r="1001">
          <cell r="A1001" t="str">
            <v>ДомКлик</v>
          </cell>
          <cell r="B1001" t="str">
            <v>Сделка с Первичным жильём</v>
          </cell>
        </row>
        <row r="1002">
          <cell r="A1002" t="str">
            <v>УБ</v>
          </cell>
          <cell r="B1002" t="str">
            <v>БПИФ</v>
          </cell>
        </row>
        <row r="1003">
          <cell r="A1003" t="str">
            <v>УБ</v>
          </cell>
          <cell r="B1003" t="str">
            <v>БПИФ</v>
          </cell>
        </row>
        <row r="1004">
          <cell r="A1004" t="str">
            <v>УБ</v>
          </cell>
          <cell r="B1004" t="str">
            <v>БПИФ</v>
          </cell>
        </row>
        <row r="1005">
          <cell r="A1005" t="str">
            <v>УБ</v>
          </cell>
          <cell r="B1005" t="str">
            <v>БПИФ</v>
          </cell>
        </row>
        <row r="1006">
          <cell r="A1006" t="str">
            <v>УБ</v>
          </cell>
          <cell r="B1006" t="str">
            <v>БПИФ</v>
          </cell>
        </row>
        <row r="1007">
          <cell r="A1007" t="str">
            <v>УБ</v>
          </cell>
          <cell r="B1007" t="str">
            <v>БПИФ</v>
          </cell>
        </row>
        <row r="1008">
          <cell r="A1008" t="str">
            <v>УБ</v>
          </cell>
          <cell r="B1008" t="str">
            <v>БПИФ</v>
          </cell>
        </row>
        <row r="1009">
          <cell r="A1009" t="str">
            <v>УБ</v>
          </cell>
          <cell r="B1009" t="str">
            <v>БПИФ</v>
          </cell>
        </row>
        <row r="1010">
          <cell r="A1010" t="str">
            <v>УБ</v>
          </cell>
          <cell r="B1010" t="str">
            <v>БПИФ</v>
          </cell>
        </row>
        <row r="1011">
          <cell r="A1011" t="str">
            <v>УБ</v>
          </cell>
          <cell r="B1011" t="str">
            <v>БПИФ</v>
          </cell>
        </row>
        <row r="1012">
          <cell r="A1012" t="str">
            <v>УБ</v>
          </cell>
          <cell r="B1012" t="str">
            <v>БПИФ</v>
          </cell>
        </row>
        <row r="1013">
          <cell r="A1013" t="str">
            <v>УБ</v>
          </cell>
          <cell r="B1013" t="str">
            <v>БПИФ</v>
          </cell>
        </row>
        <row r="1014">
          <cell r="A1014" t="str">
            <v>УБ</v>
          </cell>
          <cell r="B1014" t="str">
            <v>БПИФ</v>
          </cell>
        </row>
        <row r="1015">
          <cell r="A1015" t="str">
            <v>УБ</v>
          </cell>
          <cell r="B1015" t="str">
            <v>БПИФ</v>
          </cell>
        </row>
        <row r="1016">
          <cell r="A1016" t="str">
            <v>УБ</v>
          </cell>
          <cell r="B1016" t="str">
            <v>БПИФ</v>
          </cell>
        </row>
        <row r="1017">
          <cell r="A1017" t="str">
            <v>УБ</v>
          </cell>
          <cell r="B1017" t="str">
            <v>БПИФ</v>
          </cell>
        </row>
        <row r="1018">
          <cell r="A1018" t="str">
            <v>УБ</v>
          </cell>
          <cell r="B1018" t="str">
            <v>БПИФ</v>
          </cell>
        </row>
        <row r="1019">
          <cell r="A1019" t="str">
            <v>УБ</v>
          </cell>
          <cell r="B1019" t="str">
            <v>БПИФ</v>
          </cell>
        </row>
        <row r="1020">
          <cell r="A1020" t="str">
            <v>УБ</v>
          </cell>
          <cell r="B1020" t="str">
            <v>БПИФ</v>
          </cell>
        </row>
        <row r="1021">
          <cell r="A1021" t="str">
            <v>УБ</v>
          </cell>
          <cell r="B1021" t="str">
            <v>БПИФ</v>
          </cell>
        </row>
        <row r="1022">
          <cell r="A1022" t="str">
            <v>УБ</v>
          </cell>
          <cell r="B1022" t="str">
            <v>БПИФ</v>
          </cell>
        </row>
        <row r="1023">
          <cell r="A1023" t="str">
            <v>УБ</v>
          </cell>
          <cell r="B1023" t="str">
            <v>БПИФ</v>
          </cell>
        </row>
        <row r="1024">
          <cell r="A1024" t="str">
            <v>УБ</v>
          </cell>
          <cell r="B1024" t="str">
            <v>Брокерский счет</v>
          </cell>
        </row>
        <row r="1025">
          <cell r="A1025" t="str">
            <v>УБ</v>
          </cell>
          <cell r="B1025" t="str">
            <v>Брокерский счет</v>
          </cell>
        </row>
        <row r="1026">
          <cell r="A1026" t="str">
            <v>УБ</v>
          </cell>
          <cell r="B1026" t="str">
            <v>Брокерский счет</v>
          </cell>
        </row>
        <row r="1027">
          <cell r="A1027" t="str">
            <v>УБ</v>
          </cell>
          <cell r="B1027" t="str">
            <v>Брокерский счет</v>
          </cell>
        </row>
        <row r="1028">
          <cell r="A1028" t="str">
            <v>УБ</v>
          </cell>
          <cell r="B1028" t="str">
            <v>Брокерский счет</v>
          </cell>
        </row>
        <row r="1029">
          <cell r="A1029" t="str">
            <v>УБ</v>
          </cell>
          <cell r="B1029" t="str">
            <v>Брокерский счет</v>
          </cell>
        </row>
        <row r="1030">
          <cell r="A1030" t="str">
            <v>УБ</v>
          </cell>
          <cell r="B1030" t="str">
            <v>Брокерский счет</v>
          </cell>
        </row>
        <row r="1031">
          <cell r="A1031" t="str">
            <v>УБ</v>
          </cell>
          <cell r="B1031" t="str">
            <v>Брокерский счет</v>
          </cell>
        </row>
        <row r="1032">
          <cell r="A1032" t="str">
            <v>УБ</v>
          </cell>
          <cell r="B1032" t="str">
            <v>Брокерский счет</v>
          </cell>
        </row>
        <row r="1033">
          <cell r="A1033" t="str">
            <v>УБ</v>
          </cell>
          <cell r="B1033" t="str">
            <v>Брокерский счет</v>
          </cell>
        </row>
        <row r="1034">
          <cell r="A1034" t="str">
            <v>УБ</v>
          </cell>
          <cell r="B1034" t="str">
            <v>Брокерский счет</v>
          </cell>
        </row>
        <row r="1035">
          <cell r="A1035" t="str">
            <v>УБ</v>
          </cell>
          <cell r="B1035" t="str">
            <v>Брокерский счет</v>
          </cell>
        </row>
        <row r="1036">
          <cell r="A1036" t="str">
            <v>УБ</v>
          </cell>
          <cell r="B1036" t="str">
            <v>Брокерский счет</v>
          </cell>
        </row>
        <row r="1037">
          <cell r="A1037" t="str">
            <v>УБ</v>
          </cell>
          <cell r="B1037" t="str">
            <v>Брокерский счет</v>
          </cell>
        </row>
        <row r="1038">
          <cell r="A1038" t="str">
            <v>УБ</v>
          </cell>
          <cell r="B1038" t="str">
            <v>Брокерский счет</v>
          </cell>
        </row>
        <row r="1039">
          <cell r="A1039" t="str">
            <v>УБ</v>
          </cell>
          <cell r="B1039" t="str">
            <v>Брокерский счет</v>
          </cell>
        </row>
        <row r="1040">
          <cell r="A1040" t="str">
            <v>УБ</v>
          </cell>
          <cell r="B1040" t="str">
            <v>Брокерский счет</v>
          </cell>
        </row>
        <row r="1041">
          <cell r="A1041" t="str">
            <v>УБ</v>
          </cell>
          <cell r="B1041" t="str">
            <v>Брокерский счет</v>
          </cell>
        </row>
        <row r="1042">
          <cell r="A1042" t="str">
            <v>УБ</v>
          </cell>
          <cell r="B1042" t="str">
            <v>Брокерский счет</v>
          </cell>
        </row>
        <row r="1043">
          <cell r="A1043" t="str">
            <v>УБ</v>
          </cell>
          <cell r="B1043" t="str">
            <v>Брокерский счет</v>
          </cell>
        </row>
        <row r="1044">
          <cell r="A1044" t="str">
            <v>УБ</v>
          </cell>
          <cell r="B1044" t="str">
            <v>Брокерский счет</v>
          </cell>
        </row>
        <row r="1045">
          <cell r="A1045" t="str">
            <v>УБ</v>
          </cell>
          <cell r="B1045" t="str">
            <v>Брокерский счет</v>
          </cell>
        </row>
        <row r="1046">
          <cell r="A1046" t="str">
            <v>УБ</v>
          </cell>
          <cell r="B1046" t="str">
            <v>Брокерский счет</v>
          </cell>
        </row>
        <row r="1047">
          <cell r="A1047" t="str">
            <v>УБ</v>
          </cell>
          <cell r="B1047" t="str">
            <v>Брокерский счет</v>
          </cell>
        </row>
        <row r="1048">
          <cell r="A1048" t="str">
            <v>УБ</v>
          </cell>
          <cell r="B1048" t="str">
            <v>Брокерский счет</v>
          </cell>
        </row>
        <row r="1049">
          <cell r="A1049" t="str">
            <v>УБ</v>
          </cell>
          <cell r="B1049" t="str">
            <v>ВЗР</v>
          </cell>
        </row>
        <row r="1050">
          <cell r="A1050" t="str">
            <v>УБ</v>
          </cell>
          <cell r="B1050" t="str">
            <v>ВЗР</v>
          </cell>
        </row>
        <row r="1051">
          <cell r="A1051" t="str">
            <v>УБ</v>
          </cell>
          <cell r="B1051" t="str">
            <v>ВЗР</v>
          </cell>
        </row>
        <row r="1052">
          <cell r="A1052" t="str">
            <v>УБ</v>
          </cell>
          <cell r="B1052" t="str">
            <v>ВЗР</v>
          </cell>
        </row>
        <row r="1053">
          <cell r="A1053" t="str">
            <v>УБ</v>
          </cell>
          <cell r="B1053" t="str">
            <v>ВЗР</v>
          </cell>
        </row>
        <row r="1054">
          <cell r="A1054" t="str">
            <v>УБ</v>
          </cell>
          <cell r="B1054" t="str">
            <v>ВЗР</v>
          </cell>
        </row>
        <row r="1055">
          <cell r="A1055" t="str">
            <v>УБ</v>
          </cell>
          <cell r="B1055" t="str">
            <v>ВЗР</v>
          </cell>
        </row>
        <row r="1056">
          <cell r="A1056" t="str">
            <v>УБ</v>
          </cell>
          <cell r="B1056" t="str">
            <v>ВЗР</v>
          </cell>
        </row>
        <row r="1057">
          <cell r="A1057" t="str">
            <v>УБ</v>
          </cell>
          <cell r="B1057" t="str">
            <v>ВЗР</v>
          </cell>
        </row>
        <row r="1058">
          <cell r="A1058" t="str">
            <v>УБ</v>
          </cell>
          <cell r="B1058" t="str">
            <v>ВЗР</v>
          </cell>
        </row>
        <row r="1059">
          <cell r="A1059" t="str">
            <v>УБ</v>
          </cell>
          <cell r="B1059" t="str">
            <v>ВЗР</v>
          </cell>
        </row>
        <row r="1060">
          <cell r="A1060" t="str">
            <v>УБ</v>
          </cell>
          <cell r="B1060" t="str">
            <v>ВЗР</v>
          </cell>
        </row>
        <row r="1061">
          <cell r="A1061" t="str">
            <v>УБ</v>
          </cell>
          <cell r="B1061" t="str">
            <v>ВЗР</v>
          </cell>
        </row>
        <row r="1062">
          <cell r="A1062" t="str">
            <v>УБ</v>
          </cell>
          <cell r="B1062" t="str">
            <v>ВЗР</v>
          </cell>
        </row>
        <row r="1063">
          <cell r="A1063" t="str">
            <v>УБ</v>
          </cell>
          <cell r="B1063" t="str">
            <v>ВЗР</v>
          </cell>
        </row>
        <row r="1064">
          <cell r="A1064" t="str">
            <v>УБ</v>
          </cell>
          <cell r="B1064" t="str">
            <v>ВЗР</v>
          </cell>
        </row>
        <row r="1065">
          <cell r="A1065" t="str">
            <v>УБ</v>
          </cell>
          <cell r="B1065" t="str">
            <v>ВЗР</v>
          </cell>
        </row>
        <row r="1066">
          <cell r="A1066" t="str">
            <v>УБ</v>
          </cell>
          <cell r="B1066" t="str">
            <v>ВЗР</v>
          </cell>
        </row>
        <row r="1067">
          <cell r="A1067" t="str">
            <v>УБ</v>
          </cell>
          <cell r="B1067" t="str">
            <v>ВЗР</v>
          </cell>
        </row>
        <row r="1068">
          <cell r="A1068" t="str">
            <v>УБ</v>
          </cell>
          <cell r="B1068" t="str">
            <v>ВЗР</v>
          </cell>
        </row>
        <row r="1069">
          <cell r="A1069" t="str">
            <v>УБ</v>
          </cell>
          <cell r="B1069" t="str">
            <v>ВЗР</v>
          </cell>
        </row>
        <row r="1070">
          <cell r="A1070" t="str">
            <v>УБ</v>
          </cell>
          <cell r="B1070" t="str">
            <v>ВЗР</v>
          </cell>
        </row>
        <row r="1071">
          <cell r="A1071" t="str">
            <v>УБ</v>
          </cell>
          <cell r="B1071" t="str">
            <v>ВЗР</v>
          </cell>
        </row>
        <row r="1072">
          <cell r="A1072" t="str">
            <v>УБ</v>
          </cell>
          <cell r="B1072" t="str">
            <v>ДСЖ КК</v>
          </cell>
        </row>
        <row r="1073">
          <cell r="A1073" t="str">
            <v>УБ</v>
          </cell>
          <cell r="B1073" t="str">
            <v>ДСЖ КК</v>
          </cell>
        </row>
        <row r="1074">
          <cell r="A1074" t="str">
            <v>УБ</v>
          </cell>
          <cell r="B1074" t="str">
            <v>ДСЖ КК</v>
          </cell>
        </row>
        <row r="1075">
          <cell r="A1075" t="str">
            <v>УБ</v>
          </cell>
          <cell r="B1075" t="str">
            <v>ДСЖ КК</v>
          </cell>
        </row>
        <row r="1076">
          <cell r="A1076" t="str">
            <v>УБ</v>
          </cell>
          <cell r="B1076" t="str">
            <v>ДСЖ КК</v>
          </cell>
        </row>
        <row r="1077">
          <cell r="A1077" t="str">
            <v>УБ</v>
          </cell>
          <cell r="B1077" t="str">
            <v>ДСЖ КК</v>
          </cell>
        </row>
        <row r="1078">
          <cell r="A1078" t="str">
            <v>УБ</v>
          </cell>
          <cell r="B1078" t="str">
            <v>ДСЖ КК</v>
          </cell>
        </row>
        <row r="1079">
          <cell r="A1079" t="str">
            <v>УБ</v>
          </cell>
          <cell r="B1079" t="str">
            <v>ДСЖ КК</v>
          </cell>
        </row>
        <row r="1080">
          <cell r="A1080" t="str">
            <v>УБ</v>
          </cell>
          <cell r="B1080" t="str">
            <v>ДСЖ КК</v>
          </cell>
        </row>
        <row r="1081">
          <cell r="A1081" t="str">
            <v>УБ</v>
          </cell>
          <cell r="B1081" t="str">
            <v>ДСЖ КК</v>
          </cell>
        </row>
        <row r="1082">
          <cell r="A1082" t="str">
            <v>УБ</v>
          </cell>
          <cell r="B1082" t="str">
            <v>ДСЖ КК</v>
          </cell>
        </row>
        <row r="1083">
          <cell r="A1083" t="str">
            <v>УБ</v>
          </cell>
          <cell r="B1083" t="str">
            <v>ДСЖ КК</v>
          </cell>
        </row>
        <row r="1084">
          <cell r="A1084" t="str">
            <v>УБ</v>
          </cell>
          <cell r="B1084" t="str">
            <v>ДСЖ КК</v>
          </cell>
        </row>
        <row r="1085">
          <cell r="A1085" t="str">
            <v>УБ</v>
          </cell>
          <cell r="B1085" t="str">
            <v>ДСЖ КК</v>
          </cell>
        </row>
        <row r="1086">
          <cell r="A1086" t="str">
            <v>УБ</v>
          </cell>
          <cell r="B1086" t="str">
            <v>ДСЖ КК</v>
          </cell>
        </row>
        <row r="1087">
          <cell r="A1087" t="str">
            <v>УБ</v>
          </cell>
          <cell r="B1087" t="str">
            <v>ДСЖ КК</v>
          </cell>
        </row>
        <row r="1088">
          <cell r="A1088" t="str">
            <v>УБ</v>
          </cell>
          <cell r="B1088" t="str">
            <v>ДСЖ ПК</v>
          </cell>
        </row>
        <row r="1089">
          <cell r="A1089" t="str">
            <v>УБ</v>
          </cell>
          <cell r="B1089" t="str">
            <v>ДСЖ ПК</v>
          </cell>
        </row>
        <row r="1090">
          <cell r="A1090" t="str">
            <v>УБ</v>
          </cell>
          <cell r="B1090" t="str">
            <v>ДСЖ ПК</v>
          </cell>
        </row>
        <row r="1091">
          <cell r="A1091" t="str">
            <v>УБ</v>
          </cell>
          <cell r="B1091" t="str">
            <v>ДСЖ ПК</v>
          </cell>
        </row>
        <row r="1092">
          <cell r="A1092" t="str">
            <v>УБ</v>
          </cell>
          <cell r="B1092" t="str">
            <v>ДСЖ ПК</v>
          </cell>
        </row>
        <row r="1093">
          <cell r="A1093" t="str">
            <v>УБ</v>
          </cell>
          <cell r="B1093" t="str">
            <v>ДСЖ ПК</v>
          </cell>
        </row>
        <row r="1094">
          <cell r="A1094" t="str">
            <v>УБ</v>
          </cell>
          <cell r="B1094" t="str">
            <v>ДСЖ ПК</v>
          </cell>
        </row>
        <row r="1095">
          <cell r="A1095" t="str">
            <v>УБ</v>
          </cell>
          <cell r="B1095" t="str">
            <v>ДСЖ ПК</v>
          </cell>
        </row>
        <row r="1096">
          <cell r="A1096" t="str">
            <v>УБ</v>
          </cell>
          <cell r="B1096" t="str">
            <v>ДСЖ ПК</v>
          </cell>
        </row>
        <row r="1097">
          <cell r="A1097" t="str">
            <v>УБ</v>
          </cell>
          <cell r="B1097" t="str">
            <v>ДСЖ ПК</v>
          </cell>
        </row>
        <row r="1098">
          <cell r="A1098" t="str">
            <v>УБ</v>
          </cell>
          <cell r="B1098" t="str">
            <v>ДСЖ ПК</v>
          </cell>
        </row>
        <row r="1099">
          <cell r="A1099" t="str">
            <v>УБ</v>
          </cell>
          <cell r="B1099" t="str">
            <v>ДСЖ ПК</v>
          </cell>
        </row>
        <row r="1100">
          <cell r="A1100" t="str">
            <v>УБ</v>
          </cell>
          <cell r="B1100" t="str">
            <v>ДСЖ ПК</v>
          </cell>
        </row>
        <row r="1101">
          <cell r="A1101" t="str">
            <v>УБ</v>
          </cell>
          <cell r="B1101" t="str">
            <v>ДСЖ ПК</v>
          </cell>
        </row>
        <row r="1102">
          <cell r="A1102" t="str">
            <v>УБ</v>
          </cell>
          <cell r="B1102" t="str">
            <v>ДСЖ ПК</v>
          </cell>
        </row>
        <row r="1103">
          <cell r="A1103" t="str">
            <v>УБ</v>
          </cell>
          <cell r="B1103" t="str">
            <v>ДСЖ ПК</v>
          </cell>
        </row>
        <row r="1104">
          <cell r="A1104" t="str">
            <v>УБ</v>
          </cell>
          <cell r="B1104" t="str">
            <v>ДСЖ ПК</v>
          </cell>
        </row>
        <row r="1105">
          <cell r="A1105" t="str">
            <v>УБ</v>
          </cell>
          <cell r="B1105" t="str">
            <v>ДСЖ ПК</v>
          </cell>
        </row>
        <row r="1106">
          <cell r="A1106" t="str">
            <v>УБ</v>
          </cell>
          <cell r="B1106" t="str">
            <v>ДУ</v>
          </cell>
        </row>
        <row r="1107">
          <cell r="A1107" t="str">
            <v>УБ</v>
          </cell>
          <cell r="B1107" t="str">
            <v>ДУ</v>
          </cell>
        </row>
        <row r="1108">
          <cell r="A1108" t="str">
            <v>УБ</v>
          </cell>
          <cell r="B1108" t="str">
            <v>ДУ</v>
          </cell>
        </row>
        <row r="1109">
          <cell r="A1109" t="str">
            <v>УБ</v>
          </cell>
          <cell r="B1109" t="str">
            <v>ДУ</v>
          </cell>
        </row>
        <row r="1110">
          <cell r="A1110" t="str">
            <v>УБ</v>
          </cell>
          <cell r="B1110" t="str">
            <v>ДУ</v>
          </cell>
        </row>
        <row r="1111">
          <cell r="A1111" t="str">
            <v>УБ</v>
          </cell>
          <cell r="B1111" t="str">
            <v>ДУ</v>
          </cell>
        </row>
        <row r="1112">
          <cell r="A1112" t="str">
            <v>УБ</v>
          </cell>
          <cell r="B1112" t="str">
            <v>ДУ</v>
          </cell>
        </row>
        <row r="1113">
          <cell r="A1113" t="str">
            <v>УБ</v>
          </cell>
          <cell r="B1113" t="str">
            <v>ДУ</v>
          </cell>
        </row>
        <row r="1114">
          <cell r="A1114" t="str">
            <v>УБ</v>
          </cell>
          <cell r="B1114" t="str">
            <v>ДУ</v>
          </cell>
        </row>
        <row r="1115">
          <cell r="A1115" t="str">
            <v>УБ</v>
          </cell>
          <cell r="B1115" t="str">
            <v>ДУ</v>
          </cell>
        </row>
        <row r="1116">
          <cell r="A1116" t="str">
            <v>УБ</v>
          </cell>
          <cell r="B1116" t="str">
            <v>ДУ</v>
          </cell>
        </row>
        <row r="1117">
          <cell r="A1117" t="str">
            <v>УБ</v>
          </cell>
          <cell r="B1117" t="str">
            <v>ДУ</v>
          </cell>
        </row>
        <row r="1118">
          <cell r="A1118" t="str">
            <v>УБ</v>
          </cell>
          <cell r="B1118" t="str">
            <v>ДУ</v>
          </cell>
        </row>
        <row r="1119">
          <cell r="A1119" t="str">
            <v>УБ</v>
          </cell>
          <cell r="B1119" t="str">
            <v>ДУ</v>
          </cell>
        </row>
        <row r="1120">
          <cell r="A1120" t="str">
            <v>УБ</v>
          </cell>
          <cell r="B1120" t="str">
            <v>ДУ</v>
          </cell>
        </row>
        <row r="1121">
          <cell r="A1121" t="str">
            <v>УБ</v>
          </cell>
          <cell r="B1121" t="str">
            <v>ДУ</v>
          </cell>
        </row>
        <row r="1122">
          <cell r="A1122" t="str">
            <v>УБ</v>
          </cell>
          <cell r="B1122" t="str">
            <v>ДУ</v>
          </cell>
        </row>
        <row r="1123">
          <cell r="A1123" t="str">
            <v>УБ</v>
          </cell>
          <cell r="B1123" t="str">
            <v>ДУ</v>
          </cell>
        </row>
        <row r="1124">
          <cell r="A1124" t="str">
            <v>УБ</v>
          </cell>
          <cell r="B1124" t="str">
            <v>ДУ</v>
          </cell>
        </row>
        <row r="1125">
          <cell r="A1125" t="str">
            <v>УБ</v>
          </cell>
          <cell r="B1125" t="str">
            <v>ДУ</v>
          </cell>
        </row>
        <row r="1126">
          <cell r="A1126" t="str">
            <v>УБ</v>
          </cell>
          <cell r="B1126" t="str">
            <v>ДУ</v>
          </cell>
        </row>
        <row r="1127">
          <cell r="A1127" t="str">
            <v>УБ</v>
          </cell>
          <cell r="B1127" t="str">
            <v>ДУ</v>
          </cell>
        </row>
        <row r="1128">
          <cell r="A1128" t="str">
            <v>УБ</v>
          </cell>
          <cell r="B1128" t="str">
            <v>ДУ</v>
          </cell>
        </row>
        <row r="1129">
          <cell r="A1129" t="str">
            <v>УБ</v>
          </cell>
          <cell r="B1129" t="str">
            <v>ДУ</v>
          </cell>
        </row>
        <row r="1130">
          <cell r="A1130" t="str">
            <v>УБ</v>
          </cell>
          <cell r="B1130" t="str">
            <v>ЗЛС</v>
          </cell>
        </row>
        <row r="1131">
          <cell r="A1131" t="str">
            <v>УБ</v>
          </cell>
          <cell r="B1131" t="str">
            <v>ЗЛС</v>
          </cell>
        </row>
        <row r="1132">
          <cell r="A1132" t="str">
            <v>УБ</v>
          </cell>
          <cell r="B1132" t="str">
            <v>ЗЛС</v>
          </cell>
        </row>
        <row r="1133">
          <cell r="A1133" t="str">
            <v>УБ</v>
          </cell>
          <cell r="B1133" t="str">
            <v>ЗЛС</v>
          </cell>
        </row>
        <row r="1134">
          <cell r="A1134" t="str">
            <v>УБ</v>
          </cell>
          <cell r="B1134" t="str">
            <v>ЗЛС</v>
          </cell>
        </row>
        <row r="1135">
          <cell r="A1135" t="str">
            <v>УБ</v>
          </cell>
          <cell r="B1135" t="str">
            <v>ЗЛС</v>
          </cell>
        </row>
        <row r="1136">
          <cell r="A1136" t="str">
            <v>УБ</v>
          </cell>
          <cell r="B1136" t="str">
            <v>ЗЛС</v>
          </cell>
        </row>
        <row r="1137">
          <cell r="A1137" t="str">
            <v>УБ</v>
          </cell>
          <cell r="B1137" t="str">
            <v>ЗЛС</v>
          </cell>
        </row>
        <row r="1138">
          <cell r="A1138" t="str">
            <v>УБ</v>
          </cell>
          <cell r="B1138" t="str">
            <v>ЗЛС</v>
          </cell>
        </row>
        <row r="1139">
          <cell r="A1139" t="str">
            <v>УБ</v>
          </cell>
          <cell r="B1139" t="str">
            <v>ЗЛС</v>
          </cell>
        </row>
        <row r="1140">
          <cell r="A1140" t="str">
            <v>УБ</v>
          </cell>
          <cell r="B1140" t="str">
            <v>ЗЛС</v>
          </cell>
        </row>
        <row r="1141">
          <cell r="A1141" t="str">
            <v>УБ</v>
          </cell>
          <cell r="B1141" t="str">
            <v>ЗЛС</v>
          </cell>
        </row>
        <row r="1142">
          <cell r="A1142" t="str">
            <v>УБ</v>
          </cell>
          <cell r="B1142" t="str">
            <v>ЗЛС</v>
          </cell>
        </row>
        <row r="1143">
          <cell r="A1143" t="str">
            <v>УБ</v>
          </cell>
          <cell r="B1143" t="str">
            <v>ЗЛС</v>
          </cell>
        </row>
        <row r="1144">
          <cell r="A1144" t="str">
            <v>УБ</v>
          </cell>
          <cell r="B1144" t="str">
            <v>ЗЛС</v>
          </cell>
        </row>
        <row r="1145">
          <cell r="A1145" t="str">
            <v>УБ</v>
          </cell>
          <cell r="B1145" t="str">
            <v>ЗЛС</v>
          </cell>
        </row>
        <row r="1146">
          <cell r="A1146" t="str">
            <v>УБ</v>
          </cell>
          <cell r="B1146" t="str">
            <v>ЗЛС</v>
          </cell>
        </row>
        <row r="1147">
          <cell r="A1147" t="str">
            <v>УБ</v>
          </cell>
          <cell r="B1147" t="str">
            <v>ЗЛС</v>
          </cell>
        </row>
        <row r="1148">
          <cell r="A1148" t="str">
            <v>УБ</v>
          </cell>
          <cell r="B1148" t="str">
            <v>ЗПИФ</v>
          </cell>
        </row>
        <row r="1149">
          <cell r="A1149" t="str">
            <v>УБ</v>
          </cell>
          <cell r="B1149" t="str">
            <v>ЗПИФ</v>
          </cell>
        </row>
        <row r="1150">
          <cell r="A1150" t="str">
            <v>УБ</v>
          </cell>
          <cell r="B1150" t="str">
            <v>ЗПИФ</v>
          </cell>
        </row>
        <row r="1151">
          <cell r="A1151" t="str">
            <v>УБ</v>
          </cell>
          <cell r="B1151" t="str">
            <v>ЗПИФ</v>
          </cell>
        </row>
        <row r="1152">
          <cell r="A1152" t="str">
            <v>УБ</v>
          </cell>
          <cell r="B1152" t="str">
            <v>ЗПИФ</v>
          </cell>
        </row>
        <row r="1153">
          <cell r="A1153" t="str">
            <v>УБ</v>
          </cell>
          <cell r="B1153" t="str">
            <v>ЗПИФ</v>
          </cell>
        </row>
        <row r="1154">
          <cell r="A1154" t="str">
            <v>УБ</v>
          </cell>
          <cell r="B1154" t="str">
            <v>ЗПИФ</v>
          </cell>
        </row>
        <row r="1155">
          <cell r="A1155" t="str">
            <v>УБ</v>
          </cell>
          <cell r="B1155" t="str">
            <v>ЗПИФ</v>
          </cell>
        </row>
        <row r="1156">
          <cell r="A1156" t="str">
            <v>УБ</v>
          </cell>
          <cell r="B1156" t="str">
            <v>ЗПИФ</v>
          </cell>
        </row>
        <row r="1157">
          <cell r="A1157" t="str">
            <v>УБ</v>
          </cell>
          <cell r="B1157" t="str">
            <v>ЗПИФ</v>
          </cell>
        </row>
        <row r="1158">
          <cell r="A1158" t="str">
            <v>УБ</v>
          </cell>
          <cell r="B1158" t="str">
            <v>ЗПИФ</v>
          </cell>
        </row>
        <row r="1159">
          <cell r="A1159" t="str">
            <v>УБ</v>
          </cell>
          <cell r="B1159" t="str">
            <v>ЗПИФ</v>
          </cell>
        </row>
        <row r="1160">
          <cell r="A1160" t="str">
            <v>УБ</v>
          </cell>
          <cell r="B1160" t="str">
            <v>ЗПИФ</v>
          </cell>
        </row>
        <row r="1161">
          <cell r="A1161" t="str">
            <v>УБ</v>
          </cell>
          <cell r="B1161" t="str">
            <v>ЗПИФ</v>
          </cell>
        </row>
        <row r="1162">
          <cell r="A1162" t="str">
            <v>УБ</v>
          </cell>
          <cell r="B1162" t="str">
            <v>ЗПИФ</v>
          </cell>
        </row>
        <row r="1163">
          <cell r="A1163" t="str">
            <v>УБ</v>
          </cell>
          <cell r="B1163" t="str">
            <v>ЗПИФ</v>
          </cell>
        </row>
        <row r="1164">
          <cell r="A1164" t="str">
            <v>УБ</v>
          </cell>
          <cell r="B1164" t="str">
            <v>Залоговое страхование (корпоративное страхование)</v>
          </cell>
        </row>
        <row r="1165">
          <cell r="A1165" t="str">
            <v>УБ</v>
          </cell>
          <cell r="B1165" t="str">
            <v>Залоговое страхование (корпоративное страхование)</v>
          </cell>
        </row>
        <row r="1166">
          <cell r="A1166" t="str">
            <v>УБ</v>
          </cell>
          <cell r="B1166" t="str">
            <v>Залоговое страхование (корпоративное страхование)</v>
          </cell>
        </row>
        <row r="1167">
          <cell r="A1167" t="str">
            <v>УБ</v>
          </cell>
          <cell r="B1167" t="str">
            <v>Залоговое страхование (корпоративное страхование)</v>
          </cell>
        </row>
        <row r="1168">
          <cell r="A1168" t="str">
            <v>УБ</v>
          </cell>
          <cell r="B1168" t="str">
            <v>Залоговое страхование (корпоративное страхование)</v>
          </cell>
        </row>
        <row r="1169">
          <cell r="A1169" t="str">
            <v>УБ</v>
          </cell>
          <cell r="B1169" t="str">
            <v>Залоговое страхование (корпоративное страхование)</v>
          </cell>
        </row>
        <row r="1170">
          <cell r="A1170" t="str">
            <v>УБ</v>
          </cell>
          <cell r="B1170" t="str">
            <v>Залоговое страхование (корпоративное страхование)</v>
          </cell>
        </row>
        <row r="1171">
          <cell r="A1171" t="str">
            <v>УБ</v>
          </cell>
          <cell r="B1171" t="str">
            <v>Залоговое страхование (корпоративное страхование)</v>
          </cell>
        </row>
        <row r="1172">
          <cell r="A1172" t="str">
            <v>УБ</v>
          </cell>
          <cell r="B1172" t="str">
            <v>Залоговое страхование (корпоративное страхование)</v>
          </cell>
        </row>
        <row r="1173">
          <cell r="A1173" t="str">
            <v>УБ</v>
          </cell>
          <cell r="B1173" t="str">
            <v>Залоговое страхование (корпоративное страхование)</v>
          </cell>
        </row>
        <row r="1174">
          <cell r="A1174" t="str">
            <v>УБ</v>
          </cell>
          <cell r="B1174" t="str">
            <v>Залоговое страхование (корпоративное страхование)</v>
          </cell>
        </row>
        <row r="1175">
          <cell r="A1175" t="str">
            <v>УБ</v>
          </cell>
          <cell r="B1175" t="str">
            <v>Залоговое страхование (корпоративное страхование)</v>
          </cell>
        </row>
        <row r="1176">
          <cell r="A1176" t="str">
            <v>УБ</v>
          </cell>
          <cell r="B1176" t="str">
            <v>Залоговое страхование (корпоративное страхование)</v>
          </cell>
        </row>
        <row r="1177">
          <cell r="A1177" t="str">
            <v>УБ</v>
          </cell>
          <cell r="B1177" t="str">
            <v>Залоговое страхование (корпоративное страхование)</v>
          </cell>
        </row>
        <row r="1178">
          <cell r="A1178" t="str">
            <v>УБ</v>
          </cell>
          <cell r="B1178" t="str">
            <v>Залоговое страхование (корпоративное страхование)</v>
          </cell>
        </row>
        <row r="1179">
          <cell r="A1179" t="str">
            <v>УБ</v>
          </cell>
          <cell r="B1179" t="str">
            <v>Залоговое страхование (корпоративное страхование)</v>
          </cell>
        </row>
        <row r="1180">
          <cell r="A1180" t="str">
            <v>УБ</v>
          </cell>
          <cell r="B1180" t="str">
            <v>Залоговое страхование (корпоративное страхование)</v>
          </cell>
        </row>
        <row r="1181">
          <cell r="A1181" t="str">
            <v>УБ</v>
          </cell>
          <cell r="B1181" t="str">
            <v>Залоговое страхование (корпоративное страхование)</v>
          </cell>
        </row>
        <row r="1182">
          <cell r="A1182" t="str">
            <v>УБ</v>
          </cell>
          <cell r="B1182" t="str">
            <v>ИСЖ</v>
          </cell>
        </row>
        <row r="1183">
          <cell r="A1183" t="str">
            <v>УБ</v>
          </cell>
          <cell r="B1183" t="str">
            <v>ИСЖ</v>
          </cell>
        </row>
        <row r="1184">
          <cell r="A1184" t="str">
            <v>УБ</v>
          </cell>
          <cell r="B1184" t="str">
            <v>ИСЖ</v>
          </cell>
        </row>
        <row r="1185">
          <cell r="A1185" t="str">
            <v>УБ</v>
          </cell>
          <cell r="B1185" t="str">
            <v>ИСЖ</v>
          </cell>
        </row>
        <row r="1186">
          <cell r="A1186" t="str">
            <v>УБ</v>
          </cell>
          <cell r="B1186" t="str">
            <v>ИСЖ</v>
          </cell>
        </row>
        <row r="1187">
          <cell r="A1187" t="str">
            <v>УБ</v>
          </cell>
          <cell r="B1187" t="str">
            <v>ИСЖ</v>
          </cell>
        </row>
        <row r="1188">
          <cell r="A1188" t="str">
            <v>УБ</v>
          </cell>
          <cell r="B1188" t="str">
            <v>ИСЖ</v>
          </cell>
        </row>
        <row r="1189">
          <cell r="A1189" t="str">
            <v>УБ</v>
          </cell>
          <cell r="B1189" t="str">
            <v>ИСЖ</v>
          </cell>
        </row>
        <row r="1190">
          <cell r="A1190" t="str">
            <v>УБ</v>
          </cell>
          <cell r="B1190" t="str">
            <v>ИСЖ</v>
          </cell>
        </row>
        <row r="1191">
          <cell r="A1191" t="str">
            <v>УБ</v>
          </cell>
          <cell r="B1191" t="str">
            <v>ИСЖ</v>
          </cell>
        </row>
        <row r="1192">
          <cell r="A1192" t="str">
            <v>УБ</v>
          </cell>
          <cell r="B1192" t="str">
            <v>ИСЖ</v>
          </cell>
        </row>
        <row r="1193">
          <cell r="A1193" t="str">
            <v>УБ</v>
          </cell>
          <cell r="B1193" t="str">
            <v>ИСЖ</v>
          </cell>
        </row>
        <row r="1194">
          <cell r="A1194" t="str">
            <v>УБ</v>
          </cell>
          <cell r="B1194" t="str">
            <v>ИСЖ</v>
          </cell>
        </row>
        <row r="1195">
          <cell r="A1195" t="str">
            <v>УБ</v>
          </cell>
          <cell r="B1195" t="str">
            <v>ИСЖ</v>
          </cell>
        </row>
        <row r="1196">
          <cell r="A1196" t="str">
            <v>УБ</v>
          </cell>
          <cell r="B1196" t="str">
            <v>ИСЖ</v>
          </cell>
        </row>
        <row r="1197">
          <cell r="A1197" t="str">
            <v>УБ</v>
          </cell>
          <cell r="B1197" t="str">
            <v>ИСЖ</v>
          </cell>
        </row>
        <row r="1198">
          <cell r="A1198" t="str">
            <v>УБ</v>
          </cell>
          <cell r="B1198" t="str">
            <v>ИСЖ</v>
          </cell>
        </row>
        <row r="1199">
          <cell r="A1199" t="str">
            <v>УБ</v>
          </cell>
          <cell r="B1199" t="str">
            <v>ИСЖ</v>
          </cell>
        </row>
        <row r="1200">
          <cell r="A1200" t="str">
            <v>УБ</v>
          </cell>
          <cell r="B1200" t="str">
            <v>ИСЖ</v>
          </cell>
        </row>
        <row r="1201">
          <cell r="A1201" t="str">
            <v>УБ</v>
          </cell>
          <cell r="B1201" t="str">
            <v>ИнвестКопилка</v>
          </cell>
        </row>
        <row r="1202">
          <cell r="A1202" t="str">
            <v>УБ</v>
          </cell>
          <cell r="B1202" t="str">
            <v>ИнвестКопилка</v>
          </cell>
        </row>
        <row r="1203">
          <cell r="A1203" t="str">
            <v>УБ</v>
          </cell>
          <cell r="B1203" t="str">
            <v>ИнвестКопилка</v>
          </cell>
        </row>
        <row r="1204">
          <cell r="A1204" t="str">
            <v>УБ</v>
          </cell>
          <cell r="B1204" t="str">
            <v>ИнвестКопилка</v>
          </cell>
        </row>
        <row r="1205">
          <cell r="A1205" t="str">
            <v>УБ</v>
          </cell>
          <cell r="B1205" t="str">
            <v>ИнвестКопилка</v>
          </cell>
        </row>
        <row r="1206">
          <cell r="A1206" t="str">
            <v>УБ</v>
          </cell>
          <cell r="B1206" t="str">
            <v>ИнвестКопилка</v>
          </cell>
        </row>
        <row r="1207">
          <cell r="A1207" t="str">
            <v>УБ</v>
          </cell>
          <cell r="B1207" t="str">
            <v>ИнвестКопилка</v>
          </cell>
        </row>
        <row r="1208">
          <cell r="A1208" t="str">
            <v>УБ</v>
          </cell>
          <cell r="B1208" t="str">
            <v>ИнвестКопилка</v>
          </cell>
        </row>
        <row r="1209">
          <cell r="A1209" t="str">
            <v>УБ</v>
          </cell>
          <cell r="B1209" t="str">
            <v>ИнвестКопилка</v>
          </cell>
        </row>
        <row r="1210">
          <cell r="A1210" t="str">
            <v>УБ</v>
          </cell>
          <cell r="B1210" t="str">
            <v>ИнвестКопилка</v>
          </cell>
        </row>
        <row r="1211">
          <cell r="A1211" t="str">
            <v>УБ</v>
          </cell>
          <cell r="B1211" t="str">
            <v>ИнвестКопилка</v>
          </cell>
        </row>
        <row r="1212">
          <cell r="A1212" t="str">
            <v>УБ</v>
          </cell>
          <cell r="B1212" t="str">
            <v>ИнвестКопилка</v>
          </cell>
        </row>
        <row r="1213">
          <cell r="A1213" t="str">
            <v>УБ</v>
          </cell>
          <cell r="B1213" t="str">
            <v>ИнвестКопилка</v>
          </cell>
        </row>
        <row r="1214">
          <cell r="A1214" t="str">
            <v>УБ</v>
          </cell>
          <cell r="B1214" t="str">
            <v>ИнвестКопилка</v>
          </cell>
        </row>
        <row r="1215">
          <cell r="A1215" t="str">
            <v>УБ</v>
          </cell>
          <cell r="B1215" t="str">
            <v>ИнвестКопилка</v>
          </cell>
        </row>
        <row r="1216">
          <cell r="A1216" t="str">
            <v>УБ</v>
          </cell>
          <cell r="B1216" t="str">
            <v>ИнвестКопилка</v>
          </cell>
        </row>
        <row r="1217">
          <cell r="A1217" t="str">
            <v>УБ</v>
          </cell>
          <cell r="B1217" t="str">
            <v>ИнвестКопилка</v>
          </cell>
        </row>
        <row r="1218">
          <cell r="A1218" t="str">
            <v>УБ</v>
          </cell>
          <cell r="B1218" t="str">
            <v>ИнвестКопилка</v>
          </cell>
        </row>
        <row r="1219">
          <cell r="A1219" t="str">
            <v>УБ</v>
          </cell>
          <cell r="B1219" t="str">
            <v>КАСКО</v>
          </cell>
        </row>
        <row r="1220">
          <cell r="A1220" t="str">
            <v>УБ</v>
          </cell>
          <cell r="B1220" t="str">
            <v>КАСКО</v>
          </cell>
        </row>
        <row r="1221">
          <cell r="A1221" t="str">
            <v>УБ</v>
          </cell>
          <cell r="B1221" t="str">
            <v>КАСКО</v>
          </cell>
        </row>
        <row r="1222">
          <cell r="A1222" t="str">
            <v>УБ</v>
          </cell>
          <cell r="B1222" t="str">
            <v>КАСКО</v>
          </cell>
        </row>
        <row r="1223">
          <cell r="A1223" t="str">
            <v>УБ</v>
          </cell>
          <cell r="B1223" t="str">
            <v>КАСКО</v>
          </cell>
        </row>
        <row r="1224">
          <cell r="A1224" t="str">
            <v>УБ</v>
          </cell>
          <cell r="B1224" t="str">
            <v>КАСКО</v>
          </cell>
        </row>
        <row r="1225">
          <cell r="A1225" t="str">
            <v>УБ</v>
          </cell>
          <cell r="B1225" t="str">
            <v>КАСКО</v>
          </cell>
        </row>
        <row r="1226">
          <cell r="A1226" t="str">
            <v>УБ</v>
          </cell>
          <cell r="B1226" t="str">
            <v>КАСКО</v>
          </cell>
        </row>
        <row r="1227">
          <cell r="A1227" t="str">
            <v>УБ</v>
          </cell>
          <cell r="B1227" t="str">
            <v>КАСКО</v>
          </cell>
        </row>
        <row r="1228">
          <cell r="A1228" t="str">
            <v>УБ</v>
          </cell>
          <cell r="B1228" t="str">
            <v>КАСКО</v>
          </cell>
        </row>
        <row r="1229">
          <cell r="A1229" t="str">
            <v>УБ</v>
          </cell>
          <cell r="B1229" t="str">
            <v>КАСКО</v>
          </cell>
        </row>
        <row r="1230">
          <cell r="A1230" t="str">
            <v>УБ</v>
          </cell>
          <cell r="B1230" t="str">
            <v>КАСКО</v>
          </cell>
        </row>
        <row r="1231">
          <cell r="A1231" t="str">
            <v>УБ</v>
          </cell>
          <cell r="B1231" t="str">
            <v>КАСКО</v>
          </cell>
        </row>
        <row r="1232">
          <cell r="A1232" t="str">
            <v>УБ</v>
          </cell>
          <cell r="B1232" t="str">
            <v>КАСКО</v>
          </cell>
        </row>
        <row r="1233">
          <cell r="A1233" t="str">
            <v>УБ</v>
          </cell>
          <cell r="B1233" t="str">
            <v>КАСКО</v>
          </cell>
        </row>
        <row r="1234">
          <cell r="A1234" t="str">
            <v>УБ</v>
          </cell>
          <cell r="B1234" t="str">
            <v>КАСКО</v>
          </cell>
        </row>
        <row r="1235">
          <cell r="A1235" t="str">
            <v>УБ</v>
          </cell>
          <cell r="B1235" t="str">
            <v>КАСКО</v>
          </cell>
        </row>
        <row r="1236">
          <cell r="A1236" t="str">
            <v>УБ</v>
          </cell>
          <cell r="B1236" t="str">
            <v>КАСКО</v>
          </cell>
        </row>
        <row r="1237">
          <cell r="A1237" t="str">
            <v>УБ</v>
          </cell>
          <cell r="B1237" t="str">
            <v>Личная защита Плюс</v>
          </cell>
        </row>
        <row r="1238">
          <cell r="A1238" t="str">
            <v>УБ</v>
          </cell>
          <cell r="B1238" t="str">
            <v>Личная защита Плюс</v>
          </cell>
        </row>
        <row r="1239">
          <cell r="A1239" t="str">
            <v>УБ</v>
          </cell>
          <cell r="B1239" t="str">
            <v>Личная защита Плюс</v>
          </cell>
        </row>
        <row r="1240">
          <cell r="A1240" t="str">
            <v>УБ</v>
          </cell>
          <cell r="B1240" t="str">
            <v>Личная защита Плюс</v>
          </cell>
        </row>
        <row r="1241">
          <cell r="A1241" t="str">
            <v>УБ</v>
          </cell>
          <cell r="B1241" t="str">
            <v>Личная защита Плюс</v>
          </cell>
        </row>
        <row r="1242">
          <cell r="A1242" t="str">
            <v>УБ</v>
          </cell>
          <cell r="B1242" t="str">
            <v>Личная защита Плюс</v>
          </cell>
        </row>
        <row r="1243">
          <cell r="A1243" t="str">
            <v>УБ</v>
          </cell>
          <cell r="B1243" t="str">
            <v>Личная защита Плюс</v>
          </cell>
        </row>
        <row r="1244">
          <cell r="A1244" t="str">
            <v>УБ</v>
          </cell>
          <cell r="B1244" t="str">
            <v>Личная защита Плюс</v>
          </cell>
        </row>
        <row r="1245">
          <cell r="A1245" t="str">
            <v>УБ</v>
          </cell>
          <cell r="B1245" t="str">
            <v>Личная защита Плюс</v>
          </cell>
        </row>
        <row r="1246">
          <cell r="A1246" t="str">
            <v>УБ</v>
          </cell>
          <cell r="B1246" t="str">
            <v>Личная защита Плюс</v>
          </cell>
        </row>
        <row r="1247">
          <cell r="A1247" t="str">
            <v>УБ</v>
          </cell>
          <cell r="B1247" t="str">
            <v>Личная защита Плюс</v>
          </cell>
        </row>
        <row r="1248">
          <cell r="A1248" t="str">
            <v>УБ</v>
          </cell>
          <cell r="B1248" t="str">
            <v>Личная защита Плюс</v>
          </cell>
        </row>
        <row r="1249">
          <cell r="A1249" t="str">
            <v>УБ</v>
          </cell>
          <cell r="B1249" t="str">
            <v>Личная защита Плюс</v>
          </cell>
        </row>
        <row r="1250">
          <cell r="A1250" t="str">
            <v>УБ</v>
          </cell>
          <cell r="B1250" t="str">
            <v>Личная защита Плюс</v>
          </cell>
        </row>
        <row r="1251">
          <cell r="A1251" t="str">
            <v>УБ</v>
          </cell>
          <cell r="B1251" t="str">
            <v>Личная защита Плюс</v>
          </cell>
        </row>
        <row r="1252">
          <cell r="A1252" t="str">
            <v>УБ</v>
          </cell>
          <cell r="B1252" t="str">
            <v>НСЖ</v>
          </cell>
        </row>
        <row r="1253">
          <cell r="A1253" t="str">
            <v>УБ</v>
          </cell>
          <cell r="B1253" t="str">
            <v>НСЖ</v>
          </cell>
        </row>
        <row r="1254">
          <cell r="A1254" t="str">
            <v>УБ</v>
          </cell>
          <cell r="B1254" t="str">
            <v>НСЖ</v>
          </cell>
        </row>
        <row r="1255">
          <cell r="A1255" t="str">
            <v>УБ</v>
          </cell>
          <cell r="B1255" t="str">
            <v>НСЖ</v>
          </cell>
        </row>
        <row r="1256">
          <cell r="A1256" t="str">
            <v>УБ</v>
          </cell>
          <cell r="B1256" t="str">
            <v>НСЖ</v>
          </cell>
        </row>
        <row r="1257">
          <cell r="A1257" t="str">
            <v>УБ</v>
          </cell>
          <cell r="B1257" t="str">
            <v>НСЖ</v>
          </cell>
        </row>
        <row r="1258">
          <cell r="A1258" t="str">
            <v>УБ</v>
          </cell>
          <cell r="B1258" t="str">
            <v>НСЖ</v>
          </cell>
        </row>
        <row r="1259">
          <cell r="A1259" t="str">
            <v>УБ</v>
          </cell>
          <cell r="B1259" t="str">
            <v>НСЖ</v>
          </cell>
        </row>
        <row r="1260">
          <cell r="A1260" t="str">
            <v>УБ</v>
          </cell>
          <cell r="B1260" t="str">
            <v>НСЖ</v>
          </cell>
        </row>
        <row r="1261">
          <cell r="A1261" t="str">
            <v>УБ</v>
          </cell>
          <cell r="B1261" t="str">
            <v>НСЖ</v>
          </cell>
        </row>
        <row r="1262">
          <cell r="A1262" t="str">
            <v>УБ</v>
          </cell>
          <cell r="B1262" t="str">
            <v>НСЖ</v>
          </cell>
        </row>
        <row r="1263">
          <cell r="A1263" t="str">
            <v>УБ</v>
          </cell>
          <cell r="B1263" t="str">
            <v>НСЖ</v>
          </cell>
        </row>
        <row r="1264">
          <cell r="A1264" t="str">
            <v>УБ</v>
          </cell>
          <cell r="B1264" t="str">
            <v>НСЖ</v>
          </cell>
        </row>
        <row r="1265">
          <cell r="A1265" t="str">
            <v>УБ</v>
          </cell>
          <cell r="B1265" t="str">
            <v>НСЖ</v>
          </cell>
        </row>
        <row r="1266">
          <cell r="A1266" t="str">
            <v>УБ</v>
          </cell>
          <cell r="B1266" t="str">
            <v>НСЖ</v>
          </cell>
        </row>
        <row r="1267">
          <cell r="A1267" t="str">
            <v>УБ</v>
          </cell>
          <cell r="B1267" t="str">
            <v>НСЖ</v>
          </cell>
        </row>
        <row r="1268">
          <cell r="A1268" t="str">
            <v>УБ</v>
          </cell>
          <cell r="B1268" t="str">
            <v>НСЖ</v>
          </cell>
        </row>
        <row r="1269">
          <cell r="A1269" t="str">
            <v>УБ</v>
          </cell>
          <cell r="B1269" t="str">
            <v>НСЖ</v>
          </cell>
        </row>
        <row r="1270">
          <cell r="A1270" t="str">
            <v>УБ</v>
          </cell>
          <cell r="B1270" t="str">
            <v>НСЖ</v>
          </cell>
        </row>
        <row r="1271">
          <cell r="A1271" t="str">
            <v>УБ</v>
          </cell>
          <cell r="B1271" t="str">
            <v>НСЖ</v>
          </cell>
        </row>
        <row r="1272">
          <cell r="A1272" t="str">
            <v>УБ</v>
          </cell>
          <cell r="B1272" t="str">
            <v>НСЖ</v>
          </cell>
        </row>
        <row r="1273">
          <cell r="A1273" t="str">
            <v>УБ</v>
          </cell>
          <cell r="B1273" t="str">
            <v>ОПИФ</v>
          </cell>
        </row>
        <row r="1274">
          <cell r="A1274" t="str">
            <v>УБ</v>
          </cell>
          <cell r="B1274" t="str">
            <v>ОПИФ</v>
          </cell>
        </row>
        <row r="1275">
          <cell r="A1275" t="str">
            <v>УБ</v>
          </cell>
          <cell r="B1275" t="str">
            <v>ОПИФ</v>
          </cell>
        </row>
        <row r="1276">
          <cell r="A1276" t="str">
            <v>УБ</v>
          </cell>
          <cell r="B1276" t="str">
            <v>ОПИФ</v>
          </cell>
        </row>
        <row r="1277">
          <cell r="A1277" t="str">
            <v>УБ</v>
          </cell>
          <cell r="B1277" t="str">
            <v>ОПИФ</v>
          </cell>
        </row>
        <row r="1278">
          <cell r="A1278" t="str">
            <v>УБ</v>
          </cell>
          <cell r="B1278" t="str">
            <v>ОПИФ</v>
          </cell>
        </row>
        <row r="1279">
          <cell r="A1279" t="str">
            <v>УБ</v>
          </cell>
          <cell r="B1279" t="str">
            <v>ОПИФ</v>
          </cell>
        </row>
        <row r="1280">
          <cell r="A1280" t="str">
            <v>УБ</v>
          </cell>
          <cell r="B1280" t="str">
            <v>ОПИФ</v>
          </cell>
        </row>
        <row r="1281">
          <cell r="A1281" t="str">
            <v>УБ</v>
          </cell>
          <cell r="B1281" t="str">
            <v>ОПИФ</v>
          </cell>
        </row>
        <row r="1282">
          <cell r="A1282" t="str">
            <v>УБ</v>
          </cell>
          <cell r="B1282" t="str">
            <v>ОПИФ</v>
          </cell>
        </row>
        <row r="1283">
          <cell r="A1283" t="str">
            <v>УБ</v>
          </cell>
          <cell r="B1283" t="str">
            <v>ОПИФ</v>
          </cell>
        </row>
        <row r="1284">
          <cell r="A1284" t="str">
            <v>УБ</v>
          </cell>
          <cell r="B1284" t="str">
            <v>ОПИФ</v>
          </cell>
        </row>
        <row r="1285">
          <cell r="A1285" t="str">
            <v>УБ</v>
          </cell>
          <cell r="B1285" t="str">
            <v>ОПИФ</v>
          </cell>
        </row>
        <row r="1286">
          <cell r="A1286" t="str">
            <v>УБ</v>
          </cell>
          <cell r="B1286" t="str">
            <v>ОПИФ</v>
          </cell>
        </row>
        <row r="1287">
          <cell r="A1287" t="str">
            <v>УБ</v>
          </cell>
          <cell r="B1287" t="str">
            <v>ОПИФ</v>
          </cell>
        </row>
        <row r="1288">
          <cell r="A1288" t="str">
            <v>УБ</v>
          </cell>
          <cell r="B1288" t="str">
            <v>ОПИФ</v>
          </cell>
        </row>
        <row r="1289">
          <cell r="A1289" t="str">
            <v>УБ</v>
          </cell>
          <cell r="B1289" t="str">
            <v>ОПИФ</v>
          </cell>
        </row>
        <row r="1290">
          <cell r="A1290" t="str">
            <v>УБ</v>
          </cell>
          <cell r="B1290" t="str">
            <v>ОСАГО</v>
          </cell>
        </row>
        <row r="1291">
          <cell r="A1291" t="str">
            <v>УБ</v>
          </cell>
          <cell r="B1291" t="str">
            <v>ОСАГО</v>
          </cell>
        </row>
        <row r="1292">
          <cell r="A1292" t="str">
            <v>УБ</v>
          </cell>
          <cell r="B1292" t="str">
            <v>ОСАГО</v>
          </cell>
        </row>
        <row r="1293">
          <cell r="A1293" t="str">
            <v>УБ</v>
          </cell>
          <cell r="B1293" t="str">
            <v>ОСАГО</v>
          </cell>
        </row>
        <row r="1294">
          <cell r="A1294" t="str">
            <v>УБ</v>
          </cell>
          <cell r="B1294" t="str">
            <v>ОСАГО</v>
          </cell>
        </row>
        <row r="1295">
          <cell r="A1295" t="str">
            <v>УБ</v>
          </cell>
          <cell r="B1295" t="str">
            <v>ОСАГО</v>
          </cell>
        </row>
        <row r="1296">
          <cell r="A1296" t="str">
            <v>УБ</v>
          </cell>
          <cell r="B1296" t="str">
            <v>ОСАГО</v>
          </cell>
        </row>
        <row r="1297">
          <cell r="A1297" t="str">
            <v>УБ</v>
          </cell>
          <cell r="B1297" t="str">
            <v>ОСАГО</v>
          </cell>
        </row>
        <row r="1298">
          <cell r="A1298" t="str">
            <v>УБ</v>
          </cell>
          <cell r="B1298" t="str">
            <v>ОСАГО</v>
          </cell>
        </row>
        <row r="1299">
          <cell r="A1299" t="str">
            <v>УБ</v>
          </cell>
          <cell r="B1299" t="str">
            <v>ОСАГО</v>
          </cell>
        </row>
        <row r="1300">
          <cell r="A1300" t="str">
            <v>УБ</v>
          </cell>
          <cell r="B1300" t="str">
            <v>ОСАГО</v>
          </cell>
        </row>
        <row r="1301">
          <cell r="A1301" t="str">
            <v>УБ</v>
          </cell>
          <cell r="B1301" t="str">
            <v>ОСАГО</v>
          </cell>
        </row>
        <row r="1302">
          <cell r="A1302" t="str">
            <v>УБ</v>
          </cell>
          <cell r="B1302" t="str">
            <v>ОСАГО</v>
          </cell>
        </row>
        <row r="1303">
          <cell r="A1303" t="str">
            <v>УБ</v>
          </cell>
          <cell r="B1303" t="str">
            <v>ОСАГО</v>
          </cell>
        </row>
        <row r="1304">
          <cell r="A1304" t="str">
            <v>УБ</v>
          </cell>
          <cell r="B1304" t="str">
            <v>ОСАГО</v>
          </cell>
        </row>
        <row r="1305">
          <cell r="A1305" t="str">
            <v>УБ</v>
          </cell>
          <cell r="B1305" t="str">
            <v>ОСАГО</v>
          </cell>
        </row>
        <row r="1306">
          <cell r="A1306" t="str">
            <v>УБ</v>
          </cell>
          <cell r="B1306" t="str">
            <v>ОСАГО</v>
          </cell>
        </row>
        <row r="1307">
          <cell r="A1307" t="str">
            <v>УБ</v>
          </cell>
          <cell r="B1307" t="str">
            <v>ОСАГО</v>
          </cell>
        </row>
        <row r="1308">
          <cell r="A1308" t="str">
            <v>УБ</v>
          </cell>
          <cell r="B1308" t="str">
            <v>ПДС</v>
          </cell>
        </row>
        <row r="1309">
          <cell r="A1309" t="str">
            <v>УБ</v>
          </cell>
          <cell r="B1309" t="str">
            <v>ПДС</v>
          </cell>
        </row>
        <row r="1310">
          <cell r="A1310" t="str">
            <v>УБ</v>
          </cell>
          <cell r="B1310" t="str">
            <v>ПДС</v>
          </cell>
        </row>
        <row r="1311">
          <cell r="A1311" t="str">
            <v>УБ</v>
          </cell>
          <cell r="B1311" t="str">
            <v>ПДС</v>
          </cell>
        </row>
        <row r="1312">
          <cell r="A1312" t="str">
            <v>УБ</v>
          </cell>
          <cell r="B1312" t="str">
            <v>ПДС</v>
          </cell>
        </row>
        <row r="1313">
          <cell r="A1313" t="str">
            <v>УБ</v>
          </cell>
          <cell r="B1313" t="str">
            <v>ПДС</v>
          </cell>
        </row>
        <row r="1314">
          <cell r="A1314" t="str">
            <v>УБ</v>
          </cell>
          <cell r="B1314" t="str">
            <v>ПДС</v>
          </cell>
        </row>
        <row r="1315">
          <cell r="A1315" t="str">
            <v>УБ</v>
          </cell>
          <cell r="B1315" t="str">
            <v>ПДС</v>
          </cell>
        </row>
        <row r="1316">
          <cell r="A1316" t="str">
            <v>УБ</v>
          </cell>
          <cell r="B1316" t="str">
            <v>ПДС</v>
          </cell>
        </row>
        <row r="1317">
          <cell r="A1317" t="str">
            <v>УБ</v>
          </cell>
          <cell r="B1317" t="str">
            <v>ПДС</v>
          </cell>
        </row>
        <row r="1318">
          <cell r="A1318" t="str">
            <v>УБ</v>
          </cell>
          <cell r="B1318" t="str">
            <v>ПДС</v>
          </cell>
        </row>
        <row r="1319">
          <cell r="A1319" t="str">
            <v>УБ</v>
          </cell>
          <cell r="B1319" t="str">
            <v>ПДС</v>
          </cell>
        </row>
        <row r="1320">
          <cell r="A1320" t="str">
            <v>УБ</v>
          </cell>
          <cell r="B1320" t="str">
            <v>ПДС</v>
          </cell>
        </row>
        <row r="1321">
          <cell r="A1321" t="str">
            <v>УБ</v>
          </cell>
          <cell r="B1321" t="str">
            <v>ПДС</v>
          </cell>
        </row>
        <row r="1322">
          <cell r="A1322" t="str">
            <v>УБ</v>
          </cell>
          <cell r="B1322" t="str">
            <v>ПДС</v>
          </cell>
        </row>
        <row r="1323">
          <cell r="A1323" t="str">
            <v>УБ</v>
          </cell>
          <cell r="B1323" t="str">
            <v>ПДС</v>
          </cell>
        </row>
        <row r="1324">
          <cell r="A1324" t="str">
            <v>УБ</v>
          </cell>
          <cell r="B1324" t="str">
            <v>ПДС</v>
          </cell>
        </row>
        <row r="1325">
          <cell r="A1325" t="str">
            <v>УБ</v>
          </cell>
          <cell r="B1325" t="str">
            <v>СберСова</v>
          </cell>
        </row>
        <row r="1326">
          <cell r="A1326" t="str">
            <v>УБ</v>
          </cell>
          <cell r="B1326" t="str">
            <v>СберСова</v>
          </cell>
        </row>
        <row r="1327">
          <cell r="A1327" t="str">
            <v>УБ</v>
          </cell>
          <cell r="B1327" t="str">
            <v>СберСова</v>
          </cell>
        </row>
        <row r="1328">
          <cell r="A1328" t="str">
            <v>УБ</v>
          </cell>
          <cell r="B1328" t="str">
            <v>СберСова</v>
          </cell>
        </row>
        <row r="1329">
          <cell r="A1329" t="str">
            <v>УБ</v>
          </cell>
          <cell r="B1329" t="str">
            <v>СберСова</v>
          </cell>
        </row>
        <row r="1330">
          <cell r="A1330" t="str">
            <v>УБ</v>
          </cell>
          <cell r="B1330" t="str">
            <v>СберСова</v>
          </cell>
        </row>
        <row r="1331">
          <cell r="A1331" t="str">
            <v>УБ</v>
          </cell>
          <cell r="B1331" t="str">
            <v>СберСова</v>
          </cell>
        </row>
        <row r="1332">
          <cell r="A1332" t="str">
            <v>УБ</v>
          </cell>
          <cell r="B1332" t="str">
            <v>СберСова</v>
          </cell>
        </row>
        <row r="1333">
          <cell r="A1333" t="str">
            <v>УБ</v>
          </cell>
          <cell r="B1333" t="str">
            <v>СберСова</v>
          </cell>
        </row>
        <row r="1334">
          <cell r="A1334" t="str">
            <v>УБ</v>
          </cell>
          <cell r="B1334" t="str">
            <v>СберСова</v>
          </cell>
        </row>
        <row r="1335">
          <cell r="A1335" t="str">
            <v>УБ</v>
          </cell>
          <cell r="B1335" t="str">
            <v>СберСова</v>
          </cell>
        </row>
        <row r="1336">
          <cell r="A1336" t="str">
            <v>УБ</v>
          </cell>
          <cell r="B1336" t="str">
            <v>СберСова</v>
          </cell>
        </row>
        <row r="1337">
          <cell r="A1337" t="str">
            <v>УБ</v>
          </cell>
          <cell r="B1337" t="str">
            <v>СберСова</v>
          </cell>
        </row>
        <row r="1338">
          <cell r="A1338" t="str">
            <v>УБ</v>
          </cell>
          <cell r="B1338" t="str">
            <v>Страхование жизни</v>
          </cell>
        </row>
        <row r="1339">
          <cell r="A1339" t="str">
            <v>УБ</v>
          </cell>
          <cell r="B1339" t="str">
            <v>Страхование жизни</v>
          </cell>
        </row>
        <row r="1340">
          <cell r="A1340" t="str">
            <v>УБ</v>
          </cell>
          <cell r="B1340" t="str">
            <v>Страхование жизни</v>
          </cell>
        </row>
        <row r="1341">
          <cell r="A1341" t="str">
            <v>УБ</v>
          </cell>
          <cell r="B1341" t="str">
            <v>Страхование жизни</v>
          </cell>
        </row>
        <row r="1342">
          <cell r="A1342" t="str">
            <v>УБ</v>
          </cell>
          <cell r="B1342" t="str">
            <v>Страхование жизни</v>
          </cell>
        </row>
        <row r="1343">
          <cell r="A1343" t="str">
            <v>УБ</v>
          </cell>
          <cell r="B1343" t="str">
            <v>Страхование жизни</v>
          </cell>
        </row>
        <row r="1344">
          <cell r="A1344" t="str">
            <v>УБ</v>
          </cell>
          <cell r="B1344" t="str">
            <v>Страхование жизни</v>
          </cell>
        </row>
        <row r="1345">
          <cell r="A1345" t="str">
            <v>УБ</v>
          </cell>
          <cell r="B1345" t="str">
            <v>Страхование жизни</v>
          </cell>
        </row>
        <row r="1346">
          <cell r="A1346" t="str">
            <v>УБ</v>
          </cell>
          <cell r="B1346" t="str">
            <v>Страхование жизни</v>
          </cell>
        </row>
        <row r="1347">
          <cell r="A1347" t="str">
            <v>УБ</v>
          </cell>
          <cell r="B1347" t="str">
            <v>Страхование жизни</v>
          </cell>
        </row>
        <row r="1348">
          <cell r="A1348" t="str">
            <v>УБ</v>
          </cell>
          <cell r="B1348" t="str">
            <v>Страхование жизни</v>
          </cell>
        </row>
        <row r="1349">
          <cell r="A1349" t="str">
            <v>УБ</v>
          </cell>
          <cell r="B1349" t="str">
            <v>Страхование жизни</v>
          </cell>
        </row>
        <row r="1350">
          <cell r="A1350" t="str">
            <v>УБ</v>
          </cell>
          <cell r="B1350" t="str">
            <v>Страхование жизни</v>
          </cell>
        </row>
        <row r="1351">
          <cell r="A1351" t="str">
            <v>УБ</v>
          </cell>
          <cell r="B1351" t="str">
            <v>Страхование жизни</v>
          </cell>
        </row>
        <row r="1352">
          <cell r="A1352" t="str">
            <v>УБ</v>
          </cell>
          <cell r="B1352" t="str">
            <v>Страхование жизни</v>
          </cell>
        </row>
        <row r="1353">
          <cell r="A1353" t="str">
            <v>УБ</v>
          </cell>
          <cell r="B1353" t="str">
            <v>Страхование жизни</v>
          </cell>
        </row>
        <row r="1354">
          <cell r="A1354" t="str">
            <v>УБ</v>
          </cell>
          <cell r="B1354" t="str">
            <v>Страхование жизни</v>
          </cell>
        </row>
        <row r="1355">
          <cell r="A1355" t="str">
            <v>УБ</v>
          </cell>
          <cell r="B1355" t="str">
            <v>Страхование жизни</v>
          </cell>
        </row>
        <row r="1356">
          <cell r="A1356" t="str">
            <v>УБ</v>
          </cell>
          <cell r="B1356" t="str">
            <v>Страхование жизни</v>
          </cell>
        </row>
        <row r="1357">
          <cell r="A1357" t="str">
            <v>УБ</v>
          </cell>
          <cell r="B1357" t="str">
            <v>Страхование жизни</v>
          </cell>
        </row>
        <row r="1358">
          <cell r="A1358" t="str">
            <v>УБ</v>
          </cell>
          <cell r="B1358" t="str">
            <v>Страхование жизни</v>
          </cell>
        </row>
        <row r="1359">
          <cell r="A1359" t="str">
            <v>УБ</v>
          </cell>
          <cell r="B1359" t="str">
            <v>Страхование жизни</v>
          </cell>
        </row>
        <row r="1360">
          <cell r="A1360" t="str">
            <v>УБ</v>
          </cell>
          <cell r="B1360" t="str">
            <v>Страхование жизни</v>
          </cell>
        </row>
        <row r="1361">
          <cell r="A1361" t="str">
            <v>УБ</v>
          </cell>
          <cell r="B1361" t="str">
            <v>Страхование жизни</v>
          </cell>
        </row>
        <row r="1362">
          <cell r="A1362" t="str">
            <v>УБ</v>
          </cell>
          <cell r="B1362" t="str">
            <v>Страхование залога</v>
          </cell>
        </row>
        <row r="1363">
          <cell r="A1363" t="str">
            <v>УБ</v>
          </cell>
          <cell r="B1363" t="str">
            <v>Страхование залога</v>
          </cell>
        </row>
        <row r="1364">
          <cell r="A1364" t="str">
            <v>УБ</v>
          </cell>
          <cell r="B1364" t="str">
            <v>Страхование залога</v>
          </cell>
        </row>
        <row r="1365">
          <cell r="A1365" t="str">
            <v>УБ</v>
          </cell>
          <cell r="B1365" t="str">
            <v>Страхование залога</v>
          </cell>
        </row>
        <row r="1366">
          <cell r="A1366" t="str">
            <v>УБ</v>
          </cell>
          <cell r="B1366" t="str">
            <v>Страхование залога</v>
          </cell>
        </row>
        <row r="1367">
          <cell r="A1367" t="str">
            <v>УБ</v>
          </cell>
          <cell r="B1367" t="str">
            <v>Страхование залога</v>
          </cell>
        </row>
        <row r="1368">
          <cell r="A1368" t="str">
            <v>УБ</v>
          </cell>
          <cell r="B1368" t="str">
            <v>Страхование залога</v>
          </cell>
        </row>
        <row r="1369">
          <cell r="A1369" t="str">
            <v>УБ</v>
          </cell>
          <cell r="B1369" t="str">
            <v>Страхование залога</v>
          </cell>
        </row>
        <row r="1370">
          <cell r="A1370" t="str">
            <v>УБ</v>
          </cell>
          <cell r="B1370" t="str">
            <v>Страхование залога</v>
          </cell>
        </row>
        <row r="1371">
          <cell r="A1371" t="str">
            <v>УБ</v>
          </cell>
          <cell r="B1371" t="str">
            <v>Страхование залога</v>
          </cell>
        </row>
        <row r="1372">
          <cell r="A1372" t="str">
            <v>УБ</v>
          </cell>
          <cell r="B1372" t="str">
            <v>Страхование залога</v>
          </cell>
        </row>
        <row r="1373">
          <cell r="A1373" t="str">
            <v>УБ</v>
          </cell>
          <cell r="B1373" t="str">
            <v>Страхование залога</v>
          </cell>
        </row>
        <row r="1374">
          <cell r="A1374" t="str">
            <v>УБ</v>
          </cell>
          <cell r="B1374" t="str">
            <v>Страхование залога</v>
          </cell>
        </row>
        <row r="1375">
          <cell r="A1375" t="str">
            <v>УБ</v>
          </cell>
          <cell r="B1375" t="str">
            <v>Страхование залога</v>
          </cell>
        </row>
        <row r="1376">
          <cell r="A1376" t="str">
            <v>УБ</v>
          </cell>
          <cell r="B1376" t="str">
            <v>Страхование залога</v>
          </cell>
        </row>
        <row r="1377">
          <cell r="A1377" t="str">
            <v>УБ</v>
          </cell>
          <cell r="B1377" t="str">
            <v>Страхование залога</v>
          </cell>
        </row>
        <row r="1378">
          <cell r="A1378" t="str">
            <v>УБ</v>
          </cell>
          <cell r="B1378" t="str">
            <v>Страхование залога</v>
          </cell>
        </row>
        <row r="1379">
          <cell r="A1379" t="str">
            <v>УБ</v>
          </cell>
          <cell r="B1379" t="str">
            <v>ЦФА</v>
          </cell>
        </row>
        <row r="1380">
          <cell r="A1380" t="str">
            <v>УБ</v>
          </cell>
          <cell r="B1380" t="str">
            <v>ЦФА</v>
          </cell>
        </row>
        <row r="1381">
          <cell r="A1381" t="str">
            <v>УБ</v>
          </cell>
          <cell r="B1381" t="str">
            <v>ЦФА</v>
          </cell>
        </row>
        <row r="1382">
          <cell r="A1382" t="str">
            <v>УБ</v>
          </cell>
          <cell r="B1382" t="str">
            <v>ЦФА</v>
          </cell>
        </row>
        <row r="1383">
          <cell r="A1383" t="str">
            <v>УБ</v>
          </cell>
          <cell r="B1383" t="str">
            <v>ЦФА</v>
          </cell>
        </row>
        <row r="1384">
          <cell r="A1384" t="str">
            <v>УБ</v>
          </cell>
          <cell r="B1384" t="str">
            <v>ЦФА</v>
          </cell>
        </row>
        <row r="1385">
          <cell r="A1385" t="str">
            <v>УБ</v>
          </cell>
          <cell r="B1385" t="str">
            <v>ЦФА</v>
          </cell>
        </row>
        <row r="1386">
          <cell r="A1386" t="str">
            <v>УБ</v>
          </cell>
          <cell r="B1386" t="str">
            <v>ЦФА</v>
          </cell>
        </row>
        <row r="1387">
          <cell r="A1387" t="str">
            <v>УБ</v>
          </cell>
          <cell r="B1387" t="str">
            <v>ЦФА</v>
          </cell>
        </row>
        <row r="1388">
          <cell r="A1388" t="str">
            <v>УБ</v>
          </cell>
          <cell r="B1388" t="str">
            <v>ЦФА</v>
          </cell>
        </row>
        <row r="1389">
          <cell r="A1389" t="str">
            <v>УБ</v>
          </cell>
          <cell r="B1389" t="str">
            <v>ЦФА</v>
          </cell>
        </row>
        <row r="1390">
          <cell r="A1390" t="str">
            <v>УБ</v>
          </cell>
          <cell r="B1390" t="str">
            <v>ЦФА</v>
          </cell>
        </row>
        <row r="1391">
          <cell r="A1391" t="str">
            <v>УБ</v>
          </cell>
          <cell r="B1391" t="str">
            <v>ЦФА</v>
          </cell>
        </row>
        <row r="1392">
          <cell r="A1392" t="str">
            <v>УБ</v>
          </cell>
          <cell r="B1392" t="str">
            <v>ЦФА</v>
          </cell>
        </row>
        <row r="1393">
          <cell r="A1393" t="str">
            <v>УБ</v>
          </cell>
          <cell r="B1393" t="str">
            <v>ЦФА</v>
          </cell>
        </row>
        <row r="1394">
          <cell r="A1394" t="str">
            <v>УБ</v>
          </cell>
          <cell r="B1394" t="str">
            <v>ЦФА</v>
          </cell>
        </row>
        <row r="1395">
          <cell r="A1395" t="str">
            <v>УБ</v>
          </cell>
          <cell r="B1395" t="str">
            <v>ЦФА</v>
          </cell>
        </row>
        <row r="1396">
          <cell r="A1396" t="str">
            <v>УБ</v>
          </cell>
          <cell r="B1396" t="str">
            <v>ЦФА</v>
          </cell>
        </row>
        <row r="1397">
          <cell r="A1397" t="str">
            <v>УБ</v>
          </cell>
          <cell r="B1397" t="str">
            <v>ЦФА</v>
          </cell>
        </row>
        <row r="1398">
          <cell r="A1398" t="str">
            <v>УБ</v>
          </cell>
          <cell r="B1398" t="str">
            <v>ЦФА</v>
          </cell>
        </row>
        <row r="1399">
          <cell r="A1399" t="str">
            <v>УБ</v>
          </cell>
          <cell r="B1399" t="str">
            <v>ЦФА</v>
          </cell>
        </row>
        <row r="1400">
          <cell r="A1400" t="str">
            <v>УБ</v>
          </cell>
          <cell r="B1400" t="str">
            <v>ЦФА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Невыполненные метрики"/>
      <sheetName val="Свод"/>
      <sheetName val="Невыполненные метрики (2)"/>
    </sheetNames>
    <sheetDataSet>
      <sheetData sheetId="0"/>
      <sheetData sheetId="1">
        <row r="2">
          <cell r="A2" t="str">
            <v>Названия строк</v>
          </cell>
          <cell r="B2" t="str">
            <v>Сумма по полю Uplift, п.п.</v>
          </cell>
        </row>
        <row r="3">
          <cell r="A3" t="str">
            <v>PB_Алерты</v>
          </cell>
          <cell r="B3">
            <v>4.5</v>
          </cell>
        </row>
        <row r="4">
          <cell r="A4" t="str">
            <v>PB_Воронка оттока</v>
          </cell>
          <cell r="B4">
            <v>9</v>
          </cell>
        </row>
        <row r="5">
          <cell r="A5" t="str">
            <v>PB_Воронка привлечения</v>
          </cell>
          <cell r="B5">
            <v>9</v>
          </cell>
        </row>
        <row r="6">
          <cell r="A6" t="str">
            <v>PB_Гипотезы и инициативы</v>
          </cell>
          <cell r="B6">
            <v>9</v>
          </cell>
        </row>
        <row r="7">
          <cell r="A7" t="str">
            <v>PB_Знание ключевых метрик</v>
          </cell>
          <cell r="B7">
            <v>1.7000000000000002</v>
          </cell>
        </row>
        <row r="8">
          <cell r="A8" t="str">
            <v>PB_Механики</v>
          </cell>
          <cell r="B8">
            <v>10</v>
          </cell>
        </row>
        <row r="9">
          <cell r="A9" t="str">
            <v>PB_Цели</v>
          </cell>
          <cell r="B9">
            <v>4.4000000000000004</v>
          </cell>
        </row>
        <row r="10">
          <cell r="A10" t="str">
            <v>POS-кредиты_Воронка оттока</v>
          </cell>
          <cell r="B10">
            <v>6.3000000000000007</v>
          </cell>
        </row>
        <row r="11">
          <cell r="A11" t="str">
            <v>POS-кредиты_Воронка привлечения</v>
          </cell>
          <cell r="B11">
            <v>9.4</v>
          </cell>
        </row>
        <row r="12">
          <cell r="A12" t="str">
            <v>POS-кредиты_Гипотезы и инициативы</v>
          </cell>
          <cell r="B12">
            <v>10.299999999999999</v>
          </cell>
        </row>
        <row r="13">
          <cell r="A13" t="str">
            <v>POS-кредиты_Знание ключевых метрик</v>
          </cell>
          <cell r="B13">
            <v>1.6</v>
          </cell>
        </row>
        <row r="14">
          <cell r="A14" t="str">
            <v>POS-кредиты_Механики</v>
          </cell>
          <cell r="B14">
            <v>10.299999999999999</v>
          </cell>
        </row>
        <row r="15">
          <cell r="A15" t="str">
            <v>POS-кредиты_Цели</v>
          </cell>
          <cell r="B15">
            <v>8.1999999999999993</v>
          </cell>
        </row>
        <row r="16">
          <cell r="A16" t="str">
            <v>SberID_Алерты</v>
          </cell>
          <cell r="B16">
            <v>5</v>
          </cell>
        </row>
        <row r="17">
          <cell r="A17" t="str">
            <v>SberID_Воронка использования</v>
          </cell>
          <cell r="B17">
            <v>1.3</v>
          </cell>
        </row>
        <row r="18">
          <cell r="A18" t="str">
            <v>SberID_Гипотезы и инициативы</v>
          </cell>
          <cell r="B18">
            <v>2.5</v>
          </cell>
        </row>
        <row r="19">
          <cell r="A19" t="str">
            <v>SberID_Данные</v>
          </cell>
          <cell r="B19">
            <v>1.3</v>
          </cell>
        </row>
        <row r="20">
          <cell r="A20" t="str">
            <v>SberID_Знание ключевых метрик</v>
          </cell>
          <cell r="B20">
            <v>3.3</v>
          </cell>
        </row>
        <row r="21">
          <cell r="A21" t="str">
            <v>SberID_Механики</v>
          </cell>
          <cell r="B21">
            <v>2.5</v>
          </cell>
        </row>
        <row r="22">
          <cell r="A22" t="str">
            <v>SberID_Цели</v>
          </cell>
          <cell r="B22">
            <v>10.199999999999999</v>
          </cell>
        </row>
        <row r="23">
          <cell r="A23" t="str">
            <v>SberPay Ecom_Воронка оттока</v>
          </cell>
          <cell r="B23">
            <v>5</v>
          </cell>
        </row>
        <row r="24">
          <cell r="A24" t="str">
            <v>SberPay Ecom_Воронка привлечения</v>
          </cell>
          <cell r="B24">
            <v>7.6</v>
          </cell>
        </row>
        <row r="25">
          <cell r="A25" t="str">
            <v>SberPay Ecom_Гипотезы и инициативы</v>
          </cell>
          <cell r="B25">
            <v>10.199999999999999</v>
          </cell>
        </row>
        <row r="26">
          <cell r="A26" t="str">
            <v>SberPay Ecom_Знание ключевых метрик</v>
          </cell>
          <cell r="B26">
            <v>3.3</v>
          </cell>
        </row>
        <row r="27">
          <cell r="A27" t="str">
            <v>SberPay Ecom_Механики</v>
          </cell>
          <cell r="B27">
            <v>25.5</v>
          </cell>
        </row>
        <row r="28">
          <cell r="A28" t="str">
            <v>SberPay Ecom_Цели</v>
          </cell>
          <cell r="B28">
            <v>5</v>
          </cell>
        </row>
        <row r="29">
          <cell r="A29" t="str">
            <v>SberPay NFC_Воронка оттока</v>
          </cell>
          <cell r="B29">
            <v>2.4</v>
          </cell>
        </row>
        <row r="30">
          <cell r="A30" t="str">
            <v>SberPay NFC_Воронка привлечения</v>
          </cell>
          <cell r="B30">
            <v>1.2</v>
          </cell>
        </row>
        <row r="31">
          <cell r="A31" t="str">
            <v>SberPay NFC_Гипотезы и инициативы</v>
          </cell>
          <cell r="B31">
            <v>4.5999999999999996</v>
          </cell>
        </row>
        <row r="32">
          <cell r="A32" t="str">
            <v>SberPay NFC_Знание ключевых метрик</v>
          </cell>
          <cell r="B32">
            <v>3</v>
          </cell>
        </row>
        <row r="33">
          <cell r="A33" t="str">
            <v>SberPay NFC_Механики</v>
          </cell>
          <cell r="B33">
            <v>4.5999999999999996</v>
          </cell>
        </row>
        <row r="34">
          <cell r="A34" t="str">
            <v>SberPay NFC_Цели</v>
          </cell>
          <cell r="B34">
            <v>6.8999999999999995</v>
          </cell>
        </row>
        <row r="35">
          <cell r="A35" t="str">
            <v>SberPay Вжух_Алерты</v>
          </cell>
          <cell r="B35">
            <v>2.2000000000000002</v>
          </cell>
        </row>
        <row r="36">
          <cell r="A36" t="str">
            <v>SberPay Вжух_Воронка оттока</v>
          </cell>
          <cell r="B36">
            <v>8.8000000000000007</v>
          </cell>
        </row>
        <row r="37">
          <cell r="A37" t="str">
            <v>SberPay Вжух_Воронка привлечения</v>
          </cell>
          <cell r="B37">
            <v>5.5</v>
          </cell>
        </row>
        <row r="38">
          <cell r="A38" t="str">
            <v>SberPay Вжух_Гипотезы и инициативы</v>
          </cell>
          <cell r="B38">
            <v>13.200000000000001</v>
          </cell>
        </row>
        <row r="39">
          <cell r="A39" t="str">
            <v>SberPay Вжух_Знание ключевых метрик</v>
          </cell>
          <cell r="B39">
            <v>3.8000000000000003</v>
          </cell>
        </row>
        <row r="40">
          <cell r="A40" t="str">
            <v>SberPay Вжух_Механики</v>
          </cell>
          <cell r="B40">
            <v>13.200000000000001</v>
          </cell>
        </row>
        <row r="41">
          <cell r="A41" t="str">
            <v>SberPay Вжух_Цели</v>
          </cell>
          <cell r="B41">
            <v>13.200000000000001</v>
          </cell>
        </row>
        <row r="42">
          <cell r="A42" t="str">
            <v>Top Affluent_Воронка оттока</v>
          </cell>
          <cell r="B42">
            <v>11.600000000000001</v>
          </cell>
        </row>
        <row r="43">
          <cell r="A43" t="str">
            <v>Top Affluent_Воронка привлечения</v>
          </cell>
          <cell r="B43">
            <v>3.2</v>
          </cell>
        </row>
        <row r="44">
          <cell r="A44" t="str">
            <v>Top Affluent_Гипотезы и инициативы</v>
          </cell>
          <cell r="B44">
            <v>10.5</v>
          </cell>
        </row>
        <row r="45">
          <cell r="A45" t="str">
            <v>Top Affluent_Знание ключевых метрик</v>
          </cell>
          <cell r="B45">
            <v>0.5</v>
          </cell>
        </row>
        <row r="46">
          <cell r="A46" t="str">
            <v>Top Affluent_Механики</v>
          </cell>
          <cell r="B46">
            <v>14.7</v>
          </cell>
        </row>
        <row r="47">
          <cell r="A47" t="str">
            <v>Top Affluent_Цели</v>
          </cell>
          <cell r="B47">
            <v>6.3000000000000007</v>
          </cell>
        </row>
        <row r="48">
          <cell r="A48" t="str">
            <v>Автокредит_Алерты</v>
          </cell>
          <cell r="B48">
            <v>2.2000000000000002</v>
          </cell>
        </row>
        <row r="49">
          <cell r="A49" t="str">
            <v>Автокредит_Воронка оттока</v>
          </cell>
          <cell r="B49">
            <v>15.2</v>
          </cell>
        </row>
        <row r="50">
          <cell r="A50" t="str">
            <v>Автокредит_Воронка привлечения</v>
          </cell>
          <cell r="B50">
            <v>12</v>
          </cell>
        </row>
        <row r="51">
          <cell r="A51" t="str">
            <v>Автокредит_Гипотезы и инициативы</v>
          </cell>
          <cell r="B51">
            <v>4.3</v>
          </cell>
        </row>
        <row r="52">
          <cell r="A52" t="str">
            <v>Автокредит_Знание ключевых метрик</v>
          </cell>
          <cell r="B52">
            <v>2.7</v>
          </cell>
        </row>
        <row r="53">
          <cell r="A53" t="str">
            <v>Автокредит_Механики</v>
          </cell>
          <cell r="B53">
            <v>12.899999999999999</v>
          </cell>
        </row>
        <row r="54">
          <cell r="A54" t="str">
            <v>Автокредит_Цели</v>
          </cell>
          <cell r="B54">
            <v>10.8</v>
          </cell>
        </row>
        <row r="55">
          <cell r="A55" t="str">
            <v>БПИФ_Алерты</v>
          </cell>
          <cell r="B55">
            <v>4</v>
          </cell>
        </row>
        <row r="56">
          <cell r="A56" t="str">
            <v>БПИФ_Воронка оттока</v>
          </cell>
          <cell r="B56">
            <v>8</v>
          </cell>
        </row>
        <row r="57">
          <cell r="A57" t="str">
            <v>БПИФ_Воронка привлечения</v>
          </cell>
          <cell r="B57">
            <v>11</v>
          </cell>
        </row>
        <row r="58">
          <cell r="A58" t="str">
            <v>БПИФ_Гипотезы и инициативы</v>
          </cell>
          <cell r="B58">
            <v>8</v>
          </cell>
        </row>
        <row r="59">
          <cell r="A59" t="str">
            <v>БПИФ_Знание ключевых метрик</v>
          </cell>
          <cell r="B59">
            <v>3.4000000000000004</v>
          </cell>
        </row>
        <row r="60">
          <cell r="A60" t="str">
            <v>БПИФ_Механики</v>
          </cell>
          <cell r="B60">
            <v>6</v>
          </cell>
        </row>
        <row r="61">
          <cell r="A61" t="str">
            <v>БПИФ_Цели</v>
          </cell>
          <cell r="B61">
            <v>8</v>
          </cell>
        </row>
        <row r="62">
          <cell r="A62" t="str">
            <v>Брокерский счет_Алерты</v>
          </cell>
          <cell r="B62">
            <v>3.8</v>
          </cell>
        </row>
        <row r="63">
          <cell r="A63" t="str">
            <v>Брокерский счет_Воронка оттока</v>
          </cell>
          <cell r="B63">
            <v>13.299999999999999</v>
          </cell>
        </row>
        <row r="64">
          <cell r="A64" t="str">
            <v>Брокерский счет_Воронка привлечения</v>
          </cell>
          <cell r="B64">
            <v>10.5</v>
          </cell>
        </row>
        <row r="65">
          <cell r="A65" t="str">
            <v>Брокерский счет_Гипотезы и инициативы</v>
          </cell>
          <cell r="B65">
            <v>9.5</v>
          </cell>
        </row>
        <row r="66">
          <cell r="A66" t="str">
            <v>Брокерский счет_Знание ключевых метрик</v>
          </cell>
          <cell r="B66">
            <v>3.4000000000000004</v>
          </cell>
        </row>
        <row r="67">
          <cell r="A67" t="str">
            <v>Брокерский счет_Клиентский опыт</v>
          </cell>
          <cell r="B67">
            <v>1.9</v>
          </cell>
        </row>
        <row r="68">
          <cell r="A68" t="str">
            <v>Брокерский счет_Механики</v>
          </cell>
          <cell r="B68">
            <v>9.5</v>
          </cell>
        </row>
        <row r="69">
          <cell r="A69" t="str">
            <v>Брокерский счет_Цели</v>
          </cell>
          <cell r="B69">
            <v>5.6999999999999993</v>
          </cell>
        </row>
        <row r="70">
          <cell r="A70" t="str">
            <v>ВЗР_Алерты</v>
          </cell>
          <cell r="B70">
            <v>2</v>
          </cell>
        </row>
        <row r="71">
          <cell r="A71" t="str">
            <v>ВЗР_Воронка оттока</v>
          </cell>
          <cell r="B71">
            <v>4</v>
          </cell>
        </row>
        <row r="72">
          <cell r="A72" t="str">
            <v>ВЗР_Воронка привлечения</v>
          </cell>
          <cell r="B72">
            <v>8</v>
          </cell>
        </row>
        <row r="73">
          <cell r="A73" t="str">
            <v>ВЗР_Гипотезы и инициативы</v>
          </cell>
          <cell r="B73">
            <v>12</v>
          </cell>
        </row>
        <row r="74">
          <cell r="A74" t="str">
            <v>ВЗР_Знание ключевых метрик</v>
          </cell>
          <cell r="B74">
            <v>4.5999999999999996</v>
          </cell>
        </row>
        <row r="75">
          <cell r="A75" t="str">
            <v>ВЗР_Клиентский опыт</v>
          </cell>
          <cell r="B75">
            <v>2</v>
          </cell>
        </row>
        <row r="76">
          <cell r="A76" t="str">
            <v>ВЗР_Механики</v>
          </cell>
          <cell r="B76">
            <v>8</v>
          </cell>
        </row>
        <row r="77">
          <cell r="A77" t="str">
            <v>ВЗР_Цели</v>
          </cell>
          <cell r="B77">
            <v>4</v>
          </cell>
        </row>
        <row r="78">
          <cell r="A78" t="str">
            <v>Вклады+НС_Алерты</v>
          </cell>
          <cell r="B78">
            <v>3.8</v>
          </cell>
        </row>
        <row r="79">
          <cell r="A79" t="str">
            <v>Вклады+НС_Воронка оттока</v>
          </cell>
          <cell r="B79">
            <v>11.4</v>
          </cell>
        </row>
        <row r="80">
          <cell r="A80" t="str">
            <v>Вклады+НС_Воронка привлечения</v>
          </cell>
          <cell r="B80">
            <v>10.5</v>
          </cell>
        </row>
        <row r="81">
          <cell r="A81" t="str">
            <v>Вклады+НС_Гипотезы и инициативы</v>
          </cell>
          <cell r="B81">
            <v>15.2</v>
          </cell>
        </row>
        <row r="82">
          <cell r="A82" t="str">
            <v>Вклады+НС_Знание ключевых метрик</v>
          </cell>
          <cell r="B82">
            <v>1</v>
          </cell>
        </row>
        <row r="83">
          <cell r="A83" t="str">
            <v>Вклады+НС_Клиентский опыт</v>
          </cell>
          <cell r="B83">
            <v>3.8</v>
          </cell>
        </row>
        <row r="84">
          <cell r="A84" t="str">
            <v>Вклады+НС_Механики</v>
          </cell>
          <cell r="B84">
            <v>7.6</v>
          </cell>
        </row>
        <row r="85">
          <cell r="A85" t="str">
            <v>Вклады+НС_Цели</v>
          </cell>
          <cell r="B85">
            <v>9.5</v>
          </cell>
        </row>
        <row r="86">
          <cell r="A86" t="str">
            <v>Военная пенсия_Алерты</v>
          </cell>
          <cell r="B86">
            <v>6.8999999999999995</v>
          </cell>
        </row>
        <row r="87">
          <cell r="A87" t="str">
            <v>Военная пенсия_Воронка оттока</v>
          </cell>
          <cell r="B87">
            <v>5.6999999999999993</v>
          </cell>
        </row>
        <row r="88">
          <cell r="A88" t="str">
            <v>Военная пенсия_Воронка привлечения</v>
          </cell>
          <cell r="B88">
            <v>8</v>
          </cell>
        </row>
        <row r="89">
          <cell r="A89" t="str">
            <v>Военная пенсия_Гипотезы и инициативы</v>
          </cell>
          <cell r="B89">
            <v>13.799999999999999</v>
          </cell>
        </row>
        <row r="90">
          <cell r="A90" t="str">
            <v>Военная пенсия_Знание ключевых метрик</v>
          </cell>
          <cell r="B90">
            <v>1.1000000000000001</v>
          </cell>
        </row>
        <row r="91">
          <cell r="A91" t="str">
            <v>Военная пенсия_Механики</v>
          </cell>
          <cell r="B91">
            <v>23</v>
          </cell>
        </row>
        <row r="92">
          <cell r="A92" t="str">
            <v>Военная пенсия_Цели</v>
          </cell>
          <cell r="B92">
            <v>13.799999999999999</v>
          </cell>
        </row>
        <row r="93">
          <cell r="A93" t="str">
            <v>Выписки, справки_Воронка оттока</v>
          </cell>
          <cell r="B93">
            <v>3.1</v>
          </cell>
        </row>
        <row r="94">
          <cell r="A94" t="str">
            <v>Выписки, справки_Воронка привлечения</v>
          </cell>
          <cell r="B94">
            <v>21.5</v>
          </cell>
        </row>
        <row r="95">
          <cell r="A95" t="str">
            <v>Выписки, справки_Гипотезы и инициативы</v>
          </cell>
          <cell r="B95">
            <v>12.2</v>
          </cell>
        </row>
        <row r="96">
          <cell r="A96" t="str">
            <v>Выписки, справки_Механики</v>
          </cell>
          <cell r="B96">
            <v>3.1</v>
          </cell>
        </row>
        <row r="97">
          <cell r="A97" t="str">
            <v>Выписки, справки_Цели</v>
          </cell>
          <cell r="B97">
            <v>6.1</v>
          </cell>
        </row>
        <row r="98">
          <cell r="A98" t="str">
            <v>Дебетовая карта_Алерты</v>
          </cell>
          <cell r="B98">
            <v>3.8</v>
          </cell>
        </row>
        <row r="99">
          <cell r="A99" t="str">
            <v>Дебетовая карта_Воронка оттока</v>
          </cell>
          <cell r="B99">
            <v>4.8</v>
          </cell>
        </row>
        <row r="100">
          <cell r="A100" t="str">
            <v>Дебетовая карта_Воронка привлечения</v>
          </cell>
          <cell r="B100">
            <v>9.6</v>
          </cell>
        </row>
        <row r="101">
          <cell r="A101" t="str">
            <v>Дебетовая карта_Гипотезы и инициативы</v>
          </cell>
          <cell r="B101">
            <v>7.6</v>
          </cell>
        </row>
        <row r="102">
          <cell r="A102" t="str">
            <v>Дебетовая карта_Знание ключевых метрик</v>
          </cell>
          <cell r="B102">
            <v>1.8</v>
          </cell>
        </row>
        <row r="103">
          <cell r="A103" t="str">
            <v>Дебетовая карта_Механики</v>
          </cell>
          <cell r="B103">
            <v>9.5</v>
          </cell>
        </row>
        <row r="104">
          <cell r="A104" t="str">
            <v>Дебетовая карта_Цели</v>
          </cell>
          <cell r="B104">
            <v>5.6999999999999993</v>
          </cell>
        </row>
        <row r="105">
          <cell r="A105" t="str">
            <v>Дети_Алерты</v>
          </cell>
          <cell r="B105">
            <v>4.9000000000000004</v>
          </cell>
        </row>
        <row r="106">
          <cell r="A106" t="str">
            <v>Дети_Воронка оттока</v>
          </cell>
          <cell r="B106">
            <v>4.9000000000000004</v>
          </cell>
        </row>
        <row r="107">
          <cell r="A107" t="str">
            <v>Дети_Воронка привлечения</v>
          </cell>
          <cell r="B107">
            <v>3.7</v>
          </cell>
        </row>
        <row r="108">
          <cell r="A108" t="str">
            <v>Дети_Гипотезы и инициативы</v>
          </cell>
          <cell r="B108">
            <v>7.4</v>
          </cell>
        </row>
        <row r="109">
          <cell r="A109" t="str">
            <v>Дети_Знание ключевых метрик</v>
          </cell>
          <cell r="B109">
            <v>1.9</v>
          </cell>
        </row>
        <row r="110">
          <cell r="A110" t="str">
            <v>Дети_Механики</v>
          </cell>
          <cell r="B110">
            <v>15.9</v>
          </cell>
        </row>
        <row r="111">
          <cell r="A111" t="str">
            <v>Дети_Цели</v>
          </cell>
          <cell r="B111">
            <v>7.4</v>
          </cell>
        </row>
        <row r="112">
          <cell r="A112" t="str">
            <v>Детская карта_Алерты</v>
          </cell>
          <cell r="B112">
            <v>3.9</v>
          </cell>
        </row>
        <row r="113">
          <cell r="A113" t="str">
            <v>Детская карта_Воронка оттока</v>
          </cell>
          <cell r="B113">
            <v>7.6</v>
          </cell>
        </row>
        <row r="114">
          <cell r="A114" t="str">
            <v>Детская карта_Воронка привлечения</v>
          </cell>
          <cell r="B114">
            <v>12.4</v>
          </cell>
        </row>
        <row r="115">
          <cell r="A115" t="str">
            <v>Детская карта_Гипотезы и инициативы</v>
          </cell>
          <cell r="B115">
            <v>13.6</v>
          </cell>
        </row>
        <row r="116">
          <cell r="A116" t="str">
            <v>Детская карта_Знание ключевых метрик</v>
          </cell>
          <cell r="B116">
            <v>1</v>
          </cell>
        </row>
        <row r="117">
          <cell r="A117" t="str">
            <v>Детская карта_Механики</v>
          </cell>
          <cell r="B117">
            <v>15.5</v>
          </cell>
        </row>
        <row r="118">
          <cell r="A118" t="str">
            <v>Детская карта_Цели</v>
          </cell>
          <cell r="B118">
            <v>7.6999999999999993</v>
          </cell>
        </row>
        <row r="119">
          <cell r="A119" t="str">
            <v>ДСЖ КК_Алерты</v>
          </cell>
          <cell r="B119">
            <v>6.7</v>
          </cell>
        </row>
        <row r="120">
          <cell r="A120" t="str">
            <v>ДСЖ КК_Воронка оттока</v>
          </cell>
          <cell r="B120">
            <v>3.3000000000000003</v>
          </cell>
        </row>
        <row r="121">
          <cell r="A121" t="str">
            <v>ДСЖ КК_Воронка привлечения</v>
          </cell>
          <cell r="B121">
            <v>7.8</v>
          </cell>
        </row>
        <row r="122">
          <cell r="A122" t="str">
            <v>ДСЖ КК_Гипотезы и инициативы</v>
          </cell>
          <cell r="B122">
            <v>9</v>
          </cell>
        </row>
        <row r="123">
          <cell r="A123" t="str">
            <v>ДСЖ КК_Знание ключевых метрик</v>
          </cell>
          <cell r="B123">
            <v>3.8000000000000003</v>
          </cell>
        </row>
        <row r="124">
          <cell r="A124" t="str">
            <v>ДСЖ КК_Механики</v>
          </cell>
          <cell r="B124">
            <v>9</v>
          </cell>
        </row>
        <row r="125">
          <cell r="A125" t="str">
            <v>ДСЖ КК_Цели</v>
          </cell>
          <cell r="B125">
            <v>4.5</v>
          </cell>
        </row>
        <row r="126">
          <cell r="A126" t="str">
            <v>ДСЖ ПК_Воронка оттока</v>
          </cell>
          <cell r="B126">
            <v>6</v>
          </cell>
        </row>
        <row r="127">
          <cell r="A127" t="str">
            <v>ДСЖ ПК_Воронка привлечения</v>
          </cell>
          <cell r="B127">
            <v>9.6</v>
          </cell>
        </row>
        <row r="128">
          <cell r="A128" t="str">
            <v>ДСЖ ПК_Гипотезы и инициативы</v>
          </cell>
          <cell r="B128">
            <v>9.6</v>
          </cell>
        </row>
        <row r="129">
          <cell r="A129" t="str">
            <v>ДСЖ ПК_Знание ключевых метрик</v>
          </cell>
          <cell r="B129">
            <v>5.2</v>
          </cell>
        </row>
        <row r="130">
          <cell r="A130" t="str">
            <v>ДСЖ ПК_Механики</v>
          </cell>
          <cell r="B130">
            <v>9.6</v>
          </cell>
        </row>
        <row r="131">
          <cell r="A131" t="str">
            <v>ДСЖ ПК_Цели</v>
          </cell>
          <cell r="B131">
            <v>4.8</v>
          </cell>
        </row>
        <row r="132">
          <cell r="A132" t="str">
            <v>ДУ_Алерты</v>
          </cell>
          <cell r="B132">
            <v>6.5</v>
          </cell>
        </row>
        <row r="133">
          <cell r="A133" t="str">
            <v>ДУ_Воронка оттока</v>
          </cell>
          <cell r="B133">
            <v>4.4000000000000004</v>
          </cell>
        </row>
        <row r="134">
          <cell r="A134" t="str">
            <v>ДУ_Воронка привлечения</v>
          </cell>
          <cell r="B134">
            <v>15.299999999999997</v>
          </cell>
        </row>
        <row r="135">
          <cell r="A135" t="str">
            <v>ДУ_Гипотезы и инициативы</v>
          </cell>
          <cell r="B135">
            <v>12.899999999999999</v>
          </cell>
        </row>
        <row r="136">
          <cell r="A136" t="str">
            <v>ДУ_Знание ключевых метрик</v>
          </cell>
          <cell r="B136">
            <v>3.8000000000000003</v>
          </cell>
        </row>
        <row r="137">
          <cell r="A137" t="str">
            <v>ДУ_Механики</v>
          </cell>
          <cell r="B137">
            <v>17.3</v>
          </cell>
        </row>
        <row r="138">
          <cell r="A138" t="str">
            <v>ДУ_Цели</v>
          </cell>
          <cell r="B138">
            <v>4.3</v>
          </cell>
        </row>
        <row r="139">
          <cell r="A139" t="str">
            <v>Единый личный кабинет (ЕЛК)_Алерты</v>
          </cell>
          <cell r="B139">
            <v>7.6</v>
          </cell>
        </row>
        <row r="140">
          <cell r="A140" t="str">
            <v>Единый личный кабинет (ЕЛК)_Воронка использования</v>
          </cell>
          <cell r="B140">
            <v>5</v>
          </cell>
        </row>
        <row r="141">
          <cell r="A141" t="str">
            <v>Единый личный кабинет (ЕЛК)_Воронка оттока</v>
          </cell>
          <cell r="B141">
            <v>6.3999999999999995</v>
          </cell>
        </row>
        <row r="142">
          <cell r="A142" t="str">
            <v>Единый личный кабинет (ЕЛК)_Гипотезы и инициативы</v>
          </cell>
          <cell r="B142">
            <v>10.199999999999999</v>
          </cell>
        </row>
        <row r="143">
          <cell r="A143" t="str">
            <v>Единый личный кабинет (ЕЛК)_Данные</v>
          </cell>
          <cell r="B143">
            <v>2.6</v>
          </cell>
        </row>
        <row r="144">
          <cell r="A144" t="str">
            <v>Единый личный кабинет (ЕЛК)_Знание ключевых метрик</v>
          </cell>
          <cell r="B144">
            <v>2.2999999999999998</v>
          </cell>
        </row>
        <row r="145">
          <cell r="A145" t="str">
            <v>Единый личный кабинет (ЕЛК)_Механики</v>
          </cell>
          <cell r="B145">
            <v>10</v>
          </cell>
        </row>
        <row r="146">
          <cell r="A146" t="str">
            <v>Единый личный кабинет (ЕЛК)_Цели</v>
          </cell>
          <cell r="B146">
            <v>10.199999999999999</v>
          </cell>
        </row>
        <row r="147">
          <cell r="A147" t="str">
            <v>Залоговое страхование (корпоративное страхование)_Алерты</v>
          </cell>
          <cell r="B147">
            <v>2.2000000000000002</v>
          </cell>
        </row>
        <row r="148">
          <cell r="A148" t="str">
            <v>Залоговое страхование (корпоративное страхование)_Воронка оттока</v>
          </cell>
          <cell r="B148">
            <v>6.6000000000000005</v>
          </cell>
        </row>
        <row r="149">
          <cell r="A149" t="str">
            <v>Залоговое страхование (корпоративное страхование)_Воронка привлечения</v>
          </cell>
          <cell r="B149">
            <v>13.099999999999998</v>
          </cell>
        </row>
        <row r="150">
          <cell r="A150" t="str">
            <v>Залоговое страхование (корпоративное страхование)_Гипотезы и инициативы</v>
          </cell>
          <cell r="B150">
            <v>12.899999999999999</v>
          </cell>
        </row>
        <row r="151">
          <cell r="A151" t="str">
            <v>Залоговое страхование (корпоративное страхование)_Механики</v>
          </cell>
          <cell r="B151">
            <v>17.2</v>
          </cell>
        </row>
        <row r="152">
          <cell r="A152" t="str">
            <v>Залоговое страхование (корпоративное страхование)_Цели</v>
          </cell>
          <cell r="B152">
            <v>8.6</v>
          </cell>
        </row>
        <row r="153">
          <cell r="A153" t="str">
            <v>Зарплатный продукт_Алерты</v>
          </cell>
          <cell r="B153">
            <v>8.4</v>
          </cell>
        </row>
        <row r="154">
          <cell r="A154" t="str">
            <v>Зарплатный продукт_Воронка оттока</v>
          </cell>
          <cell r="B154">
            <v>10.5</v>
          </cell>
        </row>
        <row r="155">
          <cell r="A155" t="str">
            <v>Зарплатный продукт_Воронка привлечения</v>
          </cell>
          <cell r="B155">
            <v>12.6</v>
          </cell>
        </row>
        <row r="156">
          <cell r="A156" t="str">
            <v>Зарплатный продукт_Гипотезы и инициативы</v>
          </cell>
          <cell r="B156">
            <v>12.600000000000001</v>
          </cell>
        </row>
        <row r="157">
          <cell r="A157" t="str">
            <v>Зарплатный продукт_Механики</v>
          </cell>
          <cell r="B157">
            <v>12.600000000000001</v>
          </cell>
        </row>
        <row r="158">
          <cell r="A158" t="str">
            <v>Зарплатный продукт_Цели</v>
          </cell>
          <cell r="B158">
            <v>12.600000000000001</v>
          </cell>
        </row>
        <row r="159">
          <cell r="A159" t="str">
            <v>ЗЛС_Алерты</v>
          </cell>
          <cell r="B159">
            <v>2</v>
          </cell>
        </row>
        <row r="160">
          <cell r="A160" t="str">
            <v>ЗЛС_Воронка оттока</v>
          </cell>
          <cell r="B160">
            <v>6</v>
          </cell>
        </row>
        <row r="161">
          <cell r="A161" t="str">
            <v>ЗЛС_Воронка привлечения</v>
          </cell>
          <cell r="B161">
            <v>7</v>
          </cell>
        </row>
        <row r="162">
          <cell r="A162" t="str">
            <v>ЗЛС_Гипотезы и инициативы</v>
          </cell>
          <cell r="B162">
            <v>12</v>
          </cell>
        </row>
        <row r="163">
          <cell r="A163" t="str">
            <v>ЗЛС_Знание ключевых метрик</v>
          </cell>
          <cell r="B163">
            <v>2.6</v>
          </cell>
        </row>
        <row r="164">
          <cell r="A164" t="str">
            <v>ЗЛС_Механики</v>
          </cell>
          <cell r="B164">
            <v>8</v>
          </cell>
        </row>
        <row r="165">
          <cell r="A165" t="str">
            <v>ЗЛС_Цели</v>
          </cell>
          <cell r="B165">
            <v>8</v>
          </cell>
        </row>
        <row r="166">
          <cell r="A166" t="str">
            <v>ЗПИФ_Алерты</v>
          </cell>
          <cell r="B166">
            <v>6</v>
          </cell>
        </row>
        <row r="167">
          <cell r="A167" t="str">
            <v>ЗПИФ_Воронка оттока</v>
          </cell>
          <cell r="B167">
            <v>2</v>
          </cell>
        </row>
        <row r="168">
          <cell r="A168" t="str">
            <v>ЗПИФ_Воронка привлечения</v>
          </cell>
          <cell r="B168">
            <v>8</v>
          </cell>
        </row>
        <row r="169">
          <cell r="A169" t="str">
            <v>ЗПИФ_Гипотезы и инициативы</v>
          </cell>
          <cell r="B169">
            <v>8</v>
          </cell>
        </row>
        <row r="170">
          <cell r="A170" t="str">
            <v>ЗПИФ_Знание ключевых метрик</v>
          </cell>
          <cell r="B170">
            <v>3.4000000000000004</v>
          </cell>
        </row>
        <row r="171">
          <cell r="A171" t="str">
            <v>ЗПИФ_Механики</v>
          </cell>
          <cell r="B171">
            <v>4</v>
          </cell>
        </row>
        <row r="172">
          <cell r="A172" t="str">
            <v>ЗПИФ_Цели</v>
          </cell>
          <cell r="B172">
            <v>4</v>
          </cell>
        </row>
        <row r="173">
          <cell r="A173" t="str">
            <v>Зрелость_Алерты</v>
          </cell>
          <cell r="B173">
            <v>4.8</v>
          </cell>
        </row>
        <row r="174">
          <cell r="A174" t="str">
            <v>Зрелость_Воронка оттока</v>
          </cell>
          <cell r="B174">
            <v>16.799999999999997</v>
          </cell>
        </row>
        <row r="175">
          <cell r="A175" t="str">
            <v>Зрелость_Воронка привлечения</v>
          </cell>
          <cell r="B175">
            <v>7.1999999999999993</v>
          </cell>
        </row>
        <row r="176">
          <cell r="A176" t="str">
            <v>Зрелость_Гипотезы и инициативы</v>
          </cell>
          <cell r="B176">
            <v>7.1999999999999993</v>
          </cell>
        </row>
        <row r="177">
          <cell r="A177" t="str">
            <v>Зрелость_Механики</v>
          </cell>
          <cell r="B177">
            <v>20.5</v>
          </cell>
        </row>
        <row r="178">
          <cell r="A178" t="str">
            <v>Зрелость_Цели</v>
          </cell>
          <cell r="B178">
            <v>4.8</v>
          </cell>
        </row>
        <row r="179">
          <cell r="A179" t="str">
            <v>ИнвестКопилка_Алерты</v>
          </cell>
          <cell r="B179">
            <v>4.7</v>
          </cell>
        </row>
        <row r="180">
          <cell r="A180" t="str">
            <v>ИнвестКопилка_Воронка оттока</v>
          </cell>
          <cell r="B180">
            <v>4.8</v>
          </cell>
        </row>
        <row r="181">
          <cell r="A181" t="str">
            <v>ИнвестКопилка_Воронка привлечения</v>
          </cell>
          <cell r="B181">
            <v>12</v>
          </cell>
        </row>
        <row r="182">
          <cell r="A182" t="str">
            <v>ИнвестКопилка_Гипотезы и инициативы</v>
          </cell>
          <cell r="B182">
            <v>9.4</v>
          </cell>
        </row>
        <row r="183">
          <cell r="A183" t="str">
            <v>ИнвестКопилка_Знание ключевых метрик</v>
          </cell>
          <cell r="B183">
            <v>3</v>
          </cell>
        </row>
        <row r="184">
          <cell r="A184" t="str">
            <v>ИнвестКопилка_Механики</v>
          </cell>
          <cell r="B184">
            <v>9.4</v>
          </cell>
        </row>
        <row r="185">
          <cell r="A185" t="str">
            <v>ИнвестКопилка_Цели</v>
          </cell>
          <cell r="B185">
            <v>7.1</v>
          </cell>
        </row>
        <row r="186">
          <cell r="A186" t="str">
            <v>Интернет-Эквайринг_Алерты</v>
          </cell>
          <cell r="B186">
            <v>4.8</v>
          </cell>
        </row>
        <row r="187">
          <cell r="A187" t="str">
            <v>Интернет-Эквайринг_Воронка оттока</v>
          </cell>
          <cell r="B187">
            <v>4.8</v>
          </cell>
        </row>
        <row r="188">
          <cell r="A188" t="str">
            <v>Интернет-Эквайринг_Воронка привлечения</v>
          </cell>
          <cell r="B188">
            <v>9.6</v>
          </cell>
        </row>
        <row r="189">
          <cell r="A189" t="str">
            <v>Интернет-Эквайринг_Гипотезы и инициативы</v>
          </cell>
          <cell r="B189">
            <v>9.6</v>
          </cell>
        </row>
        <row r="190">
          <cell r="A190" t="str">
            <v>Интернет-Эквайринг_Механики</v>
          </cell>
          <cell r="B190">
            <v>24</v>
          </cell>
        </row>
        <row r="191">
          <cell r="A191" t="str">
            <v>Интернет-Эквайринг_Цели</v>
          </cell>
          <cell r="B191">
            <v>9.6</v>
          </cell>
        </row>
        <row r="192">
          <cell r="A192" t="str">
            <v>ИСЖ_Алерты</v>
          </cell>
          <cell r="B192">
            <v>4.0999999999999996</v>
          </cell>
        </row>
        <row r="193">
          <cell r="A193" t="str">
            <v>ИСЖ_Воронка оттока</v>
          </cell>
          <cell r="B193">
            <v>8.4</v>
          </cell>
        </row>
        <row r="194">
          <cell r="A194" t="str">
            <v>ИСЖ_Воронка привлечения</v>
          </cell>
          <cell r="B194">
            <v>15.6</v>
          </cell>
        </row>
        <row r="195">
          <cell r="A195" t="str">
            <v>ИСЖ_Гипотезы и инициативы</v>
          </cell>
          <cell r="B195">
            <v>8.1999999999999993</v>
          </cell>
        </row>
        <row r="196">
          <cell r="A196" t="str">
            <v>ИСЖ_Знание ключевых метрик</v>
          </cell>
          <cell r="B196">
            <v>1</v>
          </cell>
        </row>
        <row r="197">
          <cell r="A197" t="str">
            <v>ИСЖ_Механики</v>
          </cell>
          <cell r="B197">
            <v>12.299999999999999</v>
          </cell>
        </row>
        <row r="198">
          <cell r="A198" t="str">
            <v>ИСЖ_Цели</v>
          </cell>
          <cell r="B198">
            <v>4.0999999999999996</v>
          </cell>
        </row>
        <row r="199">
          <cell r="A199" t="str">
            <v>Как зарплатный_Алерты</v>
          </cell>
          <cell r="B199">
            <v>2.2000000000000002</v>
          </cell>
        </row>
        <row r="200">
          <cell r="A200" t="str">
            <v>Как зарплатный_Воронка оттока</v>
          </cell>
          <cell r="B200">
            <v>8.9</v>
          </cell>
        </row>
        <row r="201">
          <cell r="A201" t="str">
            <v>Как зарплатный_Воронка привлечения</v>
          </cell>
          <cell r="B201">
            <v>13.3</v>
          </cell>
        </row>
        <row r="202">
          <cell r="A202" t="str">
            <v>Как зарплатный_Гипотезы и инициативы</v>
          </cell>
          <cell r="B202">
            <v>13.5</v>
          </cell>
        </row>
        <row r="203">
          <cell r="A203" t="str">
            <v>Как зарплатный_Клиентский опыт</v>
          </cell>
          <cell r="B203">
            <v>2.2000000000000002</v>
          </cell>
        </row>
        <row r="204">
          <cell r="A204" t="str">
            <v>Как зарплатный_Механики</v>
          </cell>
          <cell r="B204">
            <v>8.9</v>
          </cell>
        </row>
        <row r="205">
          <cell r="A205" t="str">
            <v>Как зарплатный_Цели</v>
          </cell>
          <cell r="B205">
            <v>13.5</v>
          </cell>
        </row>
        <row r="206">
          <cell r="A206" t="str">
            <v>КАСКО_Воронка оттока</v>
          </cell>
          <cell r="B206">
            <v>2</v>
          </cell>
        </row>
        <row r="207">
          <cell r="A207" t="str">
            <v>КАСКО_Воронка привлечения</v>
          </cell>
          <cell r="B207">
            <v>4</v>
          </cell>
        </row>
        <row r="208">
          <cell r="A208" t="str">
            <v>КАСКО_Гипотезы и инициативы</v>
          </cell>
          <cell r="B208">
            <v>10</v>
          </cell>
        </row>
        <row r="209">
          <cell r="A209" t="str">
            <v>КАСКО_Знание ключевых метрик</v>
          </cell>
          <cell r="B209">
            <v>3.8000000000000003</v>
          </cell>
        </row>
        <row r="210">
          <cell r="A210" t="str">
            <v>КАСКО_Клиентский опыт</v>
          </cell>
          <cell r="B210">
            <v>2</v>
          </cell>
        </row>
        <row r="211">
          <cell r="A211" t="str">
            <v>КАСКО_Механики</v>
          </cell>
          <cell r="B211">
            <v>10</v>
          </cell>
        </row>
        <row r="212">
          <cell r="A212" t="str">
            <v>КАСКО_Цели</v>
          </cell>
          <cell r="B212">
            <v>6</v>
          </cell>
        </row>
        <row r="213">
          <cell r="A213" t="str">
            <v>Колл-центр_Воронка входа в канал</v>
          </cell>
          <cell r="B213">
            <v>1.3</v>
          </cell>
        </row>
        <row r="214">
          <cell r="A214" t="str">
            <v>Колл-центр_Знание ключевых метрик</v>
          </cell>
          <cell r="B214">
            <v>1.3</v>
          </cell>
        </row>
        <row r="215">
          <cell r="A215" t="str">
            <v>Колл-центр_Механики</v>
          </cell>
          <cell r="B215">
            <v>5.0999999999999996</v>
          </cell>
        </row>
        <row r="216">
          <cell r="A216" t="str">
            <v>Колл-центр_Цели</v>
          </cell>
          <cell r="B216">
            <v>2.6</v>
          </cell>
        </row>
        <row r="217">
          <cell r="A217" t="str">
            <v>Конверсия_Алерты</v>
          </cell>
          <cell r="B217">
            <v>6.8</v>
          </cell>
        </row>
        <row r="218">
          <cell r="A218" t="str">
            <v>Конверсия_Воронка оттока</v>
          </cell>
          <cell r="B218">
            <v>11.399999999999999</v>
          </cell>
        </row>
        <row r="219">
          <cell r="A219" t="str">
            <v>Конверсия_Воронка привлечения</v>
          </cell>
          <cell r="B219">
            <v>11.3</v>
          </cell>
        </row>
        <row r="220">
          <cell r="A220" t="str">
            <v>Конверсия_Гипотезы и инициативы</v>
          </cell>
          <cell r="B220">
            <v>4.5</v>
          </cell>
        </row>
        <row r="221">
          <cell r="A221" t="str">
            <v>Конверсия_Знание ключевых метрик</v>
          </cell>
          <cell r="B221">
            <v>1.1000000000000001</v>
          </cell>
        </row>
        <row r="222">
          <cell r="A222" t="str">
            <v>Конверсия_Механики</v>
          </cell>
          <cell r="B222">
            <v>13.5</v>
          </cell>
        </row>
        <row r="223">
          <cell r="A223" t="str">
            <v>Конверсия_Цели</v>
          </cell>
          <cell r="B223">
            <v>6.8999999999999995</v>
          </cell>
        </row>
        <row r="224">
          <cell r="A224" t="str">
            <v>Кредитные карты_Воронка оттока</v>
          </cell>
          <cell r="B224">
            <v>3.8</v>
          </cell>
        </row>
        <row r="225">
          <cell r="A225" t="str">
            <v>Кредитные карты_Воронка привлечения</v>
          </cell>
          <cell r="B225">
            <v>7.6</v>
          </cell>
        </row>
        <row r="226">
          <cell r="A226" t="str">
            <v>Кредитные карты_Гипотезы и инициативы</v>
          </cell>
          <cell r="B226">
            <v>9.5</v>
          </cell>
        </row>
        <row r="227">
          <cell r="A227" t="str">
            <v>Кредитные карты_Знание ключевых метрик</v>
          </cell>
          <cell r="B227">
            <v>3.8000000000000003</v>
          </cell>
        </row>
        <row r="228">
          <cell r="A228" t="str">
            <v>Кредитные карты_Клиентский опыт</v>
          </cell>
          <cell r="B228">
            <v>1.9</v>
          </cell>
        </row>
        <row r="229">
          <cell r="A229" t="str">
            <v>Кредитные карты_Механики</v>
          </cell>
          <cell r="B229">
            <v>9.5</v>
          </cell>
        </row>
        <row r="230">
          <cell r="A230" t="str">
            <v>Кредитные карты_Цели</v>
          </cell>
          <cell r="B230">
            <v>3.8</v>
          </cell>
        </row>
        <row r="231">
          <cell r="A231" t="str">
            <v>Кредитный потенциал_Алерты</v>
          </cell>
          <cell r="B231">
            <v>5</v>
          </cell>
        </row>
        <row r="232">
          <cell r="A232" t="str">
            <v>Кредитный потенциал_Воронка оттока</v>
          </cell>
          <cell r="B232">
            <v>5</v>
          </cell>
        </row>
        <row r="233">
          <cell r="A233" t="str">
            <v>Кредитный потенциал_Воронка привлечения</v>
          </cell>
          <cell r="B233">
            <v>6.3</v>
          </cell>
        </row>
        <row r="234">
          <cell r="A234" t="str">
            <v>Кредитный потенциал_Гипотезы и инициативы</v>
          </cell>
          <cell r="B234">
            <v>2.5</v>
          </cell>
        </row>
        <row r="235">
          <cell r="A235" t="str">
            <v>Кредитный потенциал_Клиентский опыт</v>
          </cell>
          <cell r="B235">
            <v>5.0999999999999996</v>
          </cell>
        </row>
        <row r="236">
          <cell r="A236" t="str">
            <v>Кредитный потенциал_Механики</v>
          </cell>
          <cell r="B236">
            <v>5</v>
          </cell>
        </row>
        <row r="237">
          <cell r="A237" t="str">
            <v>Кредитный потенциал_Цели</v>
          </cell>
          <cell r="B237">
            <v>5</v>
          </cell>
        </row>
        <row r="238">
          <cell r="A238" t="str">
            <v>Личная защита Плюс_Алерты</v>
          </cell>
          <cell r="B238">
            <v>4.2</v>
          </cell>
        </row>
        <row r="239">
          <cell r="A239" t="str">
            <v>Личная защита Плюс_Воронка оттока</v>
          </cell>
          <cell r="B239">
            <v>2.1</v>
          </cell>
        </row>
        <row r="240">
          <cell r="A240" t="str">
            <v>Личная защита Плюс_Воронка привлечения</v>
          </cell>
          <cell r="B240">
            <v>10.399999999999999</v>
          </cell>
        </row>
        <row r="241">
          <cell r="A241" t="str">
            <v>Личная защита Плюс_Гипотезы и инициативы</v>
          </cell>
          <cell r="B241">
            <v>10.299999999999999</v>
          </cell>
        </row>
        <row r="242">
          <cell r="A242" t="str">
            <v>Личная защита Плюс_Знание ключевых метрик</v>
          </cell>
          <cell r="B242">
            <v>1.4</v>
          </cell>
        </row>
        <row r="243">
          <cell r="A243" t="str">
            <v>Личная защита Плюс_Механики</v>
          </cell>
          <cell r="B243">
            <v>8.1999999999999993</v>
          </cell>
        </row>
        <row r="244">
          <cell r="A244" t="str">
            <v>Личная защита Плюс_Цели</v>
          </cell>
          <cell r="B244">
            <v>2.1</v>
          </cell>
        </row>
        <row r="245">
          <cell r="A245" t="str">
            <v>МВС_Алерты</v>
          </cell>
          <cell r="B245">
            <v>4.3</v>
          </cell>
        </row>
        <row r="246">
          <cell r="A246" t="str">
            <v>МВС_Воронка оттока</v>
          </cell>
          <cell r="B246">
            <v>14.100000000000001</v>
          </cell>
        </row>
        <row r="247">
          <cell r="A247" t="str">
            <v>МВС_Воронка привлечения</v>
          </cell>
          <cell r="B247">
            <v>6.6000000000000005</v>
          </cell>
        </row>
        <row r="248">
          <cell r="A248" t="str">
            <v>МВС_Гипотезы и инициативы</v>
          </cell>
          <cell r="B248">
            <v>10.8</v>
          </cell>
        </row>
        <row r="249">
          <cell r="A249" t="str">
            <v>МВС_Знание ключевых метрик</v>
          </cell>
          <cell r="B249">
            <v>0.5</v>
          </cell>
        </row>
        <row r="250">
          <cell r="A250" t="str">
            <v>МВС_Механики</v>
          </cell>
          <cell r="B250">
            <v>16.100000000000001</v>
          </cell>
        </row>
        <row r="251">
          <cell r="A251" t="str">
            <v>МВС_Цели</v>
          </cell>
          <cell r="B251">
            <v>6.5</v>
          </cell>
        </row>
        <row r="252">
          <cell r="A252" t="str">
            <v>Много денег (НКПЗН)_Алерты</v>
          </cell>
          <cell r="B252">
            <v>3.8</v>
          </cell>
        </row>
        <row r="253">
          <cell r="A253" t="str">
            <v>Много денег (НКПЗН)_Воронка оттока</v>
          </cell>
          <cell r="B253">
            <v>11.399999999999999</v>
          </cell>
        </row>
        <row r="254">
          <cell r="A254" t="str">
            <v>Много денег (НКПЗН)_Воронка привлечения</v>
          </cell>
          <cell r="B254">
            <v>3.8</v>
          </cell>
        </row>
        <row r="255">
          <cell r="A255" t="str">
            <v>Много денег (НКПЗН)_Гипотезы и инициативы</v>
          </cell>
          <cell r="B255">
            <v>5.6999999999999993</v>
          </cell>
        </row>
        <row r="256">
          <cell r="A256" t="str">
            <v>Много денег (НКПЗН)_Механики</v>
          </cell>
          <cell r="B256">
            <v>5.6999999999999993</v>
          </cell>
        </row>
        <row r="257">
          <cell r="A257" t="str">
            <v>Много денег (НКПЗН)_Цели</v>
          </cell>
          <cell r="B257">
            <v>3.8</v>
          </cell>
        </row>
        <row r="258">
          <cell r="A258" t="str">
            <v>Молодежь_Алерты</v>
          </cell>
          <cell r="B258">
            <v>5.0999999999999996</v>
          </cell>
        </row>
        <row r="259">
          <cell r="A259" t="str">
            <v>Молодежь_Воронка оттока</v>
          </cell>
          <cell r="B259">
            <v>7.5</v>
          </cell>
        </row>
        <row r="260">
          <cell r="A260" t="str">
            <v>Молодежь_Воронка привлечения</v>
          </cell>
          <cell r="B260">
            <v>5.0999999999999996</v>
          </cell>
        </row>
        <row r="261">
          <cell r="A261" t="str">
            <v>Молодежь_Гипотезы и инициативы</v>
          </cell>
          <cell r="B261">
            <v>10.199999999999999</v>
          </cell>
        </row>
        <row r="262">
          <cell r="A262" t="str">
            <v>Молодежь_Знание ключевых метрик</v>
          </cell>
          <cell r="B262">
            <v>3.7</v>
          </cell>
        </row>
        <row r="263">
          <cell r="A263" t="str">
            <v>Молодежь_Механики</v>
          </cell>
          <cell r="B263">
            <v>12.7</v>
          </cell>
        </row>
        <row r="264">
          <cell r="A264" t="str">
            <v>Молодежь_Цели</v>
          </cell>
          <cell r="B264">
            <v>7.6</v>
          </cell>
        </row>
        <row r="265">
          <cell r="A265" t="str">
            <v>Монеты_Алерты</v>
          </cell>
          <cell r="B265">
            <v>4.7</v>
          </cell>
        </row>
        <row r="266">
          <cell r="A266" t="str">
            <v>Монеты_Воронка оттока</v>
          </cell>
          <cell r="B266">
            <v>4.8</v>
          </cell>
        </row>
        <row r="267">
          <cell r="A267" t="str">
            <v>Монеты_Воронка привлечения</v>
          </cell>
          <cell r="B267">
            <v>16.8</v>
          </cell>
        </row>
        <row r="268">
          <cell r="A268" t="str">
            <v>Монеты_Гипотезы и инициативы</v>
          </cell>
          <cell r="B268">
            <v>9.4</v>
          </cell>
        </row>
        <row r="269">
          <cell r="A269" t="str">
            <v>Монеты_Знание ключевых метрик</v>
          </cell>
          <cell r="B269">
            <v>1.2</v>
          </cell>
        </row>
        <row r="270">
          <cell r="A270" t="str">
            <v>Монеты_Механики</v>
          </cell>
          <cell r="B270">
            <v>7.1</v>
          </cell>
        </row>
        <row r="271">
          <cell r="A271" t="str">
            <v>Монеты_Цели</v>
          </cell>
          <cell r="B271">
            <v>4.8</v>
          </cell>
        </row>
        <row r="272">
          <cell r="A272" t="str">
            <v>НСЖ_Алерты</v>
          </cell>
          <cell r="B272">
            <v>4.3</v>
          </cell>
        </row>
        <row r="273">
          <cell r="A273" t="str">
            <v>НСЖ_Воронка оттока</v>
          </cell>
          <cell r="B273">
            <v>6.6000000000000005</v>
          </cell>
        </row>
        <row r="274">
          <cell r="A274" t="str">
            <v>НСЖ_Воронка привлечения</v>
          </cell>
          <cell r="B274">
            <v>15.3</v>
          </cell>
        </row>
        <row r="275">
          <cell r="A275" t="str">
            <v>НСЖ_Гипотезы и инициативы</v>
          </cell>
          <cell r="B275">
            <v>8.6</v>
          </cell>
        </row>
        <row r="276">
          <cell r="A276" t="str">
            <v>НСЖ_Знание ключевых метрик</v>
          </cell>
          <cell r="B276">
            <v>3.8000000000000003</v>
          </cell>
        </row>
        <row r="277">
          <cell r="A277" t="str">
            <v>НСЖ_Механики</v>
          </cell>
          <cell r="B277">
            <v>17.2</v>
          </cell>
        </row>
        <row r="278">
          <cell r="A278" t="str">
            <v>НСЖ_Цели</v>
          </cell>
          <cell r="B278">
            <v>2.2000000000000002</v>
          </cell>
        </row>
        <row r="279">
          <cell r="A279" t="str">
            <v>Образовательный кредит_Воронка оттока</v>
          </cell>
          <cell r="B279">
            <v>2.2000000000000002</v>
          </cell>
        </row>
        <row r="280">
          <cell r="A280" t="str">
            <v>Образовательный кредит_Воронка привлечения</v>
          </cell>
          <cell r="B280">
            <v>6.6000000000000005</v>
          </cell>
        </row>
        <row r="281">
          <cell r="A281" t="str">
            <v>Образовательный кредит_Гипотезы и инициативы</v>
          </cell>
          <cell r="B281">
            <v>11</v>
          </cell>
        </row>
        <row r="282">
          <cell r="A282" t="str">
            <v>Образовательный кредит_Механики</v>
          </cell>
          <cell r="B282">
            <v>13.200000000000001</v>
          </cell>
        </row>
        <row r="283">
          <cell r="A283" t="str">
            <v>Образовательный кредит_Цели</v>
          </cell>
          <cell r="B283">
            <v>8.8000000000000007</v>
          </cell>
        </row>
        <row r="284">
          <cell r="A284" t="str">
            <v>Объект Авто_Алерты</v>
          </cell>
          <cell r="B284">
            <v>6.5</v>
          </cell>
        </row>
        <row r="285">
          <cell r="A285" t="str">
            <v>Объект Авто_Воронка оттока</v>
          </cell>
          <cell r="B285">
            <v>13</v>
          </cell>
        </row>
        <row r="286">
          <cell r="A286" t="str">
            <v>Объект Авто_Воронка привлечения</v>
          </cell>
          <cell r="B286">
            <v>13.2</v>
          </cell>
        </row>
        <row r="287">
          <cell r="A287" t="str">
            <v>Объект Авто_Гипотезы и инициативы</v>
          </cell>
          <cell r="B287">
            <v>12.899999999999999</v>
          </cell>
        </row>
        <row r="288">
          <cell r="A288" t="str">
            <v>Объект Авто_Знание ключевых метрик</v>
          </cell>
          <cell r="B288">
            <v>1.1000000000000001</v>
          </cell>
        </row>
        <row r="289">
          <cell r="A289" t="str">
            <v>Объект Авто_Механики</v>
          </cell>
          <cell r="B289">
            <v>10.8</v>
          </cell>
        </row>
        <row r="290">
          <cell r="A290" t="str">
            <v>Объект Авто_Цели</v>
          </cell>
          <cell r="B290">
            <v>8.6999999999999993</v>
          </cell>
        </row>
        <row r="291">
          <cell r="A291" t="str">
            <v>ОМС_Алерты</v>
          </cell>
          <cell r="B291">
            <v>4</v>
          </cell>
        </row>
        <row r="292">
          <cell r="A292" t="str">
            <v>ОМС_Воронка оттока</v>
          </cell>
          <cell r="B292">
            <v>6</v>
          </cell>
        </row>
        <row r="293">
          <cell r="A293" t="str">
            <v>ОМС_Воронка привлечения</v>
          </cell>
          <cell r="B293">
            <v>9</v>
          </cell>
        </row>
        <row r="294">
          <cell r="A294" t="str">
            <v>ОМС_Гипотезы и инициативы</v>
          </cell>
          <cell r="B294">
            <v>8</v>
          </cell>
        </row>
        <row r="295">
          <cell r="A295" t="str">
            <v>ОМС_Механики</v>
          </cell>
          <cell r="B295">
            <v>10</v>
          </cell>
        </row>
        <row r="296">
          <cell r="A296" t="str">
            <v>ОМС_Цели</v>
          </cell>
          <cell r="B296">
            <v>6</v>
          </cell>
        </row>
        <row r="297">
          <cell r="A297" t="str">
            <v>ОПИФ_Алерты</v>
          </cell>
          <cell r="B297">
            <v>5.6999999999999993</v>
          </cell>
        </row>
        <row r="298">
          <cell r="A298" t="str">
            <v>ОПИФ_Воронка оттока</v>
          </cell>
          <cell r="B298">
            <v>3.8</v>
          </cell>
        </row>
        <row r="299">
          <cell r="A299" t="str">
            <v>ОПИФ_Воронка привлечения</v>
          </cell>
          <cell r="B299">
            <v>7.6999999999999993</v>
          </cell>
        </row>
        <row r="300">
          <cell r="A300" t="str">
            <v>ОПИФ_Гипотезы и инициативы</v>
          </cell>
          <cell r="B300">
            <v>7.6</v>
          </cell>
        </row>
        <row r="301">
          <cell r="A301" t="str">
            <v>ОПИФ_Знание ключевых метрик</v>
          </cell>
          <cell r="B301">
            <v>3.4000000000000004</v>
          </cell>
        </row>
        <row r="302">
          <cell r="A302" t="str">
            <v>ОПИФ_Клиентский опыт</v>
          </cell>
          <cell r="B302">
            <v>3.8</v>
          </cell>
        </row>
        <row r="303">
          <cell r="A303" t="str">
            <v>ОПИФ_Механики</v>
          </cell>
          <cell r="B303">
            <v>1.9</v>
          </cell>
        </row>
        <row r="304">
          <cell r="A304" t="str">
            <v>ОПИФ_Цели</v>
          </cell>
          <cell r="B304">
            <v>3.8</v>
          </cell>
        </row>
        <row r="305">
          <cell r="A305" t="str">
            <v>Оплата улыбкой_Алерты</v>
          </cell>
          <cell r="B305">
            <v>2.5</v>
          </cell>
        </row>
        <row r="306">
          <cell r="A306" t="str">
            <v>Оплата улыбкой_Воронка оттока</v>
          </cell>
          <cell r="B306">
            <v>5.0999999999999996</v>
          </cell>
        </row>
        <row r="307">
          <cell r="A307" t="str">
            <v>Оплата улыбкой_Воронка привлечения</v>
          </cell>
          <cell r="B307">
            <v>3.8</v>
          </cell>
        </row>
        <row r="308">
          <cell r="A308" t="str">
            <v>Оплата улыбкой_Гипотезы и инициативы</v>
          </cell>
          <cell r="B308">
            <v>7.6</v>
          </cell>
        </row>
        <row r="309">
          <cell r="A309" t="str">
            <v>Оплата улыбкой_Знание ключевых метрик</v>
          </cell>
          <cell r="B309">
            <v>2.5</v>
          </cell>
        </row>
        <row r="310">
          <cell r="A310" t="str">
            <v>Оплата улыбкой_Механики</v>
          </cell>
          <cell r="B310">
            <v>5.0999999999999996</v>
          </cell>
        </row>
        <row r="311">
          <cell r="A311" t="str">
            <v>Оплата улыбкой_Цели</v>
          </cell>
          <cell r="B311">
            <v>7.5</v>
          </cell>
        </row>
        <row r="312">
          <cell r="A312" t="str">
            <v>ОСАГО_Воронка оттока</v>
          </cell>
          <cell r="B312">
            <v>2</v>
          </cell>
        </row>
        <row r="313">
          <cell r="A313" t="str">
            <v>ОСАГО_Воронка привлечения</v>
          </cell>
          <cell r="B313">
            <v>4</v>
          </cell>
        </row>
        <row r="314">
          <cell r="A314" t="str">
            <v>ОСАГО_Гипотезы и инициативы</v>
          </cell>
          <cell r="B314">
            <v>10</v>
          </cell>
        </row>
        <row r="315">
          <cell r="A315" t="str">
            <v>ОСАГО_Знание ключевых метрик</v>
          </cell>
          <cell r="B315">
            <v>3.8000000000000003</v>
          </cell>
        </row>
        <row r="316">
          <cell r="A316" t="str">
            <v>ОСАГО_Клиентский опыт</v>
          </cell>
          <cell r="B316">
            <v>2</v>
          </cell>
        </row>
        <row r="317">
          <cell r="A317" t="str">
            <v>ОСАГО_Механики</v>
          </cell>
          <cell r="B317">
            <v>10</v>
          </cell>
        </row>
        <row r="318">
          <cell r="A318" t="str">
            <v>ОСАГО_Цели</v>
          </cell>
          <cell r="B318">
            <v>8</v>
          </cell>
        </row>
        <row r="319">
          <cell r="A319" t="str">
            <v>Пакет услуг СберПервый_Алерты</v>
          </cell>
          <cell r="B319">
            <v>3.8</v>
          </cell>
        </row>
        <row r="320">
          <cell r="A320" t="str">
            <v>Пакет услуг СберПервый_Воронка оттока</v>
          </cell>
          <cell r="B320">
            <v>11.4</v>
          </cell>
        </row>
        <row r="321">
          <cell r="A321" t="str">
            <v>Пакет услуг СберПервый_Воронка привлечения</v>
          </cell>
          <cell r="B321">
            <v>14.3</v>
          </cell>
        </row>
        <row r="322">
          <cell r="A322" t="str">
            <v>Пакет услуг СберПервый_Гипотезы и инициативы</v>
          </cell>
          <cell r="B322">
            <v>9.5</v>
          </cell>
        </row>
        <row r="323">
          <cell r="A323" t="str">
            <v>Пакет услуг СберПервый_Знание ключевых метрик</v>
          </cell>
          <cell r="B323">
            <v>2.6</v>
          </cell>
        </row>
        <row r="324">
          <cell r="A324" t="str">
            <v>Пакет услуг СберПервый_Механики</v>
          </cell>
          <cell r="B324">
            <v>7.6</v>
          </cell>
        </row>
        <row r="325">
          <cell r="A325" t="str">
            <v>Пакет услуг СберПервый_Цели</v>
          </cell>
          <cell r="B325">
            <v>7.6</v>
          </cell>
        </row>
        <row r="326">
          <cell r="A326" t="str">
            <v>Пакет услуг СберПремьер_Алерты</v>
          </cell>
          <cell r="B326">
            <v>4</v>
          </cell>
        </row>
        <row r="327">
          <cell r="A327" t="str">
            <v>Пакет услуг СберПремьер_Воронка оттока</v>
          </cell>
          <cell r="B327">
            <v>6</v>
          </cell>
        </row>
        <row r="328">
          <cell r="A328" t="str">
            <v>Пакет услуг СберПремьер_Воронка привлечения</v>
          </cell>
          <cell r="B328">
            <v>5</v>
          </cell>
        </row>
        <row r="329">
          <cell r="A329" t="str">
            <v>Пакет услуг СберПремьер_Гипотезы и инициативы</v>
          </cell>
          <cell r="B329">
            <v>6</v>
          </cell>
        </row>
        <row r="330">
          <cell r="A330" t="str">
            <v>Пакет услуг СберПремьер_Знание ключевых метрик</v>
          </cell>
          <cell r="B330">
            <v>1</v>
          </cell>
        </row>
        <row r="331">
          <cell r="A331" t="str">
            <v>Пакет услуг СберПремьер_Клиентский опыт</v>
          </cell>
          <cell r="B331">
            <v>2</v>
          </cell>
        </row>
        <row r="332">
          <cell r="A332" t="str">
            <v>Пакет услуг СберПремьер_Механики</v>
          </cell>
          <cell r="B332">
            <v>12</v>
          </cell>
        </row>
        <row r="333">
          <cell r="A333" t="str">
            <v>Пакет услуг СберПремьер_Цели</v>
          </cell>
          <cell r="B333">
            <v>6</v>
          </cell>
        </row>
        <row r="334">
          <cell r="A334" t="str">
            <v>ПДС_Алерты</v>
          </cell>
          <cell r="B334">
            <v>4.0999999999999996</v>
          </cell>
        </row>
        <row r="335">
          <cell r="A335" t="str">
            <v>ПДС_Воронка оттока</v>
          </cell>
          <cell r="B335">
            <v>14.5</v>
          </cell>
        </row>
        <row r="336">
          <cell r="A336" t="str">
            <v>ПДС_Воронка привлечения</v>
          </cell>
          <cell r="B336">
            <v>6.1999999999999993</v>
          </cell>
        </row>
        <row r="337">
          <cell r="A337" t="str">
            <v>ПДС_Гипотезы и инициативы</v>
          </cell>
          <cell r="B337">
            <v>8.1999999999999993</v>
          </cell>
        </row>
        <row r="338">
          <cell r="A338" t="str">
            <v>ПДС_Знание ключевых метрик</v>
          </cell>
          <cell r="B338">
            <v>3.4000000000000004</v>
          </cell>
        </row>
        <row r="339">
          <cell r="A339" t="str">
            <v>ПДС_Механики</v>
          </cell>
          <cell r="B339">
            <v>6.1999999999999993</v>
          </cell>
        </row>
        <row r="340">
          <cell r="A340" t="str">
            <v>ПДС_Цели</v>
          </cell>
          <cell r="B340">
            <v>4.0999999999999996</v>
          </cell>
        </row>
        <row r="341">
          <cell r="A341" t="str">
            <v>Пенсионный продукт_Алерты</v>
          </cell>
          <cell r="B341">
            <v>4.0999999999999996</v>
          </cell>
        </row>
        <row r="342">
          <cell r="A342" t="str">
            <v>Пенсионный продукт_Воронка оттока</v>
          </cell>
          <cell r="B342">
            <v>6.3000000000000007</v>
          </cell>
        </row>
        <row r="343">
          <cell r="A343" t="str">
            <v>Пенсионный продукт_Воронка привлечения</v>
          </cell>
          <cell r="B343">
            <v>12.5</v>
          </cell>
        </row>
        <row r="344">
          <cell r="A344" t="str">
            <v>Пенсионный продукт_Гипотезы и инициативы</v>
          </cell>
          <cell r="B344">
            <v>12.299999999999999</v>
          </cell>
        </row>
        <row r="345">
          <cell r="A345" t="str">
            <v>Пенсионный продукт_Знание ключевых метрик</v>
          </cell>
          <cell r="B345">
            <v>0.8</v>
          </cell>
        </row>
        <row r="346">
          <cell r="A346" t="str">
            <v>Пенсионный продукт_Механики</v>
          </cell>
          <cell r="B346">
            <v>18.5</v>
          </cell>
        </row>
        <row r="347">
          <cell r="A347" t="str">
            <v>Пенсионный продукт_Цели</v>
          </cell>
          <cell r="B347">
            <v>12.299999999999999</v>
          </cell>
        </row>
        <row r="348">
          <cell r="A348" t="str">
            <v>Переводы по РФ_Алерты</v>
          </cell>
          <cell r="B348">
            <v>4</v>
          </cell>
        </row>
        <row r="349">
          <cell r="A349" t="str">
            <v>Переводы по РФ_Воронка оттока</v>
          </cell>
          <cell r="B349">
            <v>6</v>
          </cell>
        </row>
        <row r="350">
          <cell r="A350" t="str">
            <v>Переводы по РФ_Воронка привлечения</v>
          </cell>
          <cell r="B350">
            <v>8</v>
          </cell>
        </row>
        <row r="351">
          <cell r="A351" t="str">
            <v>Переводы по РФ_Гипотезы и инициативы</v>
          </cell>
          <cell r="B351">
            <v>4</v>
          </cell>
        </row>
        <row r="352">
          <cell r="A352" t="str">
            <v>Переводы по РФ_Знание ключевых метрик</v>
          </cell>
          <cell r="B352">
            <v>0.8</v>
          </cell>
        </row>
        <row r="353">
          <cell r="A353" t="str">
            <v>Переводы по РФ_Механики</v>
          </cell>
          <cell r="B353">
            <v>4</v>
          </cell>
        </row>
        <row r="354">
          <cell r="A354" t="str">
            <v>Переводы по РФ_Цели</v>
          </cell>
          <cell r="B354">
            <v>6</v>
          </cell>
        </row>
        <row r="355">
          <cell r="A355" t="str">
            <v>Переводы подарков_Алерты</v>
          </cell>
          <cell r="B355">
            <v>8.8000000000000007</v>
          </cell>
        </row>
        <row r="356">
          <cell r="A356" t="str">
            <v>Переводы подарков_Воронка оттока</v>
          </cell>
          <cell r="B356">
            <v>6.6000000000000005</v>
          </cell>
        </row>
        <row r="357">
          <cell r="A357" t="str">
            <v>Переводы подарков_Воронка привлечения</v>
          </cell>
          <cell r="B357">
            <v>3.3000000000000003</v>
          </cell>
        </row>
        <row r="358">
          <cell r="A358" t="str">
            <v>Переводы подарков_Гипотезы и инициативы</v>
          </cell>
          <cell r="B358">
            <v>13.200000000000001</v>
          </cell>
        </row>
        <row r="359">
          <cell r="A359" t="str">
            <v>Переводы подарков_Знание ключевых метрик</v>
          </cell>
          <cell r="B359">
            <v>1.1000000000000001</v>
          </cell>
        </row>
        <row r="360">
          <cell r="A360" t="str">
            <v>Переводы подарков_Механики</v>
          </cell>
          <cell r="B360">
            <v>20.900000000000002</v>
          </cell>
        </row>
        <row r="361">
          <cell r="A361" t="str">
            <v>Переводы подарков_Цели</v>
          </cell>
          <cell r="B361">
            <v>8.8000000000000007</v>
          </cell>
        </row>
        <row r="362">
          <cell r="A362" t="str">
            <v>Платежи_Алерты</v>
          </cell>
          <cell r="B362">
            <v>3.8</v>
          </cell>
        </row>
        <row r="363">
          <cell r="A363" t="str">
            <v>Платежи_Воронка оттока</v>
          </cell>
          <cell r="B363">
            <v>11.399999999999999</v>
          </cell>
        </row>
        <row r="364">
          <cell r="A364" t="str">
            <v>Платежи_Воронка привлечения</v>
          </cell>
          <cell r="B364">
            <v>11.4</v>
          </cell>
        </row>
        <row r="365">
          <cell r="A365" t="str">
            <v>Платежи_Гипотезы и инициативы</v>
          </cell>
          <cell r="B365">
            <v>13.3</v>
          </cell>
        </row>
        <row r="366">
          <cell r="A366" t="str">
            <v>Платежи_Знание ключевых метрик</v>
          </cell>
          <cell r="B366">
            <v>1.8</v>
          </cell>
        </row>
        <row r="367">
          <cell r="A367" t="str">
            <v>Платежи_Механики</v>
          </cell>
          <cell r="B367">
            <v>9.5</v>
          </cell>
        </row>
        <row r="368">
          <cell r="A368" t="str">
            <v>Платежи_Цели</v>
          </cell>
          <cell r="B368">
            <v>7.6</v>
          </cell>
        </row>
        <row r="369">
          <cell r="A369" t="str">
            <v>Потребительский кредит_Воронка оттока</v>
          </cell>
          <cell r="B369">
            <v>4</v>
          </cell>
        </row>
        <row r="370">
          <cell r="A370" t="str">
            <v>Потребительский кредит_Воронка привлечения</v>
          </cell>
          <cell r="B370">
            <v>4</v>
          </cell>
        </row>
        <row r="371">
          <cell r="A371" t="str">
            <v>Потребительский кредит_Знание ключевых метрик</v>
          </cell>
          <cell r="B371">
            <v>3.4000000000000004</v>
          </cell>
        </row>
        <row r="372">
          <cell r="A372" t="str">
            <v>Потребительский кредит_Клиентский опыт</v>
          </cell>
          <cell r="B372">
            <v>2</v>
          </cell>
        </row>
        <row r="373">
          <cell r="A373" t="str">
            <v>Потребительский кредит_Механики</v>
          </cell>
          <cell r="B373">
            <v>4</v>
          </cell>
        </row>
        <row r="374">
          <cell r="A374" t="str">
            <v>Потребительский кредит_Цели</v>
          </cell>
          <cell r="B374">
            <v>6</v>
          </cell>
        </row>
        <row r="375">
          <cell r="A375" t="str">
            <v>Рабочий возраст_Алерты</v>
          </cell>
          <cell r="B375">
            <v>4.5999999999999996</v>
          </cell>
        </row>
        <row r="376">
          <cell r="A376" t="str">
            <v>Рабочий возраст_Воронка оттока</v>
          </cell>
          <cell r="B376">
            <v>4.6999999999999993</v>
          </cell>
        </row>
        <row r="377">
          <cell r="A377" t="str">
            <v>Рабочий возраст_Воронка привлечения</v>
          </cell>
          <cell r="B377">
            <v>4.6999999999999993</v>
          </cell>
        </row>
        <row r="378">
          <cell r="A378" t="str">
            <v>Рабочий возраст_Гипотезы и инициативы</v>
          </cell>
          <cell r="B378">
            <v>6.8999999999999995</v>
          </cell>
        </row>
        <row r="379">
          <cell r="A379" t="str">
            <v>Рабочий возраст_Знание ключевых метрик</v>
          </cell>
          <cell r="B379">
            <v>1.2</v>
          </cell>
        </row>
        <row r="380">
          <cell r="A380" t="str">
            <v>Рабочий возраст_Механики</v>
          </cell>
          <cell r="B380">
            <v>9.1999999999999993</v>
          </cell>
        </row>
        <row r="381">
          <cell r="A381" t="str">
            <v>Рабочий возраст_Цели</v>
          </cell>
          <cell r="B381">
            <v>6.8999999999999995</v>
          </cell>
        </row>
        <row r="382">
          <cell r="A382" t="str">
            <v>СберKids_Алерты</v>
          </cell>
          <cell r="B382">
            <v>1.8</v>
          </cell>
        </row>
        <row r="383">
          <cell r="A383" t="str">
            <v>СберKids_Воронка онбординга</v>
          </cell>
          <cell r="B383">
            <v>5.4</v>
          </cell>
        </row>
        <row r="384">
          <cell r="A384" t="str">
            <v>СберKids_Воронка оттока</v>
          </cell>
          <cell r="B384">
            <v>4.5</v>
          </cell>
        </row>
        <row r="385">
          <cell r="A385" t="str">
            <v>СберKids_Воронка привлечения</v>
          </cell>
          <cell r="B385">
            <v>4.5</v>
          </cell>
        </row>
        <row r="386">
          <cell r="A386" t="str">
            <v>СберKids_Гипотезы и инициативы</v>
          </cell>
          <cell r="B386">
            <v>10.5</v>
          </cell>
        </row>
        <row r="387">
          <cell r="A387" t="str">
            <v>СберKids_Клиентский опыт</v>
          </cell>
          <cell r="B387">
            <v>1.8</v>
          </cell>
        </row>
        <row r="388">
          <cell r="A388" t="str">
            <v>СберKids_Механики</v>
          </cell>
          <cell r="B388">
            <v>7.2</v>
          </cell>
        </row>
        <row r="389">
          <cell r="A389" t="str">
            <v>СберKids_Цели</v>
          </cell>
          <cell r="B389">
            <v>7</v>
          </cell>
        </row>
        <row r="390">
          <cell r="A390" t="str">
            <v>СберИнвестор_Алерты</v>
          </cell>
          <cell r="B390">
            <v>7</v>
          </cell>
        </row>
        <row r="391">
          <cell r="A391" t="str">
            <v>СберИнвестор_Воронка онбординга</v>
          </cell>
          <cell r="B391">
            <v>2.7</v>
          </cell>
        </row>
        <row r="392">
          <cell r="A392" t="str">
            <v>СберИнвестор_Воронка оттока</v>
          </cell>
          <cell r="B392">
            <v>8</v>
          </cell>
        </row>
        <row r="393">
          <cell r="A393" t="str">
            <v>СберИнвестор_Воронка привлечения</v>
          </cell>
          <cell r="B393">
            <v>9.7000000000000011</v>
          </cell>
        </row>
        <row r="394">
          <cell r="A394" t="str">
            <v>СберИнвестор_Гипотезы и инициативы</v>
          </cell>
          <cell r="B394">
            <v>7</v>
          </cell>
        </row>
        <row r="395">
          <cell r="A395" t="str">
            <v>СберИнвестор_Клиентский опыт</v>
          </cell>
          <cell r="B395">
            <v>1.8</v>
          </cell>
        </row>
        <row r="396">
          <cell r="A396" t="str">
            <v>СберИнвестор_Механики</v>
          </cell>
          <cell r="B396">
            <v>7.1</v>
          </cell>
        </row>
        <row r="397">
          <cell r="A397" t="str">
            <v>СберИнвестор_Цели</v>
          </cell>
          <cell r="B397">
            <v>10.5</v>
          </cell>
        </row>
        <row r="398">
          <cell r="A398" t="str">
            <v>СберПрайм_Алерты</v>
          </cell>
          <cell r="B398">
            <v>6</v>
          </cell>
        </row>
        <row r="399">
          <cell r="A399" t="str">
            <v>СберПрайм_Воронка оттока</v>
          </cell>
          <cell r="B399">
            <v>1</v>
          </cell>
        </row>
        <row r="400">
          <cell r="A400" t="str">
            <v>СберПрайм_Воронка привлечения</v>
          </cell>
          <cell r="B400">
            <v>7</v>
          </cell>
        </row>
        <row r="401">
          <cell r="A401" t="str">
            <v>СберПрайм_Гипотезы и инициативы</v>
          </cell>
          <cell r="B401">
            <v>6</v>
          </cell>
        </row>
        <row r="402">
          <cell r="A402" t="str">
            <v>СберПрайм_Знание ключевых метрик</v>
          </cell>
          <cell r="B402">
            <v>3</v>
          </cell>
        </row>
        <row r="403">
          <cell r="A403" t="str">
            <v>СберПрайм_Клиентский опыт</v>
          </cell>
          <cell r="B403">
            <v>2</v>
          </cell>
        </row>
        <row r="404">
          <cell r="A404" t="str">
            <v>СберПрайм_Механики</v>
          </cell>
          <cell r="B404">
            <v>6</v>
          </cell>
        </row>
        <row r="405">
          <cell r="A405" t="str">
            <v>СберПрайм_Цели</v>
          </cell>
          <cell r="B405">
            <v>8</v>
          </cell>
        </row>
        <row r="406">
          <cell r="A406" t="str">
            <v>СберСова_Алерты</v>
          </cell>
          <cell r="B406">
            <v>2.8</v>
          </cell>
        </row>
        <row r="407">
          <cell r="A407" t="str">
            <v>СберСова_Воронка привлечения</v>
          </cell>
          <cell r="B407">
            <v>5.6</v>
          </cell>
        </row>
        <row r="408">
          <cell r="A408" t="str">
            <v>СберСова_Гипотезы и инициативы</v>
          </cell>
          <cell r="B408">
            <v>11.4</v>
          </cell>
        </row>
        <row r="409">
          <cell r="A409" t="str">
            <v>СберСова_Знание ключевых метрик</v>
          </cell>
          <cell r="B409">
            <v>1.4</v>
          </cell>
        </row>
        <row r="410">
          <cell r="A410" t="str">
            <v>СберСова_Механики</v>
          </cell>
          <cell r="B410">
            <v>14.2</v>
          </cell>
        </row>
        <row r="411">
          <cell r="A411" t="str">
            <v>СберСова_Цели</v>
          </cell>
          <cell r="B411">
            <v>17.100000000000001</v>
          </cell>
        </row>
        <row r="412">
          <cell r="A412" t="str">
            <v>СберСпасибо_Алерты</v>
          </cell>
          <cell r="B412">
            <v>2.6</v>
          </cell>
        </row>
        <row r="413">
          <cell r="A413" t="str">
            <v>СберСпасибо_Воронка оттока</v>
          </cell>
          <cell r="B413">
            <v>2.6</v>
          </cell>
        </row>
        <row r="414">
          <cell r="A414" t="str">
            <v>СберСпасибо_Воронка привлечения</v>
          </cell>
          <cell r="B414">
            <v>10.4</v>
          </cell>
        </row>
        <row r="415">
          <cell r="A415" t="str">
            <v>СберСпасибо_Гипотезы и инициативы</v>
          </cell>
          <cell r="B415">
            <v>2.6</v>
          </cell>
        </row>
        <row r="416">
          <cell r="A416" t="str">
            <v>СберСпасибо_Знание ключевых метрик</v>
          </cell>
          <cell r="B416">
            <v>1.3</v>
          </cell>
        </row>
        <row r="417">
          <cell r="A417" t="str">
            <v>СберСпасибо_Механики</v>
          </cell>
          <cell r="B417">
            <v>5.2</v>
          </cell>
        </row>
        <row r="418">
          <cell r="A418" t="str">
            <v>СберСпасибо_Цели</v>
          </cell>
          <cell r="B418">
            <v>7.8000000000000007</v>
          </cell>
        </row>
        <row r="419">
          <cell r="A419" t="str">
            <v>СберЧаевые_Алерты</v>
          </cell>
          <cell r="B419">
            <v>6.1999999999999993</v>
          </cell>
        </row>
        <row r="420">
          <cell r="A420" t="str">
            <v>СберЧаевые_Воронка оттока</v>
          </cell>
          <cell r="B420">
            <v>6.3000000000000007</v>
          </cell>
        </row>
        <row r="421">
          <cell r="A421" t="str">
            <v>СберЧаевые_Воронка привлечения</v>
          </cell>
          <cell r="B421">
            <v>11.5</v>
          </cell>
        </row>
        <row r="422">
          <cell r="A422" t="str">
            <v>СберЧаевые_Гипотезы и инициативы</v>
          </cell>
          <cell r="B422">
            <v>8.1999999999999993</v>
          </cell>
        </row>
        <row r="423">
          <cell r="A423" t="str">
            <v>СберЧаевые_Знание ключевых метрик</v>
          </cell>
          <cell r="B423">
            <v>3.4000000000000004</v>
          </cell>
        </row>
        <row r="424">
          <cell r="A424" t="str">
            <v>СберЧаевые_Механики</v>
          </cell>
          <cell r="B424">
            <v>20.5</v>
          </cell>
        </row>
        <row r="425">
          <cell r="A425" t="str">
            <v>СберЧаевые_Цели</v>
          </cell>
          <cell r="B425">
            <v>6.3000000000000007</v>
          </cell>
        </row>
        <row r="426">
          <cell r="A426" t="str">
            <v>СБОЛ_Алерты</v>
          </cell>
          <cell r="B426">
            <v>5.3</v>
          </cell>
        </row>
        <row r="427">
          <cell r="A427" t="str">
            <v>СБОЛ_Воронка онбординга</v>
          </cell>
          <cell r="B427">
            <v>7.1</v>
          </cell>
        </row>
        <row r="428">
          <cell r="A428" t="str">
            <v>СБОЛ_Воронка оттока</v>
          </cell>
          <cell r="B428">
            <v>4.5</v>
          </cell>
        </row>
        <row r="429">
          <cell r="A429" t="str">
            <v>СБОЛ_Воронка привлечения</v>
          </cell>
          <cell r="B429">
            <v>3.6</v>
          </cell>
        </row>
        <row r="430">
          <cell r="A430" t="str">
            <v>СБОЛ_Гипотезы и инициативы</v>
          </cell>
          <cell r="B430">
            <v>7</v>
          </cell>
        </row>
        <row r="431">
          <cell r="A431" t="str">
            <v>СБОЛ_Знание ключевых метрик</v>
          </cell>
          <cell r="B431">
            <v>0.9</v>
          </cell>
        </row>
        <row r="432">
          <cell r="A432" t="str">
            <v>СБОЛ_Клиентский опыт</v>
          </cell>
          <cell r="B432">
            <v>1.8</v>
          </cell>
        </row>
        <row r="433">
          <cell r="A433" t="str">
            <v>СБОЛ_Механики</v>
          </cell>
          <cell r="B433">
            <v>2.7</v>
          </cell>
        </row>
        <row r="434">
          <cell r="A434" t="str">
            <v>СБОЛ_Цели</v>
          </cell>
          <cell r="B434">
            <v>7</v>
          </cell>
        </row>
        <row r="435">
          <cell r="A435" t="str">
            <v>Сделка вторичка_Алерты</v>
          </cell>
          <cell r="B435">
            <v>5.6999999999999993</v>
          </cell>
        </row>
        <row r="436">
          <cell r="A436" t="str">
            <v>Сделка вторичка_Воронка оттока</v>
          </cell>
          <cell r="B436">
            <v>5.6999999999999993</v>
          </cell>
        </row>
        <row r="437">
          <cell r="A437" t="str">
            <v>Сделка вторичка_Воронка привлечения</v>
          </cell>
          <cell r="B437">
            <v>5.6999999999999993</v>
          </cell>
        </row>
        <row r="438">
          <cell r="A438" t="str">
            <v>Сделка вторичка_Знание ключевых метрик</v>
          </cell>
          <cell r="B438">
            <v>1</v>
          </cell>
        </row>
        <row r="439">
          <cell r="A439" t="str">
            <v>Сделка вторичка_Механики</v>
          </cell>
          <cell r="B439">
            <v>3.8</v>
          </cell>
        </row>
        <row r="440">
          <cell r="A440" t="str">
            <v>Сделка вторичка_Цели</v>
          </cell>
          <cell r="B440">
            <v>3.8</v>
          </cell>
        </row>
        <row r="441">
          <cell r="A441" t="str">
            <v>Сделка ИЖС_Алерты</v>
          </cell>
          <cell r="B441">
            <v>6</v>
          </cell>
        </row>
        <row r="442">
          <cell r="A442" t="str">
            <v>Сделка ИЖС_Воронка оттока</v>
          </cell>
          <cell r="B442">
            <v>12</v>
          </cell>
        </row>
        <row r="443">
          <cell r="A443" t="str">
            <v>Сделка ИЖС_Воронка привлечения</v>
          </cell>
          <cell r="B443">
            <v>6</v>
          </cell>
        </row>
        <row r="444">
          <cell r="A444" t="str">
            <v>Сделка ИЖС_Гипотезы и инициативы</v>
          </cell>
          <cell r="B444">
            <v>6</v>
          </cell>
        </row>
        <row r="445">
          <cell r="A445" t="str">
            <v>Сделка ИЖС_Знание ключевых метрик</v>
          </cell>
          <cell r="B445">
            <v>1</v>
          </cell>
        </row>
        <row r="446">
          <cell r="A446" t="str">
            <v>Сделка ИЖС_Механики</v>
          </cell>
          <cell r="B446">
            <v>12</v>
          </cell>
        </row>
        <row r="447">
          <cell r="A447" t="str">
            <v>Сделка ИЖС_Цели</v>
          </cell>
          <cell r="B447">
            <v>4</v>
          </cell>
        </row>
        <row r="448">
          <cell r="A448" t="str">
            <v>Сделка с Первичным жильём_Алерты</v>
          </cell>
          <cell r="B448">
            <v>4.0999999999999996</v>
          </cell>
        </row>
        <row r="449">
          <cell r="A449" t="str">
            <v>Сделка с Первичным жильём_Воронка оттока</v>
          </cell>
          <cell r="B449">
            <v>2.1</v>
          </cell>
        </row>
        <row r="450">
          <cell r="A450" t="str">
            <v>Сделка с Первичным жильём_Воронка привлечения</v>
          </cell>
          <cell r="B450">
            <v>6.3000000000000007</v>
          </cell>
        </row>
        <row r="451">
          <cell r="A451" t="str">
            <v>Сделка с Первичным жильём_Гипотезы и инициативы</v>
          </cell>
          <cell r="B451">
            <v>6.1999999999999993</v>
          </cell>
        </row>
        <row r="452">
          <cell r="A452" t="str">
            <v>Сделка с Первичным жильём_Механики</v>
          </cell>
          <cell r="B452">
            <v>8.2999999999999989</v>
          </cell>
        </row>
        <row r="453">
          <cell r="A453" t="str">
            <v>Сделка с Первичным жильём_Цели</v>
          </cell>
          <cell r="B453">
            <v>4.2</v>
          </cell>
        </row>
        <row r="454">
          <cell r="A454" t="str">
            <v>Сейфы_Алерты</v>
          </cell>
          <cell r="B454">
            <v>4</v>
          </cell>
        </row>
        <row r="455">
          <cell r="A455" t="str">
            <v>Сейфы_Воронка оттока</v>
          </cell>
          <cell r="B455">
            <v>8</v>
          </cell>
        </row>
        <row r="456">
          <cell r="A456" t="str">
            <v>Сейфы_Воронка привлечения</v>
          </cell>
          <cell r="B456">
            <v>14</v>
          </cell>
        </row>
        <row r="457">
          <cell r="A457" t="str">
            <v>Сейфы_Гипотезы и инициативы</v>
          </cell>
          <cell r="B457">
            <v>4</v>
          </cell>
        </row>
        <row r="458">
          <cell r="A458" t="str">
            <v>Сейфы_Знание ключевых метрик</v>
          </cell>
          <cell r="B458">
            <v>1</v>
          </cell>
        </row>
        <row r="459">
          <cell r="A459" t="str">
            <v>Сейфы_Механики</v>
          </cell>
          <cell r="B459">
            <v>16</v>
          </cell>
        </row>
        <row r="460">
          <cell r="A460" t="str">
            <v>Сейфы_Цели</v>
          </cell>
          <cell r="B460">
            <v>6</v>
          </cell>
        </row>
        <row r="461">
          <cell r="A461" t="str">
            <v>Слитки_Алерты</v>
          </cell>
          <cell r="B461">
            <v>4.4000000000000004</v>
          </cell>
        </row>
        <row r="462">
          <cell r="A462" t="str">
            <v>Слитки_Воронка оттока</v>
          </cell>
          <cell r="B462">
            <v>13</v>
          </cell>
        </row>
        <row r="463">
          <cell r="A463" t="str">
            <v>Слитки_Воронка привлечения</v>
          </cell>
          <cell r="B463">
            <v>12.100000000000001</v>
          </cell>
        </row>
        <row r="464">
          <cell r="A464" t="str">
            <v>Слитки_Гипотезы и инициативы</v>
          </cell>
          <cell r="B464">
            <v>12.899999999999999</v>
          </cell>
        </row>
        <row r="465">
          <cell r="A465" t="str">
            <v>Слитки_Знание ключевых метрик</v>
          </cell>
          <cell r="B465">
            <v>4.7</v>
          </cell>
        </row>
        <row r="466">
          <cell r="A466" t="str">
            <v>Слитки_Механики</v>
          </cell>
          <cell r="B466">
            <v>15.099999999999998</v>
          </cell>
        </row>
        <row r="467">
          <cell r="A467" t="str">
            <v>Слитки_Цели</v>
          </cell>
          <cell r="B467">
            <v>8.6</v>
          </cell>
        </row>
        <row r="468">
          <cell r="A468" t="str">
            <v>Страхование жизни_Воронка оттока</v>
          </cell>
          <cell r="B468">
            <v>12</v>
          </cell>
        </row>
        <row r="469">
          <cell r="A469" t="str">
            <v>Страхование жизни_Воронка привлечения</v>
          </cell>
          <cell r="B469">
            <v>14</v>
          </cell>
        </row>
        <row r="470">
          <cell r="A470" t="str">
            <v>Страхование жизни_Гипотезы и инициативы</v>
          </cell>
          <cell r="B470">
            <v>8</v>
          </cell>
        </row>
        <row r="471">
          <cell r="A471" t="str">
            <v>Страхование жизни_Знание ключевых метрик</v>
          </cell>
          <cell r="B471">
            <v>4.2</v>
          </cell>
        </row>
        <row r="472">
          <cell r="A472" t="str">
            <v>Страхование жизни_Механики</v>
          </cell>
          <cell r="B472">
            <v>14</v>
          </cell>
        </row>
        <row r="473">
          <cell r="A473" t="str">
            <v>Страхование жизни_Цели</v>
          </cell>
          <cell r="B473">
            <v>4</v>
          </cell>
        </row>
        <row r="474">
          <cell r="A474" t="str">
            <v>Страхование залога_Алерты</v>
          </cell>
          <cell r="B474">
            <v>4.0999999999999996</v>
          </cell>
        </row>
        <row r="475">
          <cell r="A475" t="str">
            <v>Страхование залога_Воронка оттока</v>
          </cell>
          <cell r="B475">
            <v>4.2</v>
          </cell>
        </row>
        <row r="476">
          <cell r="A476" t="str">
            <v>Страхование залога_Воронка привлечения</v>
          </cell>
          <cell r="B476">
            <v>12.6</v>
          </cell>
        </row>
        <row r="477">
          <cell r="A477" t="str">
            <v>Страхование залога_Гипотезы и инициативы</v>
          </cell>
          <cell r="B477">
            <v>12.299999999999999</v>
          </cell>
        </row>
        <row r="478">
          <cell r="A478" t="str">
            <v>Страхование залога_Знание ключевых метрик</v>
          </cell>
          <cell r="B478">
            <v>1</v>
          </cell>
        </row>
        <row r="479">
          <cell r="A479" t="str">
            <v>Страхование залога_Механики</v>
          </cell>
          <cell r="B479">
            <v>8.2999999999999989</v>
          </cell>
        </row>
        <row r="480">
          <cell r="A480" t="str">
            <v>Страхование залога_Цели</v>
          </cell>
          <cell r="B480">
            <v>4.0999999999999996</v>
          </cell>
        </row>
        <row r="481">
          <cell r="A481" t="str">
            <v>Сценарии оплаты_Алерты</v>
          </cell>
          <cell r="B481">
            <v>4</v>
          </cell>
        </row>
        <row r="482">
          <cell r="A482" t="str">
            <v>Сценарии оплаты_Воронка оттока</v>
          </cell>
          <cell r="B482">
            <v>5</v>
          </cell>
        </row>
        <row r="483">
          <cell r="A483" t="str">
            <v>Сценарии оплаты_Воронка привлечения</v>
          </cell>
          <cell r="B483">
            <v>11</v>
          </cell>
        </row>
        <row r="484">
          <cell r="A484" t="str">
            <v>Сценарии оплаты_Гипотезы и инициативы</v>
          </cell>
          <cell r="B484">
            <v>12</v>
          </cell>
        </row>
        <row r="485">
          <cell r="A485" t="str">
            <v>Сценарии оплаты_Знание ключевых метрик</v>
          </cell>
          <cell r="B485">
            <v>1</v>
          </cell>
        </row>
        <row r="486">
          <cell r="A486" t="str">
            <v>Сценарии оплаты_Механики</v>
          </cell>
          <cell r="B486">
            <v>8</v>
          </cell>
        </row>
        <row r="487">
          <cell r="A487" t="str">
            <v>Сценарии оплаты_Цели</v>
          </cell>
          <cell r="B487">
            <v>8</v>
          </cell>
        </row>
        <row r="488">
          <cell r="A488" t="str">
            <v>Телемаркетинг_Алерты</v>
          </cell>
          <cell r="B488">
            <v>2.7</v>
          </cell>
        </row>
        <row r="489">
          <cell r="A489" t="str">
            <v>Телемаркетинг_Гипотезы и инициативы</v>
          </cell>
          <cell r="B489">
            <v>5.4</v>
          </cell>
        </row>
        <row r="490">
          <cell r="A490" t="str">
            <v>Телемаркетинг_Механики</v>
          </cell>
          <cell r="B490">
            <v>2.7</v>
          </cell>
        </row>
        <row r="491">
          <cell r="A491" t="str">
            <v>Телемаркетинг_Цели</v>
          </cell>
          <cell r="B491">
            <v>5.4</v>
          </cell>
        </row>
        <row r="492">
          <cell r="A492" t="str">
            <v>Торговый Эквайринг_Алерты</v>
          </cell>
          <cell r="B492">
            <v>4.8</v>
          </cell>
        </row>
        <row r="493">
          <cell r="A493" t="str">
            <v>Торговый Эквайринг_Воронка оттока</v>
          </cell>
          <cell r="B493">
            <v>2.4</v>
          </cell>
        </row>
        <row r="494">
          <cell r="A494" t="str">
            <v>Торговый Эквайринг_Воронка привлечения</v>
          </cell>
          <cell r="B494">
            <v>4.8</v>
          </cell>
        </row>
        <row r="495">
          <cell r="A495" t="str">
            <v>Торговый Эквайринг_Гипотезы и инициативы</v>
          </cell>
          <cell r="B495">
            <v>4.8</v>
          </cell>
        </row>
        <row r="496">
          <cell r="A496" t="str">
            <v>Торговый Эквайринг_Знание ключевых метрик</v>
          </cell>
          <cell r="B496">
            <v>1.2</v>
          </cell>
        </row>
        <row r="497">
          <cell r="A497" t="str">
            <v>Торговый Эквайринг_Механики</v>
          </cell>
          <cell r="B497">
            <v>4.8</v>
          </cell>
        </row>
        <row r="498">
          <cell r="A498" t="str">
            <v>Торговый Эквайринг_Цели</v>
          </cell>
          <cell r="B498">
            <v>14.399999999999999</v>
          </cell>
        </row>
        <row r="499">
          <cell r="A499" t="str">
            <v>Трансграничные переводы_Алерты</v>
          </cell>
          <cell r="B499">
            <v>4.2</v>
          </cell>
        </row>
        <row r="500">
          <cell r="A500" t="str">
            <v>Трансграничные переводы_Воронка оттока</v>
          </cell>
          <cell r="B500">
            <v>13.700000000000001</v>
          </cell>
        </row>
        <row r="501">
          <cell r="A501" t="str">
            <v>Трансграничные переводы_Воронка привлечения</v>
          </cell>
          <cell r="B501">
            <v>4.2</v>
          </cell>
        </row>
        <row r="502">
          <cell r="A502" t="str">
            <v>Трансграничные переводы_Гипотезы и инициативы</v>
          </cell>
          <cell r="B502">
            <v>12.600000000000001</v>
          </cell>
        </row>
        <row r="503">
          <cell r="A503" t="str">
            <v>Трансграничные переводы_Механики</v>
          </cell>
          <cell r="B503">
            <v>16.8</v>
          </cell>
        </row>
        <row r="504">
          <cell r="A504" t="str">
            <v>Трансграничные переводы_Цели</v>
          </cell>
          <cell r="B504">
            <v>10.5</v>
          </cell>
        </row>
        <row r="505">
          <cell r="A505" t="str">
            <v>Трансграничный эквайринг_Алерты</v>
          </cell>
          <cell r="B505">
            <v>4.8</v>
          </cell>
        </row>
        <row r="506">
          <cell r="A506" t="str">
            <v>Трансграничный эквайринг_Воронка оттока</v>
          </cell>
          <cell r="B506">
            <v>2.4</v>
          </cell>
        </row>
        <row r="507">
          <cell r="A507" t="str">
            <v>Трансграничный эквайринг_Воронка привлечения</v>
          </cell>
          <cell r="B507">
            <v>7.1999999999999993</v>
          </cell>
        </row>
        <row r="508">
          <cell r="A508" t="str">
            <v>Трансграничный эквайринг_Гипотезы и инициативы</v>
          </cell>
          <cell r="B508">
            <v>14.399999999999999</v>
          </cell>
        </row>
        <row r="509">
          <cell r="A509" t="str">
            <v>Трансграничный эквайринг_Знание ключевых метрик</v>
          </cell>
          <cell r="B509">
            <v>0.5</v>
          </cell>
        </row>
        <row r="510">
          <cell r="A510" t="str">
            <v>Трансграничный эквайринг_Механики</v>
          </cell>
          <cell r="B510">
            <v>21.6</v>
          </cell>
        </row>
        <row r="511">
          <cell r="A511" t="str">
            <v>Трансграничный эквайринг_Цели</v>
          </cell>
          <cell r="B511">
            <v>14.399999999999999</v>
          </cell>
        </row>
        <row r="512">
          <cell r="A512" t="str">
            <v>Транспортный эквайринг_Алерты</v>
          </cell>
          <cell r="B512">
            <v>5.0999999999999996</v>
          </cell>
        </row>
        <row r="513">
          <cell r="A513" t="str">
            <v>Транспортный эквайринг_Воронка оттока</v>
          </cell>
          <cell r="B513">
            <v>13.999999999999998</v>
          </cell>
        </row>
        <row r="514">
          <cell r="A514" t="str">
            <v>Транспортный эквайринг_Воронка привлечения</v>
          </cell>
          <cell r="B514">
            <v>10.199999999999999</v>
          </cell>
        </row>
        <row r="515">
          <cell r="A515" t="str">
            <v>Транспортный эквайринг_Гипотезы и инициативы</v>
          </cell>
          <cell r="B515">
            <v>15.299999999999999</v>
          </cell>
        </row>
        <row r="516">
          <cell r="A516" t="str">
            <v>Транспортный эквайринг_Знание ключевых метрик</v>
          </cell>
          <cell r="B516">
            <v>1.3</v>
          </cell>
        </row>
        <row r="517">
          <cell r="A517" t="str">
            <v>Транспортный эквайринг_Механики</v>
          </cell>
          <cell r="B517">
            <v>20.299999999999997</v>
          </cell>
        </row>
        <row r="518">
          <cell r="A518" t="str">
            <v>Транспортный эквайринг_Цели</v>
          </cell>
          <cell r="B518">
            <v>10.1</v>
          </cell>
        </row>
        <row r="519">
          <cell r="A519" t="str">
            <v>Уведомления_Алерты</v>
          </cell>
          <cell r="B519">
            <v>7.4</v>
          </cell>
        </row>
        <row r="520">
          <cell r="A520" t="str">
            <v>Уведомления_Воронка онбординга</v>
          </cell>
          <cell r="B520">
            <v>8.3000000000000007</v>
          </cell>
        </row>
        <row r="521">
          <cell r="A521" t="str">
            <v>Уведомления_Воронка оттока</v>
          </cell>
          <cell r="B521">
            <v>5.4</v>
          </cell>
        </row>
        <row r="522">
          <cell r="A522" t="str">
            <v>Уведомления_Воронка привлечения</v>
          </cell>
          <cell r="B522">
            <v>4.5</v>
          </cell>
        </row>
        <row r="523">
          <cell r="A523" t="str">
            <v>Уведомления_Гипотезы и инициативы</v>
          </cell>
          <cell r="B523">
            <v>7.4</v>
          </cell>
        </row>
        <row r="524">
          <cell r="A524" t="str">
            <v>Уведомления_Знание ключевых метрик</v>
          </cell>
          <cell r="B524">
            <v>0.9</v>
          </cell>
        </row>
        <row r="525">
          <cell r="A525" t="str">
            <v>Уведомления_Клиентский опыт</v>
          </cell>
          <cell r="B525">
            <v>3.7</v>
          </cell>
        </row>
        <row r="526">
          <cell r="A526" t="str">
            <v>Уведомления_Механики</v>
          </cell>
          <cell r="B526">
            <v>7.3</v>
          </cell>
        </row>
        <row r="527">
          <cell r="A527" t="str">
            <v>Уведомления_Цели</v>
          </cell>
          <cell r="B527">
            <v>1.8</v>
          </cell>
        </row>
        <row r="528">
          <cell r="A528" t="str">
            <v>ЦФА_Алерты</v>
          </cell>
          <cell r="B528">
            <v>5.2</v>
          </cell>
        </row>
        <row r="529">
          <cell r="A529" t="str">
            <v>ЦФА_Воронка оттока</v>
          </cell>
          <cell r="B529">
            <v>13</v>
          </cell>
        </row>
        <row r="530">
          <cell r="A530" t="str">
            <v>ЦФА_Воронка привлечения</v>
          </cell>
          <cell r="B530">
            <v>23.400000000000002</v>
          </cell>
        </row>
        <row r="531">
          <cell r="A531" t="str">
            <v>ЦФА_Гипотезы и инициативы</v>
          </cell>
          <cell r="B531">
            <v>10.4</v>
          </cell>
        </row>
        <row r="532">
          <cell r="A532" t="str">
            <v>ЦФА_Знание ключевых метрик</v>
          </cell>
          <cell r="B532">
            <v>4.3</v>
          </cell>
        </row>
        <row r="533">
          <cell r="A533" t="str">
            <v>ЦФА_Механики</v>
          </cell>
          <cell r="B533">
            <v>5.2</v>
          </cell>
        </row>
        <row r="534">
          <cell r="A534" t="str">
            <v>ЦФА_Цели</v>
          </cell>
          <cell r="B534">
            <v>10.4</v>
          </cell>
        </row>
        <row r="535">
          <cell r="A535" t="str">
            <v>Чат_Гипотезы и инициативы</v>
          </cell>
          <cell r="B535">
            <v>4.9000000000000004</v>
          </cell>
        </row>
        <row r="536">
          <cell r="A536" t="str">
            <v>Чат_Знание ключевых метрик</v>
          </cell>
          <cell r="B536">
            <v>1.2</v>
          </cell>
        </row>
        <row r="537">
          <cell r="A537" t="str">
            <v>Чат_Механики</v>
          </cell>
          <cell r="B537">
            <v>19.600000000000001</v>
          </cell>
        </row>
        <row r="538">
          <cell r="A538" t="str">
            <v>Чат_Цели</v>
          </cell>
          <cell r="B538">
            <v>2.4</v>
          </cell>
        </row>
        <row r="539">
          <cell r="A539" t="str">
            <v>Школьные сервисы_Алерты</v>
          </cell>
          <cell r="B539">
            <v>6.8999999999999995</v>
          </cell>
        </row>
        <row r="540">
          <cell r="A540" t="str">
            <v>Школьные сервисы_Воронка оттока</v>
          </cell>
          <cell r="B540">
            <v>6.8999999999999995</v>
          </cell>
        </row>
        <row r="541">
          <cell r="A541" t="str">
            <v>Школьные сервисы_Воронка привлечения</v>
          </cell>
          <cell r="B541">
            <v>5.6999999999999993</v>
          </cell>
        </row>
        <row r="542">
          <cell r="A542" t="str">
            <v>Школьные сервисы_Гипотезы и инициативы</v>
          </cell>
          <cell r="B542">
            <v>13.799999999999999</v>
          </cell>
        </row>
        <row r="543">
          <cell r="A543" t="str">
            <v>Школьные сервисы_Знание ключевых метрик</v>
          </cell>
          <cell r="B543">
            <v>1.1000000000000001</v>
          </cell>
        </row>
        <row r="544">
          <cell r="A544" t="str">
            <v>Школьные сервисы_Механики</v>
          </cell>
          <cell r="B544">
            <v>16.100000000000001</v>
          </cell>
        </row>
        <row r="545">
          <cell r="A545" t="str">
            <v>Школьные сервисы_Цели</v>
          </cell>
          <cell r="B545">
            <v>13.799999999999999</v>
          </cell>
        </row>
        <row r="546">
          <cell r="A546" t="str">
            <v>Общий итог</v>
          </cell>
          <cell r="B546">
            <v>3886.0999999999995</v>
          </cell>
        </row>
      </sheetData>
      <sheetData sheetId="2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Рычкова Ирина Юрьевна" refreshedDate="46272.52047118056" createdVersion="6" refreshedVersion="6" minRefreshableVersion="3" recordCount="312" r:id="rId1">
  <cacheSource type="worksheet">
    <worksheetSource ref="A1:J313" sheet="УБ"/>
  </cacheSource>
  <cacheFields count="10">
    <cacheField name="ключ" uniqueList="1" numFmtId="0" sqlType="0" hierarchy="0" level="0" databaseField="1">
      <sharedItems count="92" containsBlank="1">
        <s v="СберСова_Цели"/>
        <m/>
        <s v="СберСова_Знание ключевых метрик"/>
        <s v="СберСова_Воронка привлечения"/>
        <s v="СберСова_Механики"/>
        <s v="БПИФ_Знание ключевых метрик"/>
        <s v="БПИФ_Воронка оттока"/>
        <s v="БПИФ_Воронка привлечения"/>
        <s v="БПИФ_Цели"/>
        <s v="Брокерский счет_Знание ключевых метрик"/>
        <s v="Брокерский счет_Цели"/>
        <s v="Брокерский счет_Гипотезы и инициативы"/>
        <s v="ВЗР_Знание ключевых метрик"/>
        <s v="ВЗР_Воронка привлечения"/>
        <s v="ВЗР_Алерты"/>
        <s v="ВЗР_Гипотезы и инициативы"/>
        <s v="ВЗР_Цели"/>
        <s v="ВЗР_Воронка оттока"/>
        <s v="ВЗР_Механики"/>
        <s v="ВЗР_Клиентский опыт"/>
        <s v="ДСЖ ПК_Знание ключевых метрик"/>
        <s v="ДСЖ ПК_Цели"/>
        <s v="ДСЖ КК_Цели"/>
        <s v="ДСЖ КК_Знание ключевых метрик"/>
        <s v="ДСЖ КК_Воронка оттока"/>
        <s v="ДСЖ КК_Воронка привлечения"/>
        <s v="ДСЖ КК_Алерты"/>
        <s v="ДСЖ КК_Механики"/>
        <s v="ДСЖ КК_Гипотезы и инициативы"/>
        <s v="Залоговое страхование (корпоративное страхование)_Воронка привлечения"/>
        <s v="Залоговое страхование (корпоративное страхование)_Гипотезы и инициативы"/>
        <s v="Залоговое страхование (корпоративное страхование)_Цели"/>
        <s v="Залоговое страхование (корпоративное страхование)_Воронка оттока"/>
        <s v="Залоговое страхование (корпоративное страхование)_Механики"/>
        <s v="ЗЛС_Знание ключевых метрик"/>
        <s v="ЗЛС_Воронка привлечения"/>
        <s v="ЗЛС_Алерты"/>
        <s v="ЗЛС_Гипотезы и инициативы"/>
        <s v="ЗЛС_Цели"/>
        <s v="ЗЛС_Воронка оттока"/>
        <s v="ЗЛС_Механики"/>
        <s v="ЗПИФ_Знание ключевых метрик"/>
        <s v="ЗПИФ_Воронка привлечения"/>
        <s v="ЗПИФ_Воронка оттока"/>
        <s v="ЗПИФ_Цели"/>
        <s v="ЗПИФ_Гипотезы и инициативы"/>
        <s v="ЗПИФ_Механики"/>
        <s v="ИнвестКопилка_Знание ключевых метрик"/>
        <s v="ИнвестКопилка_Цели"/>
        <s v="ИнвестКопилка_Воронка оттока"/>
        <s v="ИнвестКопилка_Алерты"/>
        <s v="ИнвестКопилка_Механики"/>
        <s v="ИнвестКопилка_Гипотезы и инициативы"/>
        <s v="ИнвестКопилка_Воронка привлечения"/>
        <s v="ИСЖ_Цели"/>
        <s v="ИСЖ_Знание ключевых метрик"/>
        <s v="ИСЖ_Воронка привлечения"/>
        <s v="ИСЖ_Воронка оттока"/>
        <s v="ИСЖ_Гипотезы и инициативы"/>
        <s v="КАСКО_Знание ключевых метрик"/>
        <s v="КАСКО_Цели"/>
        <s v="КАСКО_Воронка привлечения"/>
        <s v="КАСКО_Гипотезы и инициативы"/>
        <s v="КАСКО_Механики"/>
        <s v="НСЖ_Цели"/>
        <s v="НСЖ_Знание ключевых метрик"/>
        <s v="НСЖ_Гипотезы и инициативы"/>
        <s v="НСЖ_Воронка оттока"/>
        <s v="НСЖ_Воронка привлечения"/>
        <s v="ОПИФ_Знание ключевых метрик"/>
        <s v="ОПИФ_Воронка привлечения"/>
        <s v="ОПИФ_Цели"/>
        <s v="ОПИФ_Воронка оттока"/>
        <s v="ОПИФ_Механики"/>
        <s v="ОПИФ_Гипотезы и инициативы"/>
        <s v="ОСАГО_Знание ключевых метрик"/>
        <s v="ОСАГО_Цели"/>
        <s v="ОСАГО_Гипотезы и инициативы"/>
        <s v="ОСАГО_Механики"/>
        <s v="ПДС_Знание ключевых метрик"/>
        <s v="ПДС_Цели"/>
        <s v="ПДС_Воронка оттока"/>
        <s v="ПДС_Воронка привлечения"/>
        <s v="Страхование залога_Знание ключевых метрик"/>
        <s v="Страхование залога_Цели"/>
        <s v="Страхование залога_Воронка привлечения"/>
        <s v="Страхование залога_Воронка оттока"/>
        <s v="ЦФА_Механики"/>
        <s v="ЦФА_Знание ключевых метрик"/>
        <s v="ЦФА_Гипотезы и инициативы"/>
        <s v="ЦФА_Воронка оттока"/>
        <s v="ИнвестКопилка_Кампейнинг" u="1"/>
      </sharedItems>
    </cacheField>
    <cacheField name="Продукт" uniqueList="1" numFmtId="0" sqlType="0" hierarchy="0" level="0" databaseField="1">
      <sharedItems count="0" containsBlank="1"/>
    </cacheField>
    <cacheField name="Квартал" uniqueList="1" numFmtId="0" sqlType="0" hierarchy="0" level="0" databaseField="1">
      <sharedItems count="0" containsBlank="1"/>
    </cacheField>
    <cacheField name="Блок для развития" uniqueList="1" numFmtId="0" sqlType="0" hierarchy="0" level="0" databaseField="1">
      <sharedItems count="0" containsBlank="1"/>
    </cacheField>
    <cacheField name="Планируемое мероприятие" uniqueList="1" numFmtId="0" sqlType="0" hierarchy="0" level="0" databaseField="1">
      <sharedItems count="0" containsBlank="1" longText="1"/>
    </cacheField>
    <cacheField name="Срок исполнения" uniqueList="1" numFmtId="0" sqlType="0" hierarchy="0" level="0" databaseField="1">
      <sharedItems count="0" containsBlank="1" containsDate="1" containsMixedTypes="1" minDate="2026-07-27T00:00:00" maxDate="2027-01-01T00:00:00"/>
    </cacheField>
    <cacheField name="Ожидание прироста индекса DD, п.п." uniqueList="1" numFmtId="0" sqlType="0" hierarchy="0" level="0" databaseField="1">
      <sharedItems count="0" containsBlank="1" containsNumber="1" containsString="0" minValue="0.5" maxValue="12"/>
    </cacheField>
    <cacheField name="Статус" uniqueList="1" numFmtId="0" sqlType="0" hierarchy="0" level="0" databaseField="1">
      <sharedItems count="0" containsBlank="1"/>
    </cacheField>
    <cacheField name="Контактное лицо (ФИО)" uniqueList="1" numFmtId="0" sqlType="0" hierarchy="0" level="0" databaseField="1">
      <sharedItems count="0" containsBlank="1"/>
    </cacheField>
    <cacheField name="Верификация мероприятий Штабом B2C" uniqueList="1" numFmtId="0" sqlType="0" hierarchy="0" level="0" databaseField="1">
      <sharedItems count="0" containsBlank="1" longText="1"/>
    </cacheField>
  </cacheFields>
</pivotCacheDefinition>
</file>

<file path=xl/pivotCache/pivotCacheRecords1.xml><?xml version="1.0" encoding="utf-8"?>
<pivotCacheRecords xmlns="http://schemas.openxmlformats.org/spreadsheetml/2006/main" count="312">
  <r>
    <x v="0"/>
    <s v="СберСова"/>
    <s v="3Q2026"/>
    <s v="Цели"/>
    <s v="Цели выведены в Навигатор"/>
    <d v="2026-07-27T00:00:00"/>
    <n v="5.7"/>
    <s v="Выполнен"/>
    <s v="Волков Дмитрий Александрович"/>
    <m/>
  </r>
  <r>
    <x v="1"/>
    <s v="СберСова"/>
    <s v="3Q2026"/>
    <s v="Цели"/>
    <s v="Цели декомпозированы на драйверы и выведены в Навигатор"/>
    <d v="2026-07-27T00:00:00"/>
    <n v="5.7"/>
    <s v="Выполнен"/>
    <s v="Волков Дмитрий Александрович"/>
    <m/>
  </r>
  <r>
    <x v="1"/>
    <s v="СберСова"/>
    <s v="3Q2026"/>
    <s v="Цели"/>
    <s v="Сформированы прогнозные значения и выведены в Навигатор"/>
    <d v="2026-07-27T00:00:00"/>
    <n v="5.7"/>
    <s v="Выполнен"/>
    <s v="Волков Дмитрий Александрович"/>
    <m/>
  </r>
  <r>
    <x v="2"/>
    <s v="СберСова"/>
    <s v="3Q2026"/>
    <s v="Знание ключевых метрик"/>
    <s v="Проработано понимание доступной отчетности и регулярного мониторинга"/>
    <d v="2026-07-27T00:00:00"/>
    <n v="1.4"/>
    <s v="Выполнен"/>
    <s v="Волков Дмитрий Александрович"/>
    <m/>
  </r>
  <r>
    <x v="3"/>
    <s v="СберСова"/>
    <s v="3Q2026"/>
    <s v="Воронка привлечения"/>
    <s v="Настроена отчетность по воронке привлечения"/>
    <d v="2026-07-27T00:00:00"/>
    <n v="1.4"/>
    <s v="Выполнен"/>
    <s v="Волков Дмитрий Александрович"/>
    <m/>
  </r>
  <r>
    <x v="1"/>
    <s v="СберСова"/>
    <s v="3Q2026"/>
    <s v="Воронка привлечения"/>
    <s v="Отчетность по воронке привлечения обогащена метриками (полнота)"/>
    <d v="2026-07-27T00:00:00"/>
    <n v="1.4"/>
    <s v="Выполнен"/>
    <s v="Волков Дмитрий Александрович"/>
    <m/>
  </r>
  <r>
    <x v="4"/>
    <s v="СберСова"/>
    <s v="3Q2026"/>
    <s v="Механики"/>
    <s v="Исключить из расчета &quot;Гибкое изменение условий продукта&quot; - Не применимо для продукта"/>
    <d v="2026-09-30T00:00:00"/>
    <n v="5.7"/>
    <s v="В работе"/>
    <s v="Волков Дмитрий Александрович"/>
    <s v="Почему? Штаб УБ- нужен коммент и заключение"/>
  </r>
  <r>
    <x v="1"/>
    <s v="СберСова"/>
    <s v="3Q2026"/>
    <s v="Механики"/>
    <s v="Механики Cross-sell проработаны"/>
    <d v="2026-08-31T00:00:00"/>
    <n v="2.8"/>
    <s v="В работе"/>
    <s v="Волков Дмитрий Александрович"/>
    <m/>
  </r>
  <r>
    <x v="5"/>
    <s v="БПИФ"/>
    <s v="3Q2026"/>
    <s v="Знание ключевых метрик"/>
    <s v="Проработано понимание доступной отчетности и регулярного мониторинга"/>
    <d v="2026-08-05T00:00:00"/>
    <n v="1"/>
    <s v="Выполнен"/>
    <s v="Сулейманов Расим Орудж оглы"/>
    <m/>
  </r>
  <r>
    <x v="5"/>
    <s v="БПИФ"/>
    <s v="4Q2026"/>
    <s v="Знание ключевых метрик"/>
    <s v="Совместно со штабом обогатить целями в Навигаторе"/>
    <d v="2026-10-30T00:00:00"/>
    <n v="2.4"/>
    <s v="Ожидание"/>
    <s v="Сулейманов Расим Орудж оглы"/>
    <m/>
  </r>
  <r>
    <x v="6"/>
    <s v="БПИФ"/>
    <s v="3Q2026"/>
    <s v="Воронка оттока"/>
    <s v="Настроить мониторинг по воронке оттока"/>
    <d v="2026-08-31T00:00:00"/>
    <n v="2"/>
    <s v="В работе"/>
    <s v="Сулейманов Расим Орудж оглы"/>
    <m/>
  </r>
  <r>
    <x v="7"/>
    <s v="БПИФ"/>
    <s v="3Q2026"/>
    <s v="Воронка привлечения"/>
    <s v="Обогатить метриками мониторинг по воронке привлечения"/>
    <d v="2026-08-31T00:00:00"/>
    <n v="1"/>
    <s v="В работе"/>
    <s v="Сулейманов Расим Орудж оглы"/>
    <m/>
  </r>
  <r>
    <x v="7"/>
    <s v="БПИФ"/>
    <s v="3Q2026"/>
    <s v="Воронка привлечения"/>
    <s v="Провести анализ привлечения, выявить точки роста"/>
    <d v="2026-08-31T00:00:00"/>
    <n v="2"/>
    <s v="В работе"/>
    <s v="Сулейманов Расим Орудж оглы"/>
    <m/>
  </r>
  <r>
    <x v="7"/>
    <s v="БПИФ"/>
    <s v="3Q2026"/>
    <s v="Воронка привлечения"/>
    <s v="Сформировать бенчмарки по продуктовым метрикам"/>
    <d v="2026-08-31T00:00:00"/>
    <n v="2"/>
    <s v="В работе"/>
    <s v="Сулейманов Расим Орудж оглы"/>
    <m/>
  </r>
  <r>
    <x v="6"/>
    <s v="БПИФ"/>
    <s v="3Q2026"/>
    <s v="Воронка оттока"/>
    <s v="Провести анализ оттока, выявить точки роста"/>
    <d v="2026-08-31T00:00:00"/>
    <n v="2"/>
    <s v="В работе"/>
    <s v="Сулейманов Расим Орудж оглы"/>
    <m/>
  </r>
  <r>
    <x v="6"/>
    <s v="БПИФ"/>
    <s v="3Q2026"/>
    <s v="Воронка оттока"/>
    <s v="Сформировать бенчмарки по продуктовым метрикам"/>
    <d v="2026-08-31T00:00:00"/>
    <n v="2"/>
    <s v="В работе"/>
    <s v="Сулейманов Расим Орудж оглы"/>
    <m/>
  </r>
  <r>
    <x v="8"/>
    <s v="БПИФ"/>
    <s v="4Q2026"/>
    <s v="Цели"/>
    <s v="Совместно со штабом декомпозировать значения целей на драйверы, вывести в Навигатор"/>
    <d v="2026-10-30T00:00:00"/>
    <n v="3.9"/>
    <s v="Ожидание"/>
    <s v="Сулейманов Расим Орудж оглы"/>
    <m/>
  </r>
  <r>
    <x v="8"/>
    <s v="БПИФ"/>
    <s v="4Q2026"/>
    <s v="Цели"/>
    <s v="Совместно со штабом сформировать прогнозные значения, вывести в Навигатор"/>
    <d v="2026-10-30T00:00:00"/>
    <n v="2"/>
    <s v="Ожидание"/>
    <s v="Сулейманов Расим Орудж оглы"/>
    <m/>
  </r>
  <r>
    <x v="9"/>
    <s v="Брокерский счет"/>
    <s v="Q32026"/>
    <s v="Знание ключевых метрик"/>
    <s v="Совместно со Штабом УБ проведена синхронизация отчетности и знаний продукта"/>
    <d v="2026-11-30T00:00:00"/>
    <n v="3.4"/>
    <s v="В работе"/>
    <s v="Аганина Яна Анатольевна"/>
    <s v="Недостаточно запланированных мероприятий, т.к. ожидаемого прироста индекса не хватит для перехода на уровень &quot;Зрелые&quot;"/>
  </r>
  <r>
    <x v="10"/>
    <s v="Брокерский счет"/>
    <s v="Q32026"/>
    <s v="Цели"/>
    <s v="Совместно со Штабом УБ проведена синхронизация и вывод драйверов целей ЛТ/ЛЮ"/>
    <d v="2026-11-30T00:00:00"/>
    <n v="3.3"/>
    <s v="В работе"/>
    <s v="Аганина Яна Анатольевна"/>
    <m/>
  </r>
  <r>
    <x v="11"/>
    <s v="Брокерский счет"/>
    <s v="Q32026"/>
    <s v="Гипотезы и инициативы"/>
    <s v="Запустить A/B-тестирование открытия счета"/>
    <d v="2026-11-30T00:00:00"/>
    <n v="1.9"/>
    <s v="В работе"/>
    <s v="Аганина Яна Анатольевна"/>
    <m/>
  </r>
  <r>
    <x v="12"/>
    <s v="ВЗР"/>
    <s v="3Q2026"/>
    <s v="Знание ключевых метрик"/>
    <s v="Объем целевого рынка в России"/>
    <s v="Проведение встречи после отправки ДК (до 14.08) для синхронизации и согласования логики расчетов"/>
    <n v="4.5"/>
    <s v="В работе"/>
    <s v="Мартусенко Игорь Викторович, Архипова Марина Алексеевна"/>
    <s v="Ожидание прироста суммарно по продукту нереалистично и сверхдостаточно (103%)"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s v="Как считает продуктовая команда:"/>
    <m/>
    <m/>
    <m/>
    <m/>
    <m/>
  </r>
  <r>
    <x v="1"/>
    <m/>
    <m/>
    <m/>
    <s v="Согласно оф.данным Росстата (https://rosstat.gov.ru/statistics/turizm)"/>
    <m/>
    <m/>
    <m/>
    <m/>
    <m/>
  </r>
  <r>
    <x v="1"/>
    <m/>
    <m/>
    <m/>
    <s v=" число выездных туристских поездок граждан России в зарубежные страны за 1q26 = 5,63 млн. Т.о в год : 5,63*4 = 22,5 млн. поездок. Это объем целевого рынка в России."/>
    <m/>
    <m/>
    <m/>
    <m/>
    <m/>
  </r>
  <r>
    <x v="1"/>
    <m/>
    <m/>
    <m/>
    <m/>
    <m/>
    <m/>
    <m/>
    <m/>
    <m/>
  </r>
  <r>
    <x v="1"/>
    <m/>
    <m/>
    <m/>
    <s v="Объем целевого рынка в Сбере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s v="Как считает продуктовая команда:"/>
    <m/>
    <m/>
    <m/>
    <m/>
    <m/>
  </r>
  <r>
    <x v="1"/>
    <m/>
    <m/>
    <m/>
    <s v="1) Посчитаем частоту поездок в год на 1 россиянина: 22,5 млн. поездок / 146 млн. чел. = 15,4 %."/>
    <m/>
    <m/>
    <m/>
    <m/>
    <m/>
  </r>
  <r>
    <x v="1"/>
    <m/>
    <m/>
    <m/>
    <s v="2) Применим частоту поездок в год на 1 россиянина к объему активных пользователей Сбера: 100 млн. активн.польз * 15,4% = 15,4 млн. Далее вычитаем 2,6 млн. владельцы ПУ, где включена страховка"/>
    <m/>
    <m/>
    <m/>
    <m/>
    <m/>
  </r>
  <r>
    <x v="1"/>
    <m/>
    <m/>
    <m/>
    <s v="Т.о.  объем целевого рынка в Сбере = 12,8 млн. поездок"/>
    <m/>
    <m/>
    <m/>
    <m/>
    <m/>
  </r>
  <r>
    <x v="1"/>
    <m/>
    <m/>
    <m/>
    <m/>
    <m/>
    <m/>
    <m/>
    <m/>
    <m/>
  </r>
  <r>
    <x v="1"/>
    <m/>
    <m/>
    <m/>
    <s v="Клиенты  с продуктом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s v="Как считает продуктовая команда:"/>
    <m/>
    <m/>
    <m/>
    <m/>
    <m/>
  </r>
  <r>
    <x v="1"/>
    <m/>
    <m/>
    <m/>
    <s v="По продукту &quot;Страхование путешественников&quot; отсутствует автопролонгация / подписка. Доля годовых полисов 0,33% от общего числа (н-р: за июль 26г. 74 шт. годовых полиса из общего числа 22 474 шт.). 99,7% полисов - краткосрочные полисы со средним сроком поездки = 12, таким образом считаем кол-во оформленных полисов."/>
    <m/>
    <m/>
    <m/>
    <m/>
    <m/>
  </r>
  <r>
    <x v="1"/>
    <m/>
    <m/>
    <m/>
    <s v="Факт за период с янв.26 по июль 26 = 115 257 шт. ; план с авг.26 по дек.26 = 82 000 шт.; ИТОГО = 195 257"/>
    <m/>
    <m/>
    <m/>
    <m/>
    <m/>
  </r>
  <r>
    <x v="1"/>
    <m/>
    <m/>
    <m/>
    <m/>
    <m/>
    <m/>
    <m/>
    <m/>
    <m/>
  </r>
  <r>
    <x v="1"/>
    <m/>
    <m/>
    <m/>
    <s v="MAU продукта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s v="Как считает продуктовая команда:"/>
    <m/>
    <m/>
    <m/>
    <m/>
    <m/>
  </r>
  <r>
    <x v="1"/>
    <m/>
    <m/>
    <m/>
    <s v="MAU считается по кол-ву уник. клиентов, которые перешли на карточку продукта в МП СБОЛ. Таких 100 000 клиентов"/>
    <m/>
    <m/>
    <m/>
    <m/>
    <m/>
  </r>
  <r>
    <x v="1"/>
    <m/>
    <m/>
    <m/>
    <s v="MAU — количество уникальных пользователей, которые совершили хотя бы одно целевое действие на протяжении 30 дней. Целевое действие = переход на карточку продукта, если смотреть целевое действие = оформление продукта, то это будет та же самая цифра, что и &quot;Клиенты с продуктом&quot;"/>
    <m/>
    <m/>
    <m/>
    <m/>
    <m/>
  </r>
  <r>
    <x v="1"/>
    <m/>
    <m/>
    <m/>
    <m/>
    <m/>
    <m/>
    <m/>
    <m/>
    <m/>
  </r>
  <r>
    <x v="1"/>
    <m/>
    <m/>
    <m/>
    <s v="Знание продуктов спутников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Знание об отчетности в Навигаторе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3"/>
    <s v="ВЗР"/>
    <s v="3Q2026"/>
    <s v="Воронка привлечения"/>
    <s v="Настроена отчетность по воронке привлечения"/>
    <s v="Проведение встречи после отправки ДК (до 14.08) для синхронизации и согласования логики расчетов"/>
    <n v="7.9"/>
    <s v="В работе"/>
    <s v="Мартусенко Игорь Викторович, Архипова Марина Алексеевна"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Полнота отчета (Источники, CR, объемы, сегменты)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Регулярность. Автоматически (daily / weekly) или по запросу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Наличие бенчмарков. Цели / динамика / рынок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m/>
    <m/>
    <m/>
    <m/>
    <m/>
    <m/>
  </r>
  <r>
    <x v="1"/>
    <m/>
    <m/>
    <m/>
    <s v="Наличие Self-service. Self-service / кампейнинг, успешность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 У продуктовой команды есть выделенный сотрудник для работы Self-service"/>
    <m/>
    <m/>
    <m/>
    <m/>
    <m/>
  </r>
  <r>
    <x v="1"/>
    <m/>
    <m/>
    <m/>
    <s v="Настроен Дэшборд по отображению кампаний продаж в кампейнинге - https://qlik.sigma.sbrf.ru/qs_b2c_data/scim_sigma/sense/app/25e1a8c8-9a7c-4072-bf29-055bba63e97e/sheet/996accc8-5be9-4cf2-92f5-eb932bbf3980/state/analysis"/>
    <m/>
    <m/>
    <m/>
    <m/>
    <m/>
  </r>
  <r>
    <x v="1"/>
    <m/>
    <m/>
    <m/>
    <m/>
    <m/>
    <m/>
    <m/>
    <m/>
    <m/>
  </r>
  <r>
    <x v="1"/>
    <m/>
    <m/>
    <m/>
    <s v="Наличие успешных бизнес-запусков. Self-service / кампейнинг, успешность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 У продуктовой команды есть выделенный сотрудник для работы Self-service"/>
    <m/>
    <m/>
    <m/>
    <m/>
    <m/>
  </r>
  <r>
    <x v="1"/>
    <m/>
    <m/>
    <m/>
    <s v="Настроен Дэшборд по отображению кампаний продаж в кампейнинге - https://qlik.sigma.sbrf.ru/qs_b2c_data/scim_sigma/sense/app/25e1a8c8-9a7c-4072-bf29-055bba63e97e/sheet/996accc8-5be9-4cf2-92f5-eb932bbf3980/state/analysis"/>
    <m/>
    <m/>
    <m/>
    <m/>
    <m/>
  </r>
  <r>
    <x v="14"/>
    <s v="ВЗР"/>
    <s v="3Q2026"/>
    <s v="Алерты"/>
    <s v="Оповещения по бизнес-метрикам. Светофоры целей, драйверов, воронок"/>
    <s v="Проведение встречи после отправки ДК (до 14.08) для синхронизации и согласования логики расчетов"/>
    <n v="2"/>
    <s v="В работе"/>
    <s v="Мартусенко Игорь Викторович, Архипова Марина Алексеевна"/>
    <m/>
  </r>
  <r>
    <x v="1"/>
    <m/>
    <m/>
    <m/>
    <s v="Текущее значение в дешборде  50%.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5"/>
    <s v="ВЗР"/>
    <s v="3Q2026"/>
    <s v="Гипотезы и инициативы"/>
    <s v="Discovery &gt;=40% бэклога. Доля исследовательских задач DA"/>
    <s v="Проведение встречи после отправки ДК (до 14.08) для синхронизации и согласования логики расчетов"/>
    <n v="4"/>
    <s v="В работе"/>
    <s v="Мартусенко Игорь Викторович, Архипова Марина Алексеевна"/>
    <s v="Доля исследовательских задач DA даст +4пп а не 14,8 Также для подтверждения данной метрики требуется направить ссылку на пространство DA продукта в Jira/сбертрек"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 Продуктовая команда регулярно проверяет гипотезы"/>
    <m/>
    <m/>
    <m/>
    <m/>
    <m/>
  </r>
  <r>
    <x v="1"/>
    <m/>
    <m/>
    <m/>
    <m/>
    <m/>
    <m/>
    <m/>
    <m/>
    <m/>
  </r>
  <r>
    <x v="1"/>
    <m/>
    <m/>
    <m/>
    <s v="Оценка исследований &gt;=7,5. Средняя оценка проведенных исследований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 Продуктовая команда проводит исследования"/>
    <m/>
    <m/>
    <m/>
    <m/>
    <m/>
  </r>
  <r>
    <x v="1"/>
    <m/>
    <m/>
    <m/>
    <m/>
    <m/>
    <m/>
    <m/>
    <m/>
    <m/>
  </r>
  <r>
    <x v="1"/>
    <m/>
    <m/>
    <m/>
    <s v="Доп. инициативы сверх БП. Наличие доходных/расходных инициатив сверх БП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"/>
    <m/>
    <m/>
    <m/>
    <m/>
    <m/>
  </r>
  <r>
    <x v="16"/>
    <s v="ВЗР"/>
    <s v="3Q2026"/>
    <s v="Цели"/>
    <s v="Факторный анализ - драйверы 1-2 ур.. Драйверы согласно модели бизнес-планирования выведены в Навигатор"/>
    <s v="Проведение встречи после отправки ДК (до 14.08) для синхронизации и согласования логики расчетов"/>
    <n v="3.9"/>
    <s v="В работе"/>
    <s v="Мартусенко Игорь Викторович, Архипова Марина Алексеевна"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 "/>
    <m/>
    <m/>
    <m/>
    <m/>
    <m/>
  </r>
  <r>
    <x v="17"/>
    <s v="ВЗР"/>
    <s v="3Q2026"/>
    <s v="Воронка оттока"/>
    <s v="Настроена отчетность. По воронке оттока"/>
    <s v="Проведение встречи после отправки ДК (до 14.08) для синхронизации и согласования логики расчетов"/>
    <n v="4"/>
    <s v="В работе"/>
    <s v="Мартусенко Игорь Викторович, Архипова Марина Алексеевна"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Полнота отчета. Retention, CR, удержание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Регулярность. Автоматически (daily / weekly) или по запросу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Наличие бенчмарков. Цели / динамика / рынок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 "/>
    <m/>
    <m/>
    <m/>
    <m/>
    <m/>
  </r>
  <r>
    <x v="18"/>
    <s v="ВЗР"/>
    <s v="3Q2026"/>
    <s v="Механики"/>
    <s v="Возврат клиентов. Реактивация оттекающих клиентов."/>
    <s v="Проведение встречи после отправки ДК (до 14.08) для синхронизации и согласования логики расчетов"/>
    <n v="7.9"/>
    <s v="В работе"/>
    <s v="Мартусенко Игорь Викторович, Архипова Марина Алексеевна"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"/>
    <m/>
    <m/>
    <m/>
    <m/>
    <m/>
    <m/>
    <m/>
    <m/>
    <m/>
  </r>
  <r>
    <x v="1"/>
    <m/>
    <m/>
    <m/>
    <s v="Гибкое изменение условий продукта. Возможность изменить набор опций по продукту без IT-разработки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."/>
    <m/>
    <m/>
    <m/>
    <m/>
    <m/>
  </r>
  <r>
    <x v="1"/>
    <m/>
    <m/>
    <m/>
    <m/>
    <m/>
    <m/>
    <m/>
    <m/>
    <m/>
  </r>
  <r>
    <x v="1"/>
    <m/>
    <m/>
    <m/>
    <s v="Cross-sell. В оформлении и после покупки"/>
    <m/>
    <m/>
    <m/>
    <m/>
    <m/>
  </r>
  <r>
    <x v="1"/>
    <m/>
    <m/>
    <m/>
    <s v="Текущее значение в дешборде  50%."/>
    <m/>
    <m/>
    <m/>
    <m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19"/>
    <s v="ВЗР"/>
    <s v="3Q2026"/>
    <s v="Клиентский опыт"/>
    <s v="CX Score. Зеленая зона клиентского пути"/>
    <s v="Проведение встречи после отправки ДК (до 14.08) для синхронизации и согласования логики расчетов"/>
    <n v="2"/>
    <s v="В работе"/>
    <s v="Мартусенко Игорь Викторович, Архипова Марина Алексеевна"/>
    <m/>
  </r>
  <r>
    <x v="1"/>
    <m/>
    <m/>
    <m/>
    <s v="Мероприятие: совместно с штабом УБ синхронизировать логику, чтобы довести до 100%"/>
    <m/>
    <m/>
    <m/>
    <m/>
    <m/>
  </r>
  <r>
    <x v="20"/>
    <s v="ДСЖ ПК"/>
    <s v="Q32026"/>
    <s v="Знание ключевых метрик"/>
    <s v="Совместно со Штабом УБ проведена синхронизация отчетности и знаний продукта. В рамках данного мероприятия отдельно с каждым несогласным продуктом будет проводиться точечная выверка методологии и корректность расчета в ДБ «Активные Клиенты &amp; MAU Продуктов и Сервисов»."/>
    <d v="2026-09-30T00:00:00"/>
    <m/>
    <m/>
    <m/>
    <m/>
  </r>
  <r>
    <x v="21"/>
    <s v="ДСЖ ПК"/>
    <s v="Q32026"/>
    <s v="Цели"/>
    <s v="Совместно со Штабом УБ проведена синхронизация и вывод драйверов целей ЛТ/ЛЮ»"/>
    <d v="2026-09-30T00:00:00"/>
    <m/>
    <m/>
    <m/>
    <m/>
  </r>
  <r>
    <x v="22"/>
    <s v="ДСЖ КК"/>
    <s v="4Q2026"/>
    <s v="Цели"/>
    <s v="Совместно со Штабом УБ проведена синхронизация и вывод драйверов целей ЛТ/ЛЮ_x000a_Скорректировать оценку. Драйверы согласно модели бизнес-планирования выведены в Навигатор. Факторный анализ - драйверы 1-2 ур. "/>
    <d v="2026-12-31T00:00:00"/>
    <n v="3.8"/>
    <m/>
    <m/>
    <m/>
  </r>
  <r>
    <x v="23"/>
    <s v="ДСЖ КК"/>
    <s v="4Q2026"/>
    <s v="Знание ключевых метрик"/>
    <s v="Совместно со Штабом УБ проведена синхронизация отчетности и знаний продукта._x000a_1) Объем целевого рынка в Сбере. Выведен в Навигатор, но требуется корректировка показателя. Требуется наложить фильтры, при которых мы не можем страховать клиента_x000a_2) Клиенты с продуктом. Выведен в Навигатор, но требуется корректировка показателя. Выводит только оплаченные страховки по ДСЖ КК, без учета клиентов, которые не оплатили страховку. Проверить учет нового продукта ПУ Страховка с выгодой._x000a_3) MAU продукта. Требуется доработка в разрезе каналов._x000a_"/>
    <d v="2026-12-31T00:00:00"/>
    <n v="3.8"/>
    <m/>
    <m/>
    <m/>
  </r>
  <r>
    <x v="24"/>
    <s v="ДСЖ КК"/>
    <s v="4Q2026"/>
    <s v="Воронка оттока"/>
    <s v="Настроить мониторинг по воронке оттока"/>
    <d v="2026-12-31T00:00:00"/>
    <n v="1.1"/>
    <m/>
    <m/>
    <m/>
  </r>
  <r>
    <x v="24"/>
    <s v="ДСЖ КК"/>
    <s v="4Q2026"/>
    <s v="Воронка оттока"/>
    <s v="Обогатить метриками мониторинг по воронке оттока"/>
    <d v="2026-12-31T00:00:00"/>
    <n v="2.2"/>
    <m/>
    <m/>
    <m/>
  </r>
  <r>
    <x v="25"/>
    <s v="ДСЖ КК"/>
    <s v="4Q2026"/>
    <s v="Воронка привлечения"/>
    <s v="Обогатить метриками мониторинг по воронке привлечения"/>
    <d v="2026-12-31T00:00:00"/>
    <n v="1.1"/>
    <m/>
    <m/>
    <m/>
  </r>
  <r>
    <x v="1"/>
    <m/>
    <m/>
    <m/>
    <s v="Выведен уровень проникновения в новые карты. Дополнить другими каналами продаж, кампаниями продаж"/>
    <m/>
    <m/>
    <m/>
    <m/>
    <m/>
  </r>
  <r>
    <x v="25"/>
    <s v="ДСЖ КК"/>
    <s v="3Q2026"/>
    <s v="Воронка привлечения"/>
    <s v="Увеличить покрытие черновиков"/>
    <d v="2026-08-31T00:00:00"/>
    <n v="4.5"/>
    <m/>
    <m/>
    <m/>
  </r>
  <r>
    <x v="26"/>
    <s v="ДСЖ КК"/>
    <s v="4Q2026"/>
    <s v="Алерты"/>
    <s v="Внедрить систему оповещений"/>
    <d v="2026-12-31T00:00:00"/>
    <n v="6.7"/>
    <m/>
    <m/>
    <m/>
  </r>
  <r>
    <x v="27"/>
    <s v="ДСЖ КК"/>
    <s v="4Q2026"/>
    <s v="Механики"/>
    <s v="Настроить мониторинг по ключевым механикам"/>
    <d v="2026-12-31T00:00:00"/>
    <n v="4.5"/>
    <m/>
    <m/>
    <m/>
  </r>
  <r>
    <x v="28"/>
    <s v="ДСЖ КК"/>
    <s v="4Q2026"/>
    <s v="Гипотезы и инициативы"/>
    <s v="Сфокусировать бэклог аналитиков на research-задачи"/>
    <d v="2026-12-31T00:00:00"/>
    <n v="4.5"/>
    <m/>
    <m/>
    <s v="для подтверждения данной метрики требуется направить ссылку на пространство DA продукта в Jira/сбертрек"/>
  </r>
  <r>
    <x v="28"/>
    <s v="ДСЖ КК"/>
    <s v="4Q2026"/>
    <s v="Гипотезы и инициативы"/>
    <s v="Повысить качество проведенных исследований"/>
    <d v="2026-12-31T00:00:00"/>
    <n v="4.5"/>
    <m/>
    <m/>
    <m/>
  </r>
  <r>
    <x v="25"/>
    <s v="ДСЖ КК"/>
    <s v="3Q2026"/>
    <s v="Воронка привлечения"/>
    <s v="Развитие кампейнинга"/>
    <d v="2026-08-31T00:00:00"/>
    <n v="2.2"/>
    <m/>
    <m/>
    <m/>
  </r>
  <r>
    <x v="27"/>
    <s v="ДСЖ КК"/>
    <s v="3Q2026"/>
    <s v="Механики"/>
    <s v="Выстроить процесс гибкого изменения условий без IT"/>
    <d v="2026-09-30T00:00:00"/>
    <n v="4.4"/>
    <m/>
    <m/>
    <m/>
  </r>
  <r>
    <x v="29"/>
    <s v="Залоговое страхование (корпоративное страхование)"/>
    <s v="3Q2026"/>
    <s v="Воронка привлечения"/>
    <s v="Актуализировать информацию на соотвествие показателей для продукта"/>
    <d v="2026-09-30T00:00:00"/>
    <n v="2.1"/>
    <s v="В работе"/>
    <s v="Макарцева Наталия, Рузанова Анна"/>
    <m/>
  </r>
  <r>
    <x v="30"/>
    <s v="Залоговое страхование (корпоративное страхование)"/>
    <s v="3Q2026"/>
    <s v="Гипотезы и инициативы"/>
    <s v="Добавить доступ к задачам по аналитике"/>
    <d v="2026-09-30T00:00:00"/>
    <n v="4.3"/>
    <s v="В работе"/>
    <s v="Макарцева Наталия, Рузанова Анна"/>
    <s v="Что имеется ввиду?"/>
  </r>
  <r>
    <x v="31"/>
    <s v="Залоговое страхование (корпоративное страхование)"/>
    <s v="3Q2026"/>
    <s v="Цели"/>
    <s v="Добавить существующую отчетность по продукту"/>
    <d v="2026-09-30T00:00:00"/>
    <n v="4.3"/>
    <s v="В работе"/>
    <s v="Макарцева Наталия, Рузанова Анна"/>
    <m/>
  </r>
  <r>
    <x v="31"/>
    <s v="Залоговое страхование (корпоративное страхование)"/>
    <s v="4Q2026"/>
    <s v="Цели"/>
    <s v="Скорректировать логику отчета по пролонгации в инструменте Навигатор"/>
    <d v="2026-12-31T00:00:00"/>
    <n v="4.3"/>
    <s v="В работе"/>
    <s v="Рузанова Анна"/>
    <m/>
  </r>
  <r>
    <x v="32"/>
    <s v="Залоговое страхование (корпоративное страхование)"/>
    <s v="3Q2026"/>
    <s v="Воронка оттока"/>
    <s v="Актуализировать информацию на соотвествие показателей для продукта"/>
    <d v="2026-09-30T00:00:00"/>
    <n v="2.1"/>
    <s v="В работе"/>
    <s v="Макарцева Наталия, Рузанова Анна"/>
    <s v="Не понятно мероприятие - нужно конкретизировать- воронка не релевантна? "/>
  </r>
  <r>
    <x v="33"/>
    <s v="Залоговое страхование (корпоративное страхование)"/>
    <s v="3Q2026"/>
    <s v="Механики"/>
    <s v="Актуализировать информацию на соотвествие показателей для продукта"/>
    <d v="2026-09-30T00:00:00"/>
    <n v="4.3"/>
    <s v="В работе"/>
    <s v="Макарцева Наталия, Рузанова Анна"/>
    <m/>
  </r>
  <r>
    <x v="34"/>
    <s v="ЗЛС"/>
    <s v="4Q2026"/>
    <s v="Знание ключевых метрик"/>
    <s v="Объем целевого рынка в Сбере"/>
    <s v="Проведение встреч со Штабом УБ до 31.08.2026."/>
    <n v="2.6"/>
    <s v="В работе"/>
    <s v="Корпачева Надежда Олеговна, Мелихов Кирилл Сергеевич, Зазуля Екатерина Олеговна"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 Штаб УБ и В2С"/>
    <m/>
    <m/>
    <m/>
    <m/>
    <m/>
  </r>
  <r>
    <x v="1"/>
    <m/>
    <m/>
    <m/>
    <s v="Как считает продуктовая команда:"/>
    <m/>
    <m/>
    <m/>
    <m/>
    <m/>
  </r>
  <r>
    <x v="1"/>
    <m/>
    <m/>
    <m/>
    <s v="Лица от 18 до 80 лет"/>
    <m/>
    <m/>
    <m/>
    <m/>
    <m/>
  </r>
  <r>
    <x v="1"/>
    <m/>
    <m/>
    <m/>
    <m/>
    <m/>
    <m/>
    <m/>
    <m/>
    <m/>
  </r>
  <r>
    <x v="1"/>
    <m/>
    <m/>
    <m/>
    <s v="MAU продукта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"/>
    <m/>
    <m/>
    <m/>
    <m/>
    <m/>
  </r>
  <r>
    <x v="1"/>
    <m/>
    <m/>
    <m/>
    <s v="Как считает продуктовая команда:"/>
    <m/>
    <m/>
    <m/>
    <m/>
    <m/>
  </r>
  <r>
    <x v="1"/>
    <m/>
    <m/>
    <m/>
    <s v="MAU считается по кол-ву уникальных клиентов, которые перешли на детальные карточки продукта в МП СБОЛ. Таких 100 000 клиентов"/>
    <m/>
    <m/>
    <m/>
    <m/>
    <m/>
  </r>
  <r>
    <x v="1"/>
    <m/>
    <m/>
    <m/>
    <s v="MAU - количество уникальных пользователей, которые совершили хотя бы одно целевое действие на протяжении 30 дней. Целевое действие = переход на карточку продукта, если смотреть цеелвое действие = оформление продукта, то это будет та же самая цифра, что и &quot;Клиенты с продуктом&quot;."/>
    <m/>
    <m/>
    <m/>
    <m/>
    <m/>
  </r>
  <r>
    <x v="1"/>
    <m/>
    <m/>
    <m/>
    <s v="Ссылка на отчет в Навигаторе: https://navigator.sigma.sbrf.ru/gdash/1000000820/1000012918?period=2026-06-01%7C%7C%7C2026-06-30"/>
    <m/>
    <m/>
    <m/>
    <m/>
    <m/>
  </r>
  <r>
    <x v="1"/>
    <m/>
    <m/>
    <m/>
    <m/>
    <m/>
    <m/>
    <m/>
    <m/>
    <m/>
  </r>
  <r>
    <x v="1"/>
    <m/>
    <m/>
    <m/>
    <s v="Знание об отчетности в Навигаторе"/>
    <m/>
    <m/>
    <m/>
    <m/>
    <m/>
  </r>
  <r>
    <x v="1"/>
    <m/>
    <m/>
    <m/>
    <s v="Текущее значение в дешборде  50%"/>
    <m/>
    <m/>
    <m/>
    <m/>
    <m/>
  </r>
  <r>
    <x v="1"/>
    <m/>
    <m/>
    <m/>
    <s v="Мероприятие: совместно с штабом УБ синхронизировать методологию, чтобы довести до 100%"/>
    <m/>
    <m/>
    <m/>
    <m/>
    <m/>
  </r>
  <r>
    <x v="35"/>
    <s v="ЗЛС"/>
    <s v="4Q2026"/>
    <s v="Воронка привлечения"/>
    <s v="Полнота отчета"/>
    <s v="Проведение встреч со Штабом УБ до 31.08.2026."/>
    <n v="7"/>
    <s v="В работе"/>
    <s v="Корпачева Надежда Олеговна, Мелихов Кирилл Сергеевич, Зазуля Екатерина Олеговна"/>
    <m/>
  </r>
  <r>
    <x v="1"/>
    <m/>
    <m/>
    <m/>
    <s v="Текущее значение в дешборде  50%"/>
    <m/>
    <m/>
    <m/>
    <m/>
    <m/>
  </r>
  <r>
    <x v="1"/>
    <m/>
    <m/>
    <m/>
    <s v="Мероприятия: задача поставлена на Штаб УБ, ожидаем реализацию, ссылка на задачу в jira: https://jira.sberbank.ru/browse/DASHBOARD-6101."/>
    <m/>
    <m/>
    <m/>
    <m/>
    <m/>
  </r>
  <r>
    <x v="1"/>
    <m/>
    <m/>
    <m/>
    <s v="Также реализован отчет по воронкам разных источниов переходов, ссылка на отчет в Навигаторе: https://navigator.sigma.sbrf.ru/gdash/1000000820/1000012918?period=2026-06-01%7C%7C%7C2026-06-30"/>
    <m/>
    <m/>
    <m/>
    <m/>
    <m/>
  </r>
  <r>
    <x v="1"/>
    <m/>
    <m/>
    <m/>
    <m/>
    <m/>
    <m/>
    <m/>
    <m/>
    <m/>
  </r>
  <r>
    <x v="1"/>
    <m/>
    <m/>
    <m/>
    <s v="Наличие бенчмарков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логике расчета Штаб УБ, Штаб В2С, СБС"/>
    <m/>
    <m/>
    <m/>
    <m/>
    <m/>
  </r>
  <r>
    <x v="1"/>
    <m/>
    <m/>
    <m/>
    <m/>
    <m/>
    <m/>
    <m/>
    <m/>
    <m/>
  </r>
  <r>
    <x v="1"/>
    <m/>
    <m/>
    <m/>
    <s v="Черновики в СБОЛ &gt;=70%"/>
    <m/>
    <m/>
    <m/>
    <m/>
    <s v="В дэшборде по Черновикам в Навигаторе ошибка в расчете доли покрытия - не 77%, а 8,4%_x000a_В расчет Index идет все корректно"/>
  </r>
  <r>
    <x v="1"/>
    <m/>
    <m/>
    <m/>
    <s v="Текущее значение в дешборде  0%"/>
    <m/>
    <m/>
    <m/>
    <m/>
    <m/>
  </r>
  <r>
    <x v="1"/>
    <m/>
    <m/>
    <m/>
    <s v="Текущее покрытие по коммуникациям составляет 77%, ссылка на отчет Навигаторе: https://navigator.sigma.sbrf.ru/gdash/1000003969"/>
    <m/>
    <m/>
    <m/>
    <m/>
    <m/>
  </r>
  <r>
    <x v="36"/>
    <s v="ЗЛС"/>
    <s v="4Q2026"/>
    <s v="Алерты"/>
    <s v="Оповещения по бизнес-метрикам"/>
    <s v="Проведение встреч со Штабом УБ до 31.08.2026."/>
    <n v="2"/>
    <s v="В работе"/>
    <s v="Корпачева Надежда Олеговна, Мелихов Кирилл Сергеевич, Зазуля Екатерина Олеговна"/>
    <m/>
  </r>
  <r>
    <x v="1"/>
    <m/>
    <m/>
    <m/>
    <s v="Текущее значение в дешборде  50%"/>
    <m/>
    <m/>
    <m/>
    <m/>
    <m/>
  </r>
  <r>
    <x v="1"/>
    <m/>
    <m/>
    <m/>
    <s v="Настроены алерты из АС Рефлекса, настроена ежедневная рассылка по витрине ЗЛС."/>
    <m/>
    <m/>
    <m/>
    <m/>
    <m/>
  </r>
  <r>
    <x v="1"/>
    <m/>
    <m/>
    <m/>
    <s v="Мероприятие: совместно со штабом УБ синхронизировать логику, чтобы довести до 100%"/>
    <m/>
    <m/>
    <m/>
    <m/>
    <m/>
  </r>
  <r>
    <x v="37"/>
    <s v="ЗЛС"/>
    <s v="4Q2026"/>
    <s v="Гипотезы и инициативы"/>
    <s v="Discovery &gt;=40% бэклога"/>
    <s v="Проведение встреч со Штабом УБ до 31.08.2026."/>
    <n v="12"/>
    <s v="В работе"/>
    <s v="Корпачева Надежда Олеговна, Мелихов Кирилл Сергеевич, Зазуля Екатерина Олеговна"/>
    <s v="для подтверждения данной метрики требуется направить ссылку на пространство DA продукта в Jira/сбертрек"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методологии. Продуктовая команда регулярно проверяет гипотезы"/>
    <m/>
    <m/>
    <m/>
    <m/>
    <m/>
  </r>
  <r>
    <x v="1"/>
    <m/>
    <m/>
    <m/>
    <m/>
    <m/>
    <m/>
    <m/>
    <m/>
    <m/>
  </r>
  <r>
    <x v="1"/>
    <m/>
    <m/>
    <m/>
    <s v="Оценка исследований &gt;=7,5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Запущена регулярная кампания опросов СХ по ЗЛС"/>
    <m/>
    <m/>
    <m/>
    <m/>
    <m/>
  </r>
  <r>
    <x v="1"/>
    <m/>
    <m/>
    <m/>
    <s v="Мероприятие: синхронизация по методологии."/>
    <m/>
    <m/>
    <m/>
    <m/>
    <m/>
  </r>
  <r>
    <x v="1"/>
    <m/>
    <m/>
    <m/>
    <m/>
    <m/>
    <m/>
    <m/>
    <m/>
    <m/>
  </r>
  <r>
    <x v="1"/>
    <m/>
    <m/>
    <m/>
    <s v="A/B-тесты"/>
    <m/>
    <m/>
    <m/>
    <m/>
    <m/>
  </r>
  <r>
    <x v="1"/>
    <m/>
    <m/>
    <m/>
    <s v="нет плана по A/B"/>
    <m/>
    <m/>
    <m/>
    <m/>
    <m/>
  </r>
  <r>
    <x v="1"/>
    <m/>
    <m/>
    <m/>
    <s v="Регулярное проведение АБ-тестов: за 1 пг 2026 проведено 2 АБ-теста СБОЛ ЗЛС + в рамках КВУБ - 6 АБ-тестов."/>
    <m/>
    <m/>
    <m/>
    <m/>
    <m/>
  </r>
  <r>
    <x v="1"/>
    <m/>
    <m/>
    <m/>
    <m/>
    <m/>
    <m/>
    <m/>
    <m/>
    <m/>
  </r>
  <r>
    <x v="1"/>
    <m/>
    <m/>
    <m/>
    <s v="Доп. инициативы сверх БП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ация по методологии. "/>
    <m/>
    <m/>
    <m/>
    <m/>
    <m/>
  </r>
  <r>
    <x v="38"/>
    <s v="ЗЛС"/>
    <s v="4Q2026"/>
    <s v="Цели"/>
    <s v="Цели выведены на мониторинг"/>
    <s v="Проведение встреч со Штабом УБ до 31.08.2026."/>
    <n v="8"/>
    <s v="Ожидание"/>
    <s v="Корпачева Надежда Олеговна, Мелихов Кирилл Сергеевич, Зазуля Екатерина Олеговна"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ироваться со Штабом УБ"/>
    <m/>
    <m/>
    <m/>
    <m/>
    <m/>
  </r>
  <r>
    <x v="1"/>
    <m/>
    <m/>
    <m/>
    <s v="Ссылка на отчет в Навигаторе: https://navigator.sigma.sbrf.ru/gdash/1000003899/1000039655?sSetGroup=7"/>
    <m/>
    <m/>
    <m/>
    <m/>
    <m/>
  </r>
  <r>
    <x v="1"/>
    <m/>
    <m/>
    <m/>
    <m/>
    <m/>
    <m/>
    <m/>
    <m/>
    <m/>
  </r>
  <r>
    <x v="1"/>
    <m/>
    <m/>
    <m/>
    <s v="Факторный анализ - драйверы 1-2 ур.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е: синхронизироваться со Штабом УБ"/>
    <m/>
    <m/>
    <m/>
    <m/>
    <m/>
  </r>
  <r>
    <x v="1"/>
    <m/>
    <m/>
    <m/>
    <s v="Ссылки на отчет в Навигаторе:"/>
    <m/>
    <m/>
    <m/>
    <m/>
    <m/>
  </r>
  <r>
    <x v="1"/>
    <m/>
    <m/>
    <m/>
    <s v="Отчет RR: https://navigator.sigma.sbrf.ru/gdash/1000001002/1000010105"/>
    <m/>
    <m/>
    <m/>
    <m/>
    <m/>
  </r>
  <r>
    <x v="1"/>
    <m/>
    <m/>
    <m/>
    <s v="Модуль на клиента (факторный анализ): https://navigator.sigma.sbrf.ru/gdash/1000001002/1000010222"/>
    <m/>
    <m/>
    <m/>
    <m/>
    <m/>
  </r>
  <r>
    <x v="1"/>
    <m/>
    <m/>
    <m/>
    <s v="Действующий факторный анализ: https://navigator.sigma.sbrf.ru/gdash/1000000820/1000007927 "/>
    <m/>
    <m/>
    <m/>
    <m/>
    <m/>
  </r>
  <r>
    <x v="39"/>
    <s v="ЗЛС"/>
    <s v="4Q2026"/>
    <s v="Воронка оттока"/>
    <s v="Полнота отчета"/>
    <s v="Проведение встреч со Штабом УБ до 31.08.2026."/>
    <n v="6"/>
    <s v="Ожидание"/>
    <s v="Корпачева Надежда Олеговна, Мелихов Кирилл Сергеевич, Зазуля Екатерина Олеговна"/>
    <m/>
  </r>
  <r>
    <x v="1"/>
    <m/>
    <m/>
    <m/>
    <s v="Текущее значение в дешборде  0%"/>
    <m/>
    <m/>
    <m/>
    <m/>
    <m/>
  </r>
  <r>
    <x v="1"/>
    <m/>
    <m/>
    <m/>
    <s v="Отчет в Навигаторе - CR: https://navigator.sigma.sbrf.ru/gdash/1000000820/1000012918?period=2026-06-01%7C%7C%7C2026-06-30"/>
    <m/>
    <m/>
    <m/>
    <m/>
    <m/>
  </r>
  <r>
    <x v="1"/>
    <m/>
    <m/>
    <m/>
    <s v="Отчет в Навигаторе  - удержание: https://navigator.sigma.sbrf.ru/gdash/1000000826/1000008041"/>
    <m/>
    <m/>
    <m/>
    <m/>
    <m/>
  </r>
  <r>
    <x v="1"/>
    <m/>
    <m/>
    <m/>
    <m/>
    <m/>
    <m/>
    <m/>
    <m/>
    <m/>
  </r>
  <r>
    <x v="1"/>
    <m/>
    <m/>
    <m/>
    <s v="Проведение комплексного анализа воронки оттока"/>
    <m/>
    <m/>
    <m/>
    <m/>
    <m/>
  </r>
  <r>
    <x v="1"/>
    <m/>
    <m/>
    <m/>
    <s v="Текущее значение в дешборде  50%"/>
    <m/>
    <m/>
    <m/>
    <m/>
    <m/>
  </r>
  <r>
    <x v="1"/>
    <m/>
    <m/>
    <m/>
    <s v="Мероприятие: синхронизироваться по методолгии со Штабом УБ"/>
    <m/>
    <m/>
    <m/>
    <m/>
    <m/>
  </r>
  <r>
    <x v="1"/>
    <m/>
    <m/>
    <m/>
    <m/>
    <m/>
    <m/>
    <m/>
    <m/>
    <m/>
  </r>
  <r>
    <x v="1"/>
    <m/>
    <m/>
    <m/>
    <s v="Наличие бенчмарков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Мероприятия: сихронизироваться по методолгии со Штабом УБ, В2С, СБС."/>
    <m/>
    <m/>
    <m/>
    <m/>
    <m/>
  </r>
  <r>
    <x v="40"/>
    <s v="ЗЛС"/>
    <s v="4Q2026"/>
    <s v="Механики"/>
    <s v="Возврат клиентов"/>
    <s v="Проведение встреч со Штабом УБ до 31.08.2026."/>
    <n v="8"/>
    <s v="Ожидание"/>
    <s v="Корпачева Надежда Олеговна, Мелихов Кирилл Сергеевич, Зазуля Екатерина Олеговна"/>
    <s v="Не понятно, какие именно механники имеются ввиду"/>
  </r>
  <r>
    <x v="1"/>
    <m/>
    <m/>
    <m/>
    <s v="Текущее значение в дешборде  50%"/>
    <m/>
    <m/>
    <m/>
    <m/>
    <m/>
  </r>
  <r>
    <x v="1"/>
    <m/>
    <m/>
    <m/>
    <s v="По продукту существует: подключение АП на карточке продукта, оплата очередного взноса в 1 клик, пролонгация."/>
    <m/>
    <m/>
    <m/>
    <m/>
    <m/>
  </r>
  <r>
    <x v="1"/>
    <m/>
    <m/>
    <m/>
    <s v="Мероприятие: синхронизироваться по методолгии со Штабом УБ"/>
    <m/>
    <m/>
    <m/>
    <m/>
    <m/>
  </r>
  <r>
    <x v="1"/>
    <m/>
    <m/>
    <m/>
    <m/>
    <m/>
    <m/>
    <m/>
    <m/>
    <m/>
  </r>
  <r>
    <x v="1"/>
    <m/>
    <m/>
    <m/>
    <s v="Гибкое изменение условий продукта"/>
    <m/>
    <m/>
    <m/>
    <m/>
    <m/>
  </r>
  <r>
    <x v="1"/>
    <m/>
    <m/>
    <m/>
    <s v="Текущее значение в дешборде  0%"/>
    <m/>
    <m/>
    <m/>
    <m/>
    <m/>
  </r>
  <r>
    <x v="1"/>
    <m/>
    <m/>
    <m/>
    <s v="Продукт 360 и страховой конвейер."/>
    <m/>
    <m/>
    <m/>
    <m/>
    <m/>
  </r>
  <r>
    <x v="1"/>
    <m/>
    <m/>
    <m/>
    <m/>
    <m/>
    <m/>
    <m/>
    <m/>
    <m/>
  </r>
  <r>
    <x v="1"/>
    <m/>
    <m/>
    <m/>
    <s v="Cross-sell"/>
    <m/>
    <m/>
    <m/>
    <m/>
    <m/>
  </r>
  <r>
    <x v="1"/>
    <m/>
    <m/>
    <m/>
    <s v="Текущее значение в дешборде  50%"/>
    <m/>
    <m/>
    <m/>
    <m/>
    <m/>
  </r>
  <r>
    <x v="1"/>
    <m/>
    <m/>
    <m/>
    <s v="Не применимо для продукта ЗЛС."/>
    <m/>
    <m/>
    <m/>
    <m/>
    <m/>
  </r>
  <r>
    <x v="41"/>
    <s v="ЗПИФ"/>
    <s v="3Q2026"/>
    <s v="Знание ключевых метрик"/>
    <s v="Проработано понимание доступной отчетности и регулярного мониторинга"/>
    <d v="2026-08-05T00:00:00"/>
    <n v="3.4"/>
    <s v="Выполнен"/>
    <s v="Зырянская Валерия Юрьевна"/>
    <m/>
  </r>
  <r>
    <x v="42"/>
    <s v="ЗПИФ"/>
    <s v="3Q2026"/>
    <s v="Воронка привлечения"/>
    <s v="Настроить отчетность по воронке привлечения"/>
    <d v="2026-08-31T00:00:00"/>
    <n v="1"/>
    <s v="В работе"/>
    <s v="Зырянская Валерия Юрьевна"/>
    <m/>
  </r>
  <r>
    <x v="43"/>
    <s v="ЗПИФ"/>
    <s v="3Q2026"/>
    <s v="Воронка оттока"/>
    <s v="Провести комплексный анализ воронки оттока (пошаговая воронка, CTR, объёмы, сегментный или когортный разрез, retention, механики удержания, UX/UI)."/>
    <d v="2026-09-30T00:00:00"/>
    <n v="2"/>
    <s v="В работе"/>
    <s v="Зырянская Валерия Юрьевна"/>
    <m/>
  </r>
  <r>
    <x v="44"/>
    <s v="ЗПИФ"/>
    <s v="4Q2026"/>
    <s v="Цели"/>
    <s v="Совместно со штабом вывести в навигатор драйверы согласно модели бизнес-планирования"/>
    <d v="2026-10-30T00:00:00"/>
    <n v="3.9"/>
    <s v="Ожидание"/>
    <s v="Зырянская Валерия Юрьевна"/>
    <m/>
  </r>
  <r>
    <x v="45"/>
    <s v="ЗПИФ"/>
    <s v="4Q2026"/>
    <s v="Гипотезы и инициативы"/>
    <s v="Повысить качество проведенных исследований"/>
    <d v="2026-11-15T00:00:00"/>
    <n v="3.9"/>
    <s v="В работе"/>
    <s v="Зырянская Валерия Юрьевна"/>
    <m/>
  </r>
  <r>
    <x v="46"/>
    <s v="ЗПИФ"/>
    <s v="3Q2026"/>
    <s v="Механики"/>
    <s v="Изменим условия с персонализацией до клиентских подсегментов"/>
    <d v="2026-09-30T00:00:00"/>
    <n v="2"/>
    <s v="В работе"/>
    <s v="Зырянская Валерия Юрьевна"/>
    <m/>
  </r>
  <r>
    <x v="46"/>
    <s v="ЗПИФ"/>
    <s v="3Q2026"/>
    <s v="Механики"/>
    <s v="Настроенны механики  возврата клиентов через создание ценности продукта"/>
    <d v="2026-08-05T00:00:00"/>
    <n v="2"/>
    <s v="Выполнен"/>
    <s v="Зырянская Валерия Юрьевна"/>
    <m/>
  </r>
  <r>
    <x v="47"/>
    <s v="ИнвестКопилка"/>
    <s v="3Q2026"/>
    <s v="Знание ключевых метрик"/>
    <s v="Объем целевого рынка в Сбере + Клиенты с продуктом. Задача: Свести статистику потенциала сервиса ИнвестКопилки и пересчитать показатели дешборда DD. На стороне ИнвестКопилки."/>
    <d v="2026-09-30T00:00:00"/>
    <n v="3"/>
    <s v="В работе"/>
    <s v="Коробова Екатерина Вадимовна"/>
    <m/>
  </r>
  <r>
    <x v="48"/>
    <s v="ИнвестКопилка"/>
    <s v="3Q2026"/>
    <s v="Цели"/>
    <s v="Факторный анализ = драйверы 1-2 ур. Задача: В мастер-дэше нет целей продукта - выведены цели ЛЮ/ЛТ, ссылку на детальный дашборд добавляем в 3м квартале (цели ЛТ), надо синхронизировать методологию учета по вопросу. На стороне Штаба УБ + ИнвестКопика"/>
    <d v="2026-09-30T00:00:00"/>
    <n v="4.7"/>
    <s v="В работе"/>
    <s v="Коробова Екатерина Вадимовна"/>
    <m/>
  </r>
  <r>
    <x v="49"/>
    <s v="ИнвестКопилка"/>
    <s v="3Q2026"/>
    <s v="Воронка оттока"/>
    <s v="Полнота отчетности + Проведение комплексного анализа воронок оттока. Задача: завести в Навигатор дэшборды анализа Retention, CR, удержание + подробная аналитика оттока. На стороне ИнвестКопилки"/>
    <d v="2026-09-30T00:00:00"/>
    <n v="4.8"/>
    <s v="В работе"/>
    <s v="Коробова Екатерина Вадимовна"/>
    <m/>
  </r>
  <r>
    <x v="50"/>
    <s v="ИнвестКопилка"/>
    <s v="3Q2026"/>
    <s v="Алерты"/>
    <s v="Оповещение по бизнес-метрикам. Нерелевантно для нашего сервиса. Просим убрать метрику с нашего дэшборда."/>
    <d v="2026-09-30T00:00:00"/>
    <n v="4.7"/>
    <s v="В работе"/>
    <s v="Коробова Екатерина Вадимовна"/>
    <s v="Не понятна причина- прошу Штаб УБ прокомментировать"/>
  </r>
  <r>
    <x v="51"/>
    <s v="ИнвестКопилка"/>
    <s v="3Q2026"/>
    <s v="Механики"/>
    <s v="Гибкое изменение условий продукта. Нерелевантно для нашего сервиса. Просим убрать метрику с нашего дешборда. Изменение условий рассматриваем как простройку суб-проектов в рамках Микроинвестирования. Потребуется отдельный мониторинг этих проектов в будущем."/>
    <d v="2026-09-30T00:00:00"/>
    <n v="4.7"/>
    <s v="В работе"/>
    <s v="Коробова Екатерина Вадимовна"/>
    <m/>
  </r>
  <r>
    <x v="51"/>
    <s v="ИнвестКопилка"/>
    <s v="3Q2026"/>
    <s v="Механики"/>
    <s v="Допродажи (upsell). Просим скорректировать параметр, так как у нас есть и переход из сервиса в Сбер Сову. И мы тестировали функционал «О развитии в инвестициях» с переходом в открытие брокерского счета. А таже проводим А/Б тесты на стороне продаж для развития когорты клиентов: перевод в другие продукты и/или повышение чеков Автонакоплений. С нашей стороны upsell выполнен."/>
    <d v="2026-09-30T00:00:00"/>
    <n v="4.7"/>
    <s v="В работе"/>
    <s v="Коробова Екатерина Вадимовна"/>
    <s v="upsell=0 на оснве ответа РО в опроссе. _x000a_Для учета Upsell РО требуется направить видео CJ по наличию Upsell - мы загрузим его в losshunter. https://losshunter.ru/showcase/crosssell/#product=%D0%B8%D0%BD%D0%B2%D0%B5%D1%81%D1%82%D0%BA%D0%BE%D0%BF%D0%B8%D0%BB%D0%BA%D0%B0"/>
  </r>
  <r>
    <x v="52"/>
    <s v="ИнвестКопилка"/>
    <s v="3Q2026"/>
    <s v="Гипотезы и инициативы"/>
    <s v="Discovery &gt;=40% бэклога. Ссылка на доску Дата-аналитика:"/>
    <d v="2026-09-30T00:00:00"/>
    <n v="4.7"/>
    <s v="В работе"/>
    <s v="Коробова Екатерина Вадимовна"/>
    <s v="Добавим анализ по ЦС в части бэклога для расчета 3 кв"/>
  </r>
  <r>
    <x v="1"/>
    <m/>
    <m/>
    <m/>
    <s v="https://sbertrack.sberbank.ru/swtr/board/fc08e852-22a0-41c4-bd30-416aade9a5b2?space=INVESTMB&amp;tenant=default&amp;spaces=%5B%7B%22label%22%3A%22InvestMoneyBox%22%2C%22value%22%3A%22INVESTMB%22%7D%5D"/>
    <m/>
    <m/>
    <m/>
    <m/>
    <m/>
  </r>
  <r>
    <x v="1"/>
    <m/>
    <m/>
    <m/>
    <s v="Если имеется в виду Discovery не только по анализу данных, то у нас есть несколько выделенных ролей в команде на исследования разного уровня. Включая работу Discovery в смежных командах (например продажи). Прошу скорректировать параметр на 100%."/>
    <m/>
    <m/>
    <m/>
    <m/>
    <s v="Корректировка прошлых периодов не проводится. Аналитик появился недавно - результат учтется в расчет 3го кв-ла"/>
  </r>
  <r>
    <x v="1"/>
    <m/>
    <m/>
    <m/>
    <s v="Оценка исследований &gt;=7,5 Задача: Проработать вопрос со Штабом УБ, так как у нас нет запросов в Штаб, мы все делаем сами. Может поэтому не попадаем в отчетность. На стороне ИнвестКопилки."/>
    <m/>
    <n v="4.7"/>
    <m/>
    <m/>
    <m/>
  </r>
  <r>
    <x v="53"/>
    <s v="ИнвестКопилка"/>
    <s v="3Q2026"/>
    <s v="Воронка привлечения"/>
    <s v="Настроена отчетность. Воронка у нас автоматическая в Кликстрим. Прошу скорректировать параметр на 100%."/>
    <d v="2026-09-30T00:00:00"/>
    <n v="1.2"/>
    <s v="В работе"/>
    <s v="Коробова Екатерина Вадимовна"/>
    <s v="Ранее Ответили в Oprosso, что формирование по запросу. Не приложили ссылки на воронку. Требуется напрвить ссылки - для верификации"/>
  </r>
  <r>
    <x v="1"/>
    <m/>
    <m/>
    <m/>
    <s v="Полнота отчета. Объемы, сегменты, когорты у нас автоматически выставляются фильтрами в Навигатор. Прошу скорректировать параметр на 100%"/>
    <m/>
    <n v="1.2"/>
    <m/>
    <m/>
    <m/>
  </r>
  <r>
    <x v="1"/>
    <m/>
    <m/>
    <m/>
    <s v="Регулярность. Мы регулярно отслеживаем воронки привлечения, в период акции на ежедневной основе, в остальное несколько раз в неделю. Кликстрим автоматический, Навигатор автоматический. Прошу скорректировать параметр на 100%."/>
    <m/>
    <m/>
    <m/>
    <m/>
    <s v="Ранее Ответили в Oprosso, что формирование по запросу. Не приложили ссылки на воронку. Требуется напрвить ссылки - для верификации"/>
  </r>
  <r>
    <x v="53"/>
    <s v="ИнвестКопилка"/>
    <s v="3Q2026"/>
    <s v="Воронка привлечения"/>
    <s v="Черновики. С понедельника этой недели черновики не только уходят по ПУШ, но и через Баннеры. Прошу скорректировать параметр на 100%."/>
    <d v="2026-09-30T00:00:00"/>
    <n v="2.4"/>
    <s v="В работе"/>
    <s v="Коробова Екатерина Вадимовна"/>
    <s v="Корректировки не будет. Сейчас стоит 50% так как максимально покрытие Черновиками продукта за 2й составило 19% при целевом уровене 70%_x000a_ -50% выполнения начинается от 15% покрытия черновиками продукта"/>
  </r>
  <r>
    <x v="1"/>
    <m/>
    <m/>
    <m/>
    <s v="Наличие Self-servcie + Наличие успешных бизнес-запусков. Задача: Разобраться что за Self-servcie, потому что каждый месяц запускаются пилоты и коммуникации и акции. Есть успешные, даже проводилась отчетность по А/Б на уровень Р.Н.Вестеровского. На стороне ИнвестКопилки разобраться."/>
    <m/>
    <n v="2.4"/>
    <m/>
    <m/>
    <s v="Для анализа можно использовать данный исчтоник (https://navigator.sigma.sbrf.ru/gdash/1000003057)- при выявлении не точностей-сообщить"/>
  </r>
  <r>
    <x v="54"/>
    <s v="ИСЖ"/>
    <s v="4Q2026"/>
    <s v="Цели"/>
    <s v="Совместно со штабом декомпозировать значения целей на драйверы, вывести в Навигатор"/>
    <d v="2026-10-30T00:00:00"/>
    <n v="4.1"/>
    <s v="Ожидание"/>
    <s v="Клычева Олеся Олеговна"/>
    <m/>
  </r>
  <r>
    <x v="55"/>
    <s v="ИСЖ"/>
    <s v="3Q2026"/>
    <s v="Знание ключевых метрик"/>
    <s v="Проработка понимания доступной отчетности и регулярного мониторинга в Navigator. "/>
    <d v="2026-08-31T00:00:00"/>
    <n v="1"/>
    <s v="В работе"/>
    <s v="Клычева Олеся Олеговна"/>
    <m/>
  </r>
  <r>
    <x v="56"/>
    <s v="ИСЖ"/>
    <s v="3Q2026"/>
    <s v="Воронка привлечения"/>
    <s v="Настроить метрики и мониторинг по воронке привлечения"/>
    <d v="2026-09-30T00:00:00"/>
    <n v="3.1"/>
    <s v="В работе"/>
    <s v="Клычева Олеся Олеговна"/>
    <m/>
  </r>
  <r>
    <x v="57"/>
    <s v="ИСЖ"/>
    <s v="3Q2026"/>
    <s v="Воронка оттока"/>
    <s v="Настроить метрики и мониторинг по воронке оттоков"/>
    <d v="2026-09-30T00:00:00"/>
    <n v="4.2"/>
    <s v="В работе"/>
    <s v="Клычева Олеся Олеговна"/>
    <m/>
  </r>
  <r>
    <x v="58"/>
    <s v="ИСЖ"/>
    <s v="4Q2026"/>
    <s v="Гипотезы и инициативы"/>
    <s v="Провести АВ тестирование карточек. Повысить качество проведенных исследований"/>
    <d v="2026-10-30T00:00:00"/>
    <n v="4.1"/>
    <s v="В работе"/>
    <s v="Клычева Олеся Олеговна"/>
    <m/>
  </r>
  <r>
    <x v="56"/>
    <s v="ИСЖ"/>
    <s v="3Q2026"/>
    <s v="Воронка привлечения"/>
    <s v="Проведение анализа привлечения, выявление точек роста"/>
    <d v="2026-09-30T00:00:00"/>
    <n v="2.1"/>
    <s v="В работе"/>
    <s v="Клычева Олеся Олеговна"/>
    <m/>
  </r>
  <r>
    <x v="57"/>
    <s v="ИСЖ"/>
    <s v="3Q2026"/>
    <s v="Воронка оттока"/>
    <s v="Проведение анализа оттоков, выявление точек роста"/>
    <d v="2026-09-30T00:00:00"/>
    <n v="2.1"/>
    <s v="В работе"/>
    <s v="Клычева Олеся Олеговна"/>
    <m/>
  </r>
  <r>
    <x v="59"/>
    <s v="КАСКО"/>
    <s v="3Q2026"/>
    <s v="Знание ключевых метрик"/>
    <s v="Совместно со штабом синхронизация методологии расчетов, актуализация текущей методики по определению метрик"/>
    <d v="2026-08-31T00:00:00"/>
    <n v="3.7"/>
    <s v="Ожидание"/>
    <s v="Герасименко Я.В."/>
    <m/>
  </r>
  <r>
    <x v="60"/>
    <s v="КАСКО"/>
    <s v="3Q2026"/>
    <s v="Цели"/>
    <s v="Скорректировать ответ в опросе в соответствии с фактическим наличием отчетов в Навигаторе"/>
    <d v="2026-09-30T00:00:00"/>
    <n v="5.8"/>
    <s v="Выполнен"/>
    <s v="Герасименко Я.В."/>
    <m/>
  </r>
  <r>
    <x v="61"/>
    <s v="КАСКО"/>
    <s v="4Q2026"/>
    <s v="Воронка привлечения"/>
    <s v="Пересмотр методологии для скорринговых продуктов. Нам необходимо отправлять черновики только тем, кому готовы дать предложение, а не всем "/>
    <d v="2026-11-30T00:00:00"/>
    <n v="2"/>
    <s v="В работе"/>
    <s v="Герасименко Я.В."/>
    <m/>
  </r>
  <r>
    <x v="62"/>
    <s v="КАСКО"/>
    <s v="3Q2026"/>
    <s v="Гипотезы и инициативы"/>
    <s v="По оценке исследований изучить методику оценки, заполнять запрашиваемый файл ворд в соответствии с требованиями, проверять самостоятельно в потоке"/>
    <d v="2026-09-30T00:00:00"/>
    <n v="1"/>
    <s v="В работе"/>
    <s v="Семеняк И.П"/>
    <m/>
  </r>
  <r>
    <x v="62"/>
    <s v="КАСКО"/>
    <s v="3Q2026"/>
    <s v="Гипотезы и инициативы"/>
    <s v="Доп инициативы сверх бизнес плана не применима для продукта, так как на 2026г была зашита амбиция Х2 к факту 2025года, а не плавный рост"/>
    <d v="2026-09-30T00:00:00"/>
    <n v="1"/>
    <s v="Ожидание"/>
    <s v="Герасименко Я.В."/>
    <s v="Нужно подтверждение со стороны Планирования B2C- направим самостоятельно"/>
  </r>
  <r>
    <x v="63"/>
    <s v="КАСКО"/>
    <s v="3Q2026"/>
    <s v="Механики"/>
    <s v="Допродажи, Переход клиента на более ценный продукт или расширенный пакет услуг - в каско реализовано. Отправила видео Марии Черковой для синхронизации понимания наличия опции"/>
    <d v="2026-08-31T00:00:00"/>
    <n v="1"/>
    <s v="Ожидание"/>
    <s v="Герасименко Я.В."/>
    <m/>
  </r>
  <r>
    <x v="63"/>
    <s v="КАСКО"/>
    <s v="3Q2026"/>
    <s v="Механики"/>
    <s v="Гибкое изменение условий продукта - сбиться по методологии для каско, часть условий выведено в бизнес-параметры для оперативного изменения"/>
    <d v="2026-08-31T00:00:00"/>
    <n v="0.5"/>
    <s v="Ожидание"/>
    <s v="Герасименко Я.В."/>
    <m/>
  </r>
  <r>
    <x v="64"/>
    <s v="НСЖ"/>
    <s v="4Q2026"/>
    <s v="Цели"/>
    <s v="Совместно со штабом вывести в навигатор драйверы согласно модели бизнес-планирования"/>
    <d v="2026-11-30T00:00:00"/>
    <n v="2"/>
    <s v="Ожидание"/>
    <s v="Волобуев Андрей Николаевич"/>
    <m/>
  </r>
  <r>
    <x v="65"/>
    <s v="НСЖ"/>
    <s v="3Q2026"/>
    <s v="Знание ключевых метрик"/>
    <s v="Проработано понимание доступной отчетности и регулярного мониторинга"/>
    <d v="2026-08-31T00:00:00"/>
    <n v="3.6"/>
    <s v="В работе"/>
    <s v="Волобуев Андрей Николаевич"/>
    <m/>
  </r>
  <r>
    <x v="66"/>
    <s v="НСЖ"/>
    <s v="3Q2026"/>
    <s v="Гипотезы и инициативы"/>
    <s v="Сфокусировать бэклог аналитиков на research-задачи"/>
    <d v="2026-09-30T00:00:00"/>
    <n v="4.3"/>
    <s v="В работе"/>
    <s v="Волобуев Андрей Николаевич"/>
    <s v="для подтверждения данной метрики требуется направить ссылку на пространство DA продукта в Jira/сбертрек"/>
  </r>
  <r>
    <x v="67"/>
    <s v="НСЖ"/>
    <s v="3Q2026"/>
    <s v="Воронка оттока"/>
    <s v="Провести анализ оттока, выявить точки роста"/>
    <d v="2026-09-30T00:00:00"/>
    <n v="2.1"/>
    <s v="В работе"/>
    <s v="Волобуев Андрей Николаевич"/>
    <m/>
  </r>
  <r>
    <x v="66"/>
    <s v="НСЖ"/>
    <s v="4Q2026"/>
    <s v="Гипотезы и инициативы"/>
    <s v="Повысить качество проведенных исследований"/>
    <d v="2026-11-30T00:00:00"/>
    <n v="4.3"/>
    <s v="Ожидание"/>
    <s v="Волобуев Андрей Николаевич"/>
    <m/>
  </r>
  <r>
    <x v="68"/>
    <s v="НСЖ"/>
    <s v="4Q2026"/>
    <s v="Воронка привлечения"/>
    <s v="Развитие кампейнинга"/>
    <d v="2026-11-30T00:00:00"/>
    <n v="4.3"/>
    <s v="Ожидание"/>
    <s v="Волобуев Андрей Николаевич"/>
    <s v="?"/>
  </r>
  <r>
    <x v="69"/>
    <s v="ОПИФ"/>
    <s v="3Q2026"/>
    <s v="Знание ключевых метрик"/>
    <s v="Проработано понимание доступной отчетности и регулярного мониторинга"/>
    <d v="2026-08-05T00:00:00"/>
    <n v="3.3"/>
    <s v="Выполнен"/>
    <s v="Клочкова Ольга Владимировна"/>
    <m/>
  </r>
  <r>
    <x v="70"/>
    <s v="ОПИФ"/>
    <s v="3Q2026"/>
    <s v="Воронка привлечения"/>
    <s v="Настроить отчетность по воронке привлечения"/>
    <d v="2026-08-31T00:00:00"/>
    <n v="1"/>
    <s v="В работе"/>
    <s v="Клочкова Ольга Владимировна"/>
    <m/>
  </r>
  <r>
    <x v="70"/>
    <s v="ОПИФ"/>
    <s v="3Q2026"/>
    <s v="Воронка привлечения"/>
    <s v="Обогатить метриками мониторинг по воронке привлечения"/>
    <d v="2026-08-31T00:00:00"/>
    <n v="1"/>
    <s v="В работе"/>
    <s v="Клочкова Ольга Владимировна"/>
    <m/>
  </r>
  <r>
    <x v="71"/>
    <s v="ОПИФ"/>
    <s v="4Q2026"/>
    <s v="Цели"/>
    <s v="Совместно со штабом вывести в навигатор драйверы согласно модели бизнес-планирования"/>
    <d v="2026-10-30T00:00:00"/>
    <n v="3.8"/>
    <s v="Ожидание"/>
    <s v="Клочкова Ольга Владимировна"/>
    <m/>
  </r>
  <r>
    <x v="72"/>
    <s v="ОПИФ"/>
    <s v="4Q2026"/>
    <s v="Воронка оттока"/>
    <s v="Совместно со штабом обогатить метриками мониторинг по воронке оттока"/>
    <d v="2026-10-30T00:00:00"/>
    <n v="1.9"/>
    <s v="Ожидание"/>
    <s v="Клочкова Ольга Владимировна"/>
    <m/>
  </r>
  <r>
    <x v="73"/>
    <s v="ОПИФ"/>
    <s v="3Q2026"/>
    <s v="Механики"/>
    <s v="Добавить условия с персонализацией до клиентских подсегментов"/>
    <d v="2026-08-05T00:00:00"/>
    <n v="1.9"/>
    <s v="Выполнен"/>
    <s v="Клочкова Ольга Владимировна"/>
    <m/>
  </r>
  <r>
    <x v="74"/>
    <s v="ОПИФ"/>
    <s v="4Q2026"/>
    <s v="Гипотезы и инициативы"/>
    <s v="Повысить качество проведенных исследований"/>
    <d v="2026-11-15T00:00:00"/>
    <n v="3.9"/>
    <s v="В работе"/>
    <s v="Клочкова Ольга Владимировна"/>
    <m/>
  </r>
  <r>
    <x v="72"/>
    <s v="ОПИФ"/>
    <s v="3Q2026"/>
    <s v="Воронка оттока"/>
    <s v="Провести анализ оттока, выявить точки роста"/>
    <d v="2026-08-31T00:00:00"/>
    <n v="1.9"/>
    <s v="В работе"/>
    <s v="Клочкова Ольга Владимировна"/>
    <m/>
  </r>
  <r>
    <x v="75"/>
    <s v="ОСАГО"/>
    <s v="3Q2026"/>
    <s v="Знание ключевых метрик"/>
    <s v="Синхронизация методологии расчетов, актуализация текущей методики по определению метрик."/>
    <d v="2026-08-31T00:00:00"/>
    <n v="3.7"/>
    <s v="Ожидание"/>
    <s v="Можак М.И."/>
    <m/>
  </r>
  <r>
    <x v="76"/>
    <s v="ОСАГО"/>
    <s v="3Q2026"/>
    <s v="Цели"/>
    <s v="Скорректировать ответ в опросе в соответствии с фактическим наличием отчетов в навигаторе."/>
    <s v="31.09.2026"/>
    <n v="5.8"/>
    <s v="Выполнен"/>
    <s v="Можак М.И."/>
    <m/>
  </r>
  <r>
    <x v="77"/>
    <s v="ОСАГО"/>
    <s v="3Q2026"/>
    <s v="Гипотезы и инициативы"/>
    <s v="По оценке исследований изучить методику оценки, заполнять запрашиваемый файл ворд в соответствии с требованиями, проверять самостоятельно в потоке."/>
    <s v="31.09.2026"/>
    <n v="1"/>
    <s v="В работе"/>
    <s v="Семеняк И.П."/>
    <m/>
  </r>
  <r>
    <x v="77"/>
    <s v="ОСАГО"/>
    <s v="3Q2026"/>
    <s v="Гипотезы и инициативы"/>
    <s v="Доп инициативы сверх бизнес плана не применимы для продукта, так как на 2026г была зашита амбиция +60% к плану 2025года, а не плавный рост."/>
    <s v="31.09.2026"/>
    <n v="1"/>
    <s v="Ожидание"/>
    <s v="Можак М.И."/>
    <s v="Нужно подтверждение со стороны Планирования B2C - направим самостоятельно"/>
  </r>
  <r>
    <x v="78"/>
    <s v="ОСАГО"/>
    <s v="3Q2026"/>
    <s v="Механики"/>
    <s v="Допродажи, изменение методологии под ОСАГО не применимы, т.к. допродажи запрещены законом. "/>
    <d v="2026-08-31T00:00:00"/>
    <n v="1"/>
    <s v="Ожидание"/>
    <s v="Можак М.И."/>
    <s v="up-sell (предложение более дорогого или расширенного продукта) для ОСАГО возможен, но он должен быть строго добровольным. Предложение купить дополнительную страховку или услугу — это разрешенный up-sell, а вот принуждение к ней — это уже незаконное навязывание."/>
  </r>
  <r>
    <x v="78"/>
    <s v="ОСАГО"/>
    <s v="3Q2026"/>
    <s v="Механики"/>
    <s v="Гибкое изменение условий продукта - сбиться по методологии для ОСАГО, часть условий выведено в бизнес-параметры для оперативного изменения."/>
    <d v="2026-08-31T00:00:00"/>
    <n v="0.5"/>
    <s v="Ожидание"/>
    <s v="Можак М.И."/>
    <m/>
  </r>
  <r>
    <x v="79"/>
    <s v="ПДС"/>
    <s v="3Q2026"/>
    <s v="Знание ключевых метрик"/>
    <s v="Совместно со Штабом УБ проведена синхронизация отчетности и знаний продукта"/>
    <d v="2026-09-30T00:00:00"/>
    <n v="3.4"/>
    <s v="Ожидание"/>
    <s v="Норенко Александра Викторовна"/>
    <m/>
  </r>
  <r>
    <x v="80"/>
    <s v="ПДС"/>
    <s v="3Q2026"/>
    <s v="Цели"/>
    <s v="Совместно со Штабом УБ проведена синхронизация и вывод драйверов целей ЛТ/ЛЮ"/>
    <d v="2026-09-30T00:00:00"/>
    <n v="4.1"/>
    <s v="Ожидание"/>
    <s v="Норенко Александра Викторовна"/>
    <m/>
  </r>
  <r>
    <x v="81"/>
    <s v="ПДС"/>
    <s v="3Q2026"/>
    <s v="Воронка оттока"/>
    <s v="Настроить мониторинг по воронке оттока"/>
    <d v="2026-09-30T00:00:00"/>
    <n v="2.1"/>
    <s v="Ожидание"/>
    <s v="Норенко Александра Викторовна"/>
    <m/>
  </r>
  <r>
    <x v="81"/>
    <s v="ПДС"/>
    <s v="3Q2026"/>
    <s v="Воронка оттока"/>
    <s v="Обогатить метриками мониторинг по воронке оттока"/>
    <d v="2026-09-30T00:00:00"/>
    <n v="2.1"/>
    <s v="Ожидание"/>
    <s v="Норенко Александра Викторовна"/>
    <m/>
  </r>
  <r>
    <x v="82"/>
    <s v="ПДС"/>
    <s v="3Q2026"/>
    <s v="Воронка привлечения"/>
    <s v="Увеличить покрытие черновиков"/>
    <d v="2026-09-30T00:00:00"/>
    <n v="4.2"/>
    <s v="Ожидание"/>
    <s v="Норенко Александра Викторовна"/>
    <m/>
  </r>
  <r>
    <x v="81"/>
    <s v="ПДС"/>
    <s v="3Q2026"/>
    <s v="Воронка оттока"/>
    <s v="Провести анализ оттока, выявить точки роста"/>
    <d v="2026-09-30T00:00:00"/>
    <n v="4.1"/>
    <s v="Ожидание"/>
    <s v="Норенко Александра Викторовна"/>
    <m/>
  </r>
  <r>
    <x v="83"/>
    <s v="Страхование залога"/>
    <s v="4Q2026"/>
    <s v="Знание ключевых метрик"/>
    <s v="(Совместно со Штабом УБ синхронизация) Знание об отчетности в Навигаторе"/>
    <d v="2026-12-31T00:00:00"/>
    <n v="1"/>
    <s v="В работе"/>
    <s v="Клевалин Михаил Александрович, Казакова Кристина Юрьевна"/>
    <m/>
  </r>
  <r>
    <x v="84"/>
    <s v="Страхование залога"/>
    <s v="4Q2026"/>
    <s v="Цели"/>
    <s v="(Совместно со Штабом УБ синхронизация)  Факторный анализ - драйверы 1-2 ур."/>
    <d v="2026-12-31T00:00:00"/>
    <n v="2.9"/>
    <s v="В работе"/>
    <s v="Клевалин Михаил Александрович, Казакова Кристина Юрьевна"/>
    <m/>
  </r>
  <r>
    <x v="85"/>
    <s v="Страхование залога"/>
    <s v="4Q2026"/>
    <s v="Воронка привлечения"/>
    <s v="(Требуется синхронизация) Настроена отчетность по воронке привлечения"/>
    <d v="2026-12-31T00:00:00"/>
    <n v="4.2"/>
    <s v="В работе"/>
    <s v="Клевалин Михаил Александрович, Казакова Кристина Юрьевна"/>
    <m/>
  </r>
  <r>
    <x v="85"/>
    <s v="Страхование залога"/>
    <s v="4Q2026"/>
    <s v="Воронка привлечения"/>
    <s v="(Требуется синхронизация) Полнота отчета - Источники/CR/CTR/CPC"/>
    <m/>
    <m/>
    <s v="В работе"/>
    <s v="Клевалин Михаил Александрович, Казакова Кристина Юрьевна"/>
    <m/>
  </r>
  <r>
    <x v="85"/>
    <s v="Страхование залога"/>
    <s v="4Q2026"/>
    <s v="Воронка привлечения"/>
    <s v="(Требуется синхронизация)  Регулярность автоматически (daily / weekly)"/>
    <m/>
    <m/>
    <s v="В работе"/>
    <s v="Клевалин Михаил Александрович, Казакова Кристина Юрьевна"/>
    <m/>
  </r>
  <r>
    <x v="85"/>
    <s v="Страхование залога"/>
    <s v="4Q2026"/>
    <s v="Воронка привлечения"/>
    <s v="Анализ - Проведение комплексного анализа воронки привлечения. Оценка эффективности, поиск точек роста"/>
    <d v="2026-12-31T00:00:00"/>
    <n v="2.1"/>
    <s v="В работе"/>
    <s v="Казакова Кристина Юрьевна"/>
    <m/>
  </r>
  <r>
    <x v="85"/>
    <s v="Страхование залога"/>
    <s v="4Q2026"/>
    <s v="Воронка привлечения"/>
    <s v="Кампейнинг - Черновик в СБОЛ &gt;70%"/>
    <d v="2026-12-31T00:00:00"/>
    <n v="2.1"/>
    <s v="В работе"/>
    <s v="Казакова Кристина Юрьевна"/>
    <m/>
  </r>
  <r>
    <x v="85"/>
    <s v="Страхование залога"/>
    <s v="4Q2026"/>
    <s v="Воронка привлечения"/>
    <s v="Кампейнинг - Наличие Self-Service"/>
    <d v="2026-09-01T00:00:00"/>
    <n v="2.1"/>
    <s v="В работе"/>
    <s v="Клевалин Михаил Александрович"/>
    <m/>
  </r>
  <r>
    <x v="85"/>
    <s v="Страхование залога"/>
    <s v="4Q2026"/>
    <s v="Воронка привлечения"/>
    <s v="Кампейнинг - Наличие успешных бизнес-запусков  Self-Service"/>
    <d v="2026-12-31T00:00:00"/>
    <n v="2.1"/>
    <s v="В работе"/>
    <s v="Клевалин Михаил Александрович"/>
    <m/>
  </r>
  <r>
    <x v="86"/>
    <s v="Страхование залога"/>
    <s v="4Q2026"/>
    <s v="Воронка оттока"/>
    <s v="Отчетность - Полнота отчета"/>
    <d v="2026-12-31T00:00:00"/>
    <n v="2.1"/>
    <s v="Ожидание"/>
    <s v="Казакова Кристина Юрьевна"/>
    <m/>
  </r>
  <r>
    <x v="86"/>
    <s v="Страхование залога"/>
    <s v="4Q2026"/>
    <s v="Воронка оттока"/>
    <s v="Отчетность - Проведение комплексного анализа воронки оттока"/>
    <d v="2026-12-31T00:00:00"/>
    <n v="2.1"/>
    <s v="Ожидание"/>
    <s v="Казакова Кристина Юрьевна"/>
    <m/>
  </r>
  <r>
    <x v="87"/>
    <s v="ЦФА"/>
    <s v="3Q2026"/>
    <s v="Механики"/>
    <s v="Гибкое изменение условий продукта"/>
    <d v="2026-09-30T00:00:00"/>
    <n v="5.2"/>
    <s v="В работе"/>
    <s v="Илларионов Артем"/>
    <m/>
  </r>
  <r>
    <x v="88"/>
    <s v="ЦФА"/>
    <s v="4Q2026"/>
    <s v="Знание ключевых метрик"/>
    <s v="Определить объем целевого рынка России и Сбера совместно со Штабом УБ"/>
    <d v="2026-12-31T00:00:00"/>
    <n v="4.3"/>
    <s v="В работе"/>
    <s v="Илларионов Артем, Тихонов Сергей, Лесин Никита"/>
    <m/>
  </r>
  <r>
    <x v="89"/>
    <s v="ЦФА"/>
    <s v="4Q2026"/>
    <s v="Гипотезы и инициативы"/>
    <s v="Сфокусировать бэклог аналитиков на research-задачи"/>
    <d v="2026-12-31T00:00:00"/>
    <n v="5.2"/>
    <s v="В работе"/>
    <s v="Илларионов Артем"/>
    <s v="для подтверждения данной метрики требуется направить ссылку на пространство DA продукта в Jira/сбертрек"/>
  </r>
  <r>
    <x v="90"/>
    <s v="ЦФА"/>
    <s v="4Q2026"/>
    <s v="Воронка оттока"/>
    <s v="Настроить мониторинг по воронке оттока совместно со Штабом УБ"/>
    <d v="2026-12-31T00:00:00"/>
    <n v="2.6"/>
    <s v="В работе"/>
    <s v="Илларионов Артем"/>
    <m/>
  </r>
  <r>
    <x v="89"/>
    <s v="ЦФА"/>
    <s v="4Q2026"/>
    <s v="Гипотезы и инициативы"/>
    <s v="Повысить качество проведенных исследований"/>
    <d v="2026-12-31T00:00:00"/>
    <n v="5.2"/>
    <s v="В работе"/>
    <s v="Илларионов Артем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2" cacheId="1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95" firstHeaderRow="1" firstDataRow="1" firstDataCol="1"/>
  <pivotFields count="10">
    <pivotField axis="axisRow" showDropDowns="1" compact="1" outline="1" subtotalTop="1" dragToRow="1" dragToCol="1" dragToPage="1" dragToData="1" dragOff="1" showAll="0" topAutoShow="1" itemPageCount="10" sortType="manual" defaultSubtotal="1">
      <items count="93">
        <item t="data" sd="1" x="6"/>
        <item t="data" sd="1" x="7"/>
        <item t="data" sd="1" x="5"/>
        <item t="data" sd="1" x="8"/>
        <item t="data" sd="1" x="11"/>
        <item t="data" sd="1" x="9"/>
        <item t="data" sd="1" x="10"/>
        <item t="data" sd="1" x="14"/>
        <item t="data" sd="1" x="17"/>
        <item t="data" sd="1" x="13"/>
        <item t="data" sd="1" x="15"/>
        <item t="data" sd="1" x="12"/>
        <item t="data" sd="1" x="19"/>
        <item t="data" sd="1" x="18"/>
        <item t="data" sd="1" x="16"/>
        <item t="data" sd="1" x="26"/>
        <item t="data" sd="1" x="24"/>
        <item t="data" sd="1" x="25"/>
        <item t="data" sd="1" x="28"/>
        <item t="data" sd="1" x="23"/>
        <item t="data" sd="1" x="27"/>
        <item t="data" sd="1" x="22"/>
        <item t="data" sd="1" x="20"/>
        <item t="data" sd="1" x="21"/>
        <item t="data" sd="1" x="32"/>
        <item t="data" sd="1" x="29"/>
        <item t="data" sd="1" x="30"/>
        <item t="data" sd="1" x="33"/>
        <item t="data" sd="1" x="31"/>
        <item t="data" sd="1" x="36"/>
        <item t="data" sd="1" x="39"/>
        <item t="data" sd="1" x="35"/>
        <item t="data" sd="1" x="37"/>
        <item t="data" sd="1" x="34"/>
        <item t="data" sd="1" x="40"/>
        <item t="data" sd="1" x="38"/>
        <item t="data" sd="1" x="43"/>
        <item t="data" sd="1" x="42"/>
        <item t="data" sd="1" x="45"/>
        <item t="data" sd="1" x="41"/>
        <item t="data" sd="1" x="46"/>
        <item t="data" sd="1" x="44"/>
        <item t="data" sd="1" x="50"/>
        <item t="data" sd="1" x="49"/>
        <item t="data" sd="1" x="53"/>
        <item t="data" sd="1" x="52"/>
        <item t="data" sd="1" x="47"/>
        <item t="data" sd="1" m="1" x="91"/>
        <item t="data" sd="1" x="51"/>
        <item t="data" sd="1" x="48"/>
        <item t="data" sd="1" x="57"/>
        <item t="data" sd="1" x="56"/>
        <item t="data" sd="1" x="58"/>
        <item t="data" sd="1" x="55"/>
        <item t="data" sd="1" x="54"/>
        <item t="data" sd="1" x="61"/>
        <item t="data" sd="1" x="62"/>
        <item t="data" sd="1" x="59"/>
        <item t="data" sd="1" x="63"/>
        <item t="data" sd="1" x="60"/>
        <item t="data" sd="1" x="67"/>
        <item t="data" sd="1" x="68"/>
        <item t="data" sd="1" x="66"/>
        <item t="data" sd="1" x="65"/>
        <item t="data" sd="1" x="64"/>
        <item t="data" sd="1" x="72"/>
        <item t="data" sd="1" x="70"/>
        <item t="data" sd="1" x="74"/>
        <item t="data" sd="1" x="69"/>
        <item t="data" sd="1" x="73"/>
        <item t="data" sd="1" x="71"/>
        <item t="data" sd="1" x="77"/>
        <item t="data" sd="1" x="75"/>
        <item t="data" sd="1" x="78"/>
        <item t="data" sd="1" x="76"/>
        <item t="data" sd="1" x="81"/>
        <item t="data" sd="1" x="82"/>
        <item t="data" sd="1" x="79"/>
        <item t="data" sd="1" x="80"/>
        <item t="data" sd="1" x="3"/>
        <item t="data" sd="1" x="2"/>
        <item t="data" sd="1" x="4"/>
        <item t="data" sd="1" x="0"/>
        <item t="data" sd="1" x="86"/>
        <item t="data" sd="1" x="85"/>
        <item t="data" sd="1" x="83"/>
        <item t="data" sd="1" x="84"/>
        <item t="data" sd="1" x="90"/>
        <item t="data" sd="1" x="89"/>
        <item t="data" sd="1" x="88"/>
        <item t="data" sd="1" x="87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9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grand" r="0" i="0">
      <x v="0"/>
    </i>
  </rowItems>
  <colItems count="1">
    <i t="data" r="0" i="0"/>
  </colItems>
  <dataFields count="1">
    <dataField name="Сумма по полю Ожидание прироста индекса DD, п.п.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osstat.gov.ru/statistics/turizm" TargetMode="External" Id="rId1" /><Relationship Type="http://schemas.openxmlformats.org/officeDocument/2006/relationships/hyperlink" Target="https://qlik.sigma.sbrf.ru/qs_b2c_data/scim_sigma/sense/app/25e1a8c8-9a7c-4072-bf29-055bba63e97e/sheet/996accc8-5be9-4cf2-92f5-eb932bbf3980/state/analysis" TargetMode="External" Id="rId2" /><Relationship Type="http://schemas.openxmlformats.org/officeDocument/2006/relationships/hyperlink" Target="https://qlik.sigma.sbrf.ru/qs_b2c_data/scim_sigma/sense/app/25e1a8c8-9a7c-4072-bf29-055bba63e97e/sheet/996accc8-5be9-4cf2-92f5-eb932bbf3980/state/analysis" TargetMode="External" Id="rId3" /><Relationship Type="http://schemas.openxmlformats.org/officeDocument/2006/relationships/hyperlink" Target="https://navigator.sigma.sbrf.ru/gdash/1000000820/1000012918?period=2026-06-01%7C%7C%7C2026-06-30" TargetMode="External" Id="rId4" /><Relationship Type="http://schemas.openxmlformats.org/officeDocument/2006/relationships/hyperlink" Target="https://navigator.sigma.sbrf.ru/gdash/1000003899/1000039655?sSetGroup=7" TargetMode="External" Id="rId5" /><Relationship Type="http://schemas.openxmlformats.org/officeDocument/2006/relationships/hyperlink" Target="https://navigator.sigma.sbrf.ru/gdash/1000001002/1000010105" TargetMode="External" Id="rId6" /><Relationship Type="http://schemas.openxmlformats.org/officeDocument/2006/relationships/hyperlink" Target="https://navigator.sigma.sbrf.ru/gdash/1000001002/1000010222" TargetMode="External" Id="rId7" /><Relationship Type="http://schemas.openxmlformats.org/officeDocument/2006/relationships/hyperlink" Target="https://navigator.sigma.sbrf.ru/gdash/1000000820/1000007927" TargetMode="External" Id="rId8" /><Relationship Type="http://schemas.openxmlformats.org/officeDocument/2006/relationships/hyperlink" Target="https://navigator.sigma.sbrf.ru/gdash/1000000820/1000012918?period=2026-06-01%7C%7C%7C2026-06-30" TargetMode="External" Id="rId9" /><Relationship Type="http://schemas.openxmlformats.org/officeDocument/2006/relationships/hyperlink" Target="https://navigator.sigma.sbrf.ru/gdash/1000000826/1000008041" TargetMode="External" Id="rId10" /><Relationship Type="http://schemas.openxmlformats.org/officeDocument/2006/relationships/hyperlink" Target="https://sbertrack.sberbank.ru/swtr/board/fc08e852-22a0-41c4-bd30-416aade9a5b2?space=INVESTMB&amp;tenant=default&amp;spaces=%5B%7B%22label%22%3A%22InvestMoneyBox%22%2C%22value%22%3A%22INVESTMB%22%7D%5D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rosstat.gov.ru/statistics/turizm" TargetMode="External" Id="rId1" /><Relationship Type="http://schemas.openxmlformats.org/officeDocument/2006/relationships/hyperlink" Target="https://navigator.sigma.sbrf.ru/gdash/1000000720?prod=%D0%A1%D1%82%D1%80%D0%B0%D1%85%D0%BE%D0%B2%D0%B0%D0%BD%D0%B8%D0%B5%20%D0%BF%D1%83%D1%82%D0%B5%D1%88%D0%B5%D1%81%D1%82%D0%B2%D0%B5%D0%BD%D0%BD%D0%B8%D0%BA%D0%BE%D0%B2%20-%20%D0%BA%D1%80%D0%BE%D0%BC%D0%B5%20%D0%9F%D0%A3&amp;amp;period=3" TargetMode="External" Id="rId2" /><Relationship Type="http://schemas.openxmlformats.org/officeDocument/2006/relationships/hyperlink" Target="https://clickstream.sigma.sbrf.ru/frontend/sbol/reports/funnels/29292" TargetMode="External" Id="rId3" /><Relationship Type="http://schemas.openxmlformats.org/officeDocument/2006/relationships/hyperlink" Target="https://clickstream.sigma.sbrf.ru/frontend/sbol/reports/funnels/29292" TargetMode="External" Id="rId4" /><Relationship Type="http://schemas.openxmlformats.org/officeDocument/2006/relationships/hyperlink" Target="https://clickstream.sigma.sbrf.ru/frontend/sbol/reports/funnels/29292" TargetMode="External" Id="rId5" /><Relationship Type="http://schemas.openxmlformats.org/officeDocument/2006/relationships/hyperlink" Target="https://qlik.sigma.sbrf.ru/qs_b2c_data/scim_sigma/sense/app/25e1a8c8-9a7c-4072-bf29-055bba63e97e/sheet/996accc8-5be9-4cf2-92f5-eb932bbf3980/state/analysis" TargetMode="External" Id="rId6" /><Relationship Type="http://schemas.openxmlformats.org/officeDocument/2006/relationships/hyperlink" Target="https://qlik.sigma.sbrf.ru/qs_b2c_data/scim_sigma/sense/app/25e1a8c8-9a7c-4072-bf29-055bba63e97e/sheet/996accc8-5be9-4cf2-92f5-eb932bbf3980/state/analysis" TargetMode="External" Id="rId7" /><Relationship Type="http://schemas.openxmlformats.org/officeDocument/2006/relationships/hyperlink" Target="https://agile.sber.ru/dashboard/" TargetMode="External" Id="rId8" /><Relationship Type="http://schemas.openxmlformats.org/officeDocument/2006/relationships/hyperlink" Target="https://agile.sber.ru/dashboard/" TargetMode="External" Id="rId9" /><Relationship Type="http://schemas.openxmlformats.org/officeDocument/2006/relationships/hyperlink" Target="https://navigator.sigma.sbrf.ru/gdash/1000000720?prod=%D0%A1%D1%82%D1%80%D0%B0%D1%85%D0%BE%D0%B2%D0%B0%D0%BD%D0%B8%D0%B5%20%D0%BF%D1%83%D1%82%D0%B5%D1%88%D0%B5%D1%81%D1%82%D0%B2%D0%B5%D0%BD%D0%BD%D0%B8%D0%BA%D0%BE%D0%B2%20-%20%D0%BA%D1%80%D0%BE%D0%BC%D0%B5%20%D0%9F%D0%A3&amp;amp;period=3" TargetMode="External" Id="rId10" /><Relationship Type="http://schemas.openxmlformats.org/officeDocument/2006/relationships/hyperlink" Target="https://clickstream.sigma.sbrf.ru/frontend/sbol/reports/funnels/29292" TargetMode="External" Id="rId11" /><Relationship Type="http://schemas.openxmlformats.org/officeDocument/2006/relationships/hyperlink" Target="https://reflex-prom2.ca.sbrf.ru/e/c2be9ac2-9884-4120-973a-a7d485a8b497/" TargetMode="External" Id="rId12" /><Relationship Type="http://schemas.openxmlformats.org/officeDocument/2006/relationships/hyperlink" Target="https://agile.sber.ru/dashboard/" TargetMode="External" Id="rId13" /><Relationship Type="http://schemas.openxmlformats.org/officeDocument/2006/relationships/hyperlink" Target="https://clickstream.sigma.sbrf.ru/frontend/sbol/reports/funnels/29292" TargetMode="External" Id="rId14" /><Relationship Type="http://schemas.openxmlformats.org/officeDocument/2006/relationships/hyperlink" Target="https://navigator.sigma.sbrf.ru/gdash/1000000720?prod=%D0%A1%D1%82%D1%80%D0%B0%D1%85%D0%BE%D0%B2%D0%B0%D0%BD%D0%B8%D0%B5%20%D0%BF%D1%83%D1%82%D0%B5%D1%88%D0%B5%D1%81%D1%82%D0%B2%D0%B5%D0%BD%D0%BD%D0%B8%D0%BA%D0%BE%D0%B2%20-%20%D0%BA%D1%80%D0%BE%D0%BC%D0%B5%20%D0%9F%D0%A3&amp;amp;period=3" TargetMode="External" Id="rId15" /><Relationship Type="http://schemas.openxmlformats.org/officeDocument/2006/relationships/hyperlink" Target="https://navigator.ca.sbrf.ru/gdash/1000003899" TargetMode="External" Id="rId16" /><Relationship Type="http://schemas.openxmlformats.org/officeDocument/2006/relationships/hyperlink" Target="https://sberdocs.sberbank.ru/app/tasks/47fb17be-efe2-4138-b273-53c9f1afec1b" TargetMode="External" Id="rId17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D95"/>
  <sheetViews>
    <sheetView workbookViewId="0">
      <selection activeCell="D16" sqref="D16"/>
    </sheetView>
  </sheetViews>
  <sheetFormatPr baseColWidth="8" defaultRowHeight="15.75"/>
  <cols>
    <col width="70" customWidth="1" style="181" min="1" max="1"/>
    <col width="50.125" customWidth="1" style="181" min="2" max="2"/>
  </cols>
  <sheetData>
    <row r="3">
      <c r="A3" s="180" t="inlineStr">
        <is>
          <t>Названия строк</t>
        </is>
      </c>
      <c r="B3" t="inlineStr">
        <is>
          <t>Сумма по полю Ожидание прироста индекса DD, п.п.</t>
        </is>
      </c>
      <c r="C3" t="inlineStr">
        <is>
          <t>аплифт</t>
        </is>
      </c>
    </row>
    <row r="4">
      <c r="A4" s="18" t="inlineStr">
        <is>
          <t>БПИФ_Воронка оттока</t>
        </is>
      </c>
      <c r="B4" t="n">
        <v>6</v>
      </c>
      <c r="C4" t="e">
        <f>VLOOKUP(A:A,'[1]Невыполненные метрики'!$A:$B,2,0)</f>
        <v>#N/A</v>
      </c>
      <c r="D4" t="e">
        <f>IF(B4&gt;C4,"ошибка","")</f>
        <v>#N/A</v>
      </c>
    </row>
    <row r="5">
      <c r="A5" s="18" t="inlineStr">
        <is>
          <t>БПИФ_Воронка привлечения</t>
        </is>
      </c>
      <c r="B5" t="n">
        <v>5</v>
      </c>
      <c r="C5" t="e">
        <f>VLOOKUP(A:A,'[1]Невыполненные метрики'!$A:$B,2,0)</f>
        <v>#N/A</v>
      </c>
      <c r="D5" t="e">
        <f>IF(B5&gt;C5,"ошибка","")</f>
        <v>#N/A</v>
      </c>
    </row>
    <row r="6">
      <c r="A6" s="18" t="inlineStr">
        <is>
          <t>БПИФ_Знание ключевых метрик</t>
        </is>
      </c>
      <c r="B6" t="n">
        <v>3.4</v>
      </c>
      <c r="C6" t="e">
        <f>VLOOKUP(A:A,'[1]Невыполненные метрики'!$A:$B,2,0)</f>
        <v>#N/A</v>
      </c>
      <c r="D6" t="e">
        <f>IF(B6&gt;C6,"ошибка","")</f>
        <v>#N/A</v>
      </c>
    </row>
    <row r="7">
      <c r="A7" s="18" t="inlineStr">
        <is>
          <t>БПИФ_Цели</t>
        </is>
      </c>
      <c r="B7" t="n">
        <v>5.9</v>
      </c>
      <c r="C7" t="e">
        <f>VLOOKUP(A:A,'[1]Невыполненные метрики'!$A:$B,2,0)</f>
        <v>#N/A</v>
      </c>
      <c r="D7" t="e">
        <f>IF(B7&gt;C7,"ошибка","")</f>
        <v>#N/A</v>
      </c>
    </row>
    <row r="8">
      <c r="A8" s="18" t="inlineStr">
        <is>
          <t>Брокерский счет_Гипотезы и инициативы</t>
        </is>
      </c>
      <c r="B8" t="n">
        <v>1.9</v>
      </c>
      <c r="C8" t="e">
        <f>VLOOKUP(A:A,'[1]Невыполненные метрики'!$A:$B,2,0)</f>
        <v>#N/A</v>
      </c>
      <c r="D8" t="e">
        <f>IF(B8&gt;C8,"ошибка","")</f>
        <v>#N/A</v>
      </c>
    </row>
    <row r="9">
      <c r="A9" s="18" t="inlineStr">
        <is>
          <t>Брокерский счет_Знание ключевых метрик</t>
        </is>
      </c>
      <c r="B9" t="n">
        <v>3.4</v>
      </c>
      <c r="C9" t="e">
        <f>VLOOKUP(A:A,'[1]Невыполненные метрики'!$A:$B,2,0)</f>
        <v>#N/A</v>
      </c>
      <c r="D9" t="e">
        <f>IF(B9&gt;C9,"ошибка","")</f>
        <v>#N/A</v>
      </c>
    </row>
    <row r="10">
      <c r="A10" s="18" t="inlineStr">
        <is>
          <t>Брокерский счет_Цели</t>
        </is>
      </c>
      <c r="B10" t="n">
        <v>3.3</v>
      </c>
      <c r="C10" t="e">
        <f>VLOOKUP(A:A,'[1]Невыполненные метрики'!$A:$B,2,0)</f>
        <v>#N/A</v>
      </c>
      <c r="D10" t="e">
        <f>IF(B10&gt;C10,"ошибка","")</f>
        <v>#N/A</v>
      </c>
    </row>
    <row r="11">
      <c r="A11" s="18" t="inlineStr">
        <is>
          <t>ВЗР_Алерты</t>
        </is>
      </c>
      <c r="B11" t="n">
        <v>2</v>
      </c>
      <c r="C11" t="e">
        <f>VLOOKUP(A:A,'[1]Невыполненные метрики'!$A:$B,2,0)</f>
        <v>#N/A</v>
      </c>
      <c r="D11" t="e">
        <f>IF(B11&gt;C11,"ошибка","")</f>
        <v>#N/A</v>
      </c>
    </row>
    <row r="12">
      <c r="A12" s="18" t="inlineStr">
        <is>
          <t>ВЗР_Воронка оттока</t>
        </is>
      </c>
      <c r="B12" t="n">
        <v>4</v>
      </c>
      <c r="C12" t="e">
        <f>VLOOKUP(A:A,'[1]Невыполненные метрики'!$A:$B,2,0)</f>
        <v>#N/A</v>
      </c>
      <c r="D12" t="e">
        <f>IF(B12&gt;C12,"ошибка","")</f>
        <v>#N/A</v>
      </c>
    </row>
    <row r="13">
      <c r="A13" s="18" t="inlineStr">
        <is>
          <t>ВЗР_Воронка привлечения</t>
        </is>
      </c>
      <c r="B13" t="n">
        <v>7.9</v>
      </c>
      <c r="C13" t="e">
        <f>VLOOKUP(A:A,'[1]Невыполненные метрики'!$A:$B,2,0)</f>
        <v>#N/A</v>
      </c>
      <c r="D13" t="e">
        <f>IF(B13&gt;C13,"ошибка","")</f>
        <v>#N/A</v>
      </c>
    </row>
    <row r="14">
      <c r="A14" s="18" t="inlineStr">
        <is>
          <t>ВЗР_Гипотезы и инициативы</t>
        </is>
      </c>
      <c r="B14" t="n">
        <v>4</v>
      </c>
      <c r="C14" t="e">
        <f>VLOOKUP(A:A,'[1]Невыполненные метрики'!$A:$B,2,0)</f>
        <v>#N/A</v>
      </c>
      <c r="D14" t="e">
        <f>IF(B14&gt;C14,"ошибка","")</f>
        <v>#N/A</v>
      </c>
    </row>
    <row r="15">
      <c r="A15" s="18" t="inlineStr">
        <is>
          <t>ВЗР_Знание ключевых метрик</t>
        </is>
      </c>
      <c r="B15" t="n">
        <v>4.5</v>
      </c>
      <c r="C15" t="e">
        <f>VLOOKUP(A:A,'[1]Невыполненные метрики'!$A:$B,2,0)</f>
        <v>#N/A</v>
      </c>
      <c r="D15" t="e">
        <f>IF(B15&gt;C15,"ошибка","")</f>
        <v>#N/A</v>
      </c>
    </row>
    <row r="16">
      <c r="A16" s="18" t="inlineStr">
        <is>
          <t>ВЗР_Клиентский опыт</t>
        </is>
      </c>
      <c r="B16" t="n">
        <v>2</v>
      </c>
      <c r="C16" t="e">
        <f>VLOOKUP(A:A,'[1]Невыполненные метрики'!$A:$B,2,0)</f>
        <v>#N/A</v>
      </c>
      <c r="D16" t="e">
        <f>IF(B16&gt;C16,"ошибка","")</f>
        <v>#N/A</v>
      </c>
    </row>
    <row r="17">
      <c r="A17" s="18" t="inlineStr">
        <is>
          <t>ВЗР_Механики</t>
        </is>
      </c>
      <c r="B17" t="n">
        <v>7.9</v>
      </c>
      <c r="C17" t="e">
        <f>VLOOKUP(A:A,'[1]Невыполненные метрики'!$A:$B,2,0)</f>
        <v>#N/A</v>
      </c>
      <c r="D17" t="e">
        <f>IF(B17&gt;C17,"ошибка","")</f>
        <v>#N/A</v>
      </c>
    </row>
    <row r="18">
      <c r="A18" s="18" t="inlineStr">
        <is>
          <t>ВЗР_Цели</t>
        </is>
      </c>
      <c r="B18" t="n">
        <v>3.9</v>
      </c>
      <c r="C18" t="e">
        <f>VLOOKUP(A:A,'[1]Невыполненные метрики'!$A:$B,2,0)</f>
        <v>#N/A</v>
      </c>
      <c r="D18" t="e">
        <f>IF(B18&gt;C18,"ошибка","")</f>
        <v>#N/A</v>
      </c>
    </row>
    <row r="19">
      <c r="A19" s="18" t="inlineStr">
        <is>
          <t>ДСЖ КК_Алерты</t>
        </is>
      </c>
      <c r="B19" t="n">
        <v>6.7</v>
      </c>
      <c r="C19" t="e">
        <f>VLOOKUP(A:A,'[1]Невыполненные метрики'!$A:$B,2,0)</f>
        <v>#N/A</v>
      </c>
      <c r="D19" t="e">
        <f>IF(B19&gt;C19,"ошибка","")</f>
        <v>#N/A</v>
      </c>
    </row>
    <row r="20">
      <c r="A20" s="18" t="inlineStr">
        <is>
          <t>ДСЖ КК_Воронка оттока</t>
        </is>
      </c>
      <c r="B20" t="n">
        <v>3.3000000000000003</v>
      </c>
      <c r="C20" t="e">
        <f>VLOOKUP(A:A,'[1]Невыполненные метрики'!$A:$B,2,0)</f>
        <v>#N/A</v>
      </c>
      <c r="D20" t="e">
        <f>IF(B20&gt;C20,"ошибка","")</f>
        <v>#N/A</v>
      </c>
    </row>
    <row r="21">
      <c r="A21" s="18" t="inlineStr">
        <is>
          <t>ДСЖ КК_Воронка привлечения</t>
        </is>
      </c>
      <c r="B21" t="n">
        <v>7.8</v>
      </c>
      <c r="C21" t="e">
        <f>VLOOKUP(A:A,'[1]Невыполненные метрики'!$A:$B,2,0)</f>
        <v>#N/A</v>
      </c>
      <c r="D21" t="e">
        <f>IF(B21&gt;C21,"ошибка","")</f>
        <v>#N/A</v>
      </c>
    </row>
    <row r="22">
      <c r="A22" s="18" t="inlineStr">
        <is>
          <t>ДСЖ КК_Гипотезы и инициативы</t>
        </is>
      </c>
      <c r="B22" t="n">
        <v>9</v>
      </c>
      <c r="C22" t="e">
        <f>VLOOKUP(A:A,'[1]Невыполненные метрики'!$A:$B,2,0)</f>
        <v>#N/A</v>
      </c>
      <c r="D22" t="e">
        <f>IF(B22&gt;C22,"ошибка","")</f>
        <v>#N/A</v>
      </c>
    </row>
    <row r="23">
      <c r="A23" s="18" t="inlineStr">
        <is>
          <t>ДСЖ КК_Знание ключевых метрик</t>
        </is>
      </c>
      <c r="B23" t="n">
        <v>3.8</v>
      </c>
      <c r="C23" t="e">
        <f>VLOOKUP(A:A,'[1]Невыполненные метрики'!$A:$B,2,0)</f>
        <v>#N/A</v>
      </c>
      <c r="D23" t="e">
        <f>IF(B23&gt;C23,"ошибка","")</f>
        <v>#N/A</v>
      </c>
    </row>
    <row r="24">
      <c r="A24" s="18" t="inlineStr">
        <is>
          <t>ДСЖ КК_Механики</t>
        </is>
      </c>
      <c r="B24" t="n">
        <v>8.9</v>
      </c>
      <c r="C24" t="e">
        <f>VLOOKUP(A:A,'[1]Невыполненные метрики'!$A:$B,2,0)</f>
        <v>#N/A</v>
      </c>
      <c r="D24" t="e">
        <f>IF(B24&gt;C24,"ошибка","")</f>
        <v>#N/A</v>
      </c>
    </row>
    <row r="25">
      <c r="A25" s="18" t="inlineStr">
        <is>
          <t>ДСЖ КК_Цели</t>
        </is>
      </c>
      <c r="B25" t="n">
        <v>3.8</v>
      </c>
      <c r="C25" t="e">
        <f>VLOOKUP(A:A,'[1]Невыполненные метрики'!$A:$B,2,0)</f>
        <v>#N/A</v>
      </c>
      <c r="D25" t="e">
        <f>IF(B25&gt;C25,"ошибка","")</f>
        <v>#N/A</v>
      </c>
    </row>
    <row r="26">
      <c r="A26" s="18" t="inlineStr">
        <is>
          <t>ДСЖ ПК_Знание ключевых метрик</t>
        </is>
      </c>
      <c r="C26" t="e">
        <f>VLOOKUP(A:A,'[1]Невыполненные метрики'!$A:$B,2,0)</f>
        <v>#N/A</v>
      </c>
      <c r="D26" t="e">
        <f>IF(B26&gt;C26,"ошибка","")</f>
        <v>#N/A</v>
      </c>
    </row>
    <row r="27">
      <c r="A27" s="18" t="inlineStr">
        <is>
          <t>ДСЖ ПК_Цели</t>
        </is>
      </c>
      <c r="C27" t="e">
        <f>VLOOKUP(A:A,'[1]Невыполненные метрики'!$A:$B,2,0)</f>
        <v>#N/A</v>
      </c>
      <c r="D27" t="e">
        <f>IF(B27&gt;C27,"ошибка","")</f>
        <v>#N/A</v>
      </c>
    </row>
    <row r="28">
      <c r="A28" s="18" t="inlineStr">
        <is>
          <t>Залоговое страхование (корпоративное страхование)_Воронка оттока</t>
        </is>
      </c>
      <c r="B28" t="n">
        <v>2.1</v>
      </c>
      <c r="C28" t="e">
        <f>VLOOKUP(A:A,'[1]Невыполненные метрики'!$A:$B,2,0)</f>
        <v>#N/A</v>
      </c>
      <c r="D28" t="e">
        <f>IF(B28&gt;C28,"ошибка","")</f>
        <v>#N/A</v>
      </c>
    </row>
    <row r="29">
      <c r="A29" s="18" t="inlineStr">
        <is>
          <t>Залоговое страхование (корпоративное страхование)_Воронка привлечения</t>
        </is>
      </c>
      <c r="B29" t="n">
        <v>2.1</v>
      </c>
      <c r="C29" t="e">
        <f>VLOOKUP(A:A,'[1]Невыполненные метрики'!$A:$B,2,0)</f>
        <v>#N/A</v>
      </c>
      <c r="D29" t="e">
        <f>IF(B29&gt;C29,"ошибка","")</f>
        <v>#N/A</v>
      </c>
    </row>
    <row r="30">
      <c r="A30" s="18" t="inlineStr">
        <is>
          <t>Залоговое страхование (корпоративное страхование)_Гипотезы и инициативы</t>
        </is>
      </c>
      <c r="B30" t="n">
        <v>4.3</v>
      </c>
      <c r="C30" t="e">
        <f>VLOOKUP(A:A,'[1]Невыполненные метрики'!$A:$B,2,0)</f>
        <v>#N/A</v>
      </c>
      <c r="D30" t="e">
        <f>IF(B30&gt;C30,"ошибка","")</f>
        <v>#N/A</v>
      </c>
    </row>
    <row r="31">
      <c r="A31" s="18" t="inlineStr">
        <is>
          <t>Залоговое страхование (корпоративное страхование)_Механики</t>
        </is>
      </c>
      <c r="B31" t="n">
        <v>4.3</v>
      </c>
      <c r="C31" t="e">
        <f>VLOOKUP(A:A,'[1]Невыполненные метрики'!$A:$B,2,0)</f>
        <v>#N/A</v>
      </c>
      <c r="D31" t="e">
        <f>IF(B31&gt;C31,"ошибка","")</f>
        <v>#N/A</v>
      </c>
    </row>
    <row r="32">
      <c r="A32" s="18" t="inlineStr">
        <is>
          <t>Залоговое страхование (корпоративное страхование)_Цели</t>
        </is>
      </c>
      <c r="B32" t="n">
        <v>8.6</v>
      </c>
      <c r="C32" t="e">
        <f>VLOOKUP(A:A,'[1]Невыполненные метрики'!$A:$B,2,0)</f>
        <v>#N/A</v>
      </c>
      <c r="D32" t="e">
        <f>IF(B32&gt;C32,"ошибка","")</f>
        <v>#N/A</v>
      </c>
    </row>
    <row r="33">
      <c r="A33" s="18" t="inlineStr">
        <is>
          <t>ЗЛС_Алерты</t>
        </is>
      </c>
      <c r="B33" t="n">
        <v>2</v>
      </c>
      <c r="C33" t="e">
        <f>VLOOKUP(A:A,'[1]Невыполненные метрики'!$A:$B,2,0)</f>
        <v>#N/A</v>
      </c>
      <c r="D33" t="e">
        <f>IF(B33&gt;C33,"ошибка","")</f>
        <v>#N/A</v>
      </c>
    </row>
    <row r="34">
      <c r="A34" s="18" t="inlineStr">
        <is>
          <t>ЗЛС_Воронка оттока</t>
        </is>
      </c>
      <c r="B34" t="n">
        <v>6</v>
      </c>
      <c r="C34" t="e">
        <f>VLOOKUP(A:A,'[1]Невыполненные метрики'!$A:$B,2,0)</f>
        <v>#N/A</v>
      </c>
      <c r="D34" t="e">
        <f>IF(B34&gt;C34,"ошибка","")</f>
        <v>#N/A</v>
      </c>
    </row>
    <row r="35">
      <c r="A35" s="18" t="inlineStr">
        <is>
          <t>ЗЛС_Воронка привлечения</t>
        </is>
      </c>
      <c r="B35" t="n">
        <v>7</v>
      </c>
      <c r="C35" t="e">
        <f>VLOOKUP(A:A,'[1]Невыполненные метрики'!$A:$B,2,0)</f>
        <v>#N/A</v>
      </c>
      <c r="D35" t="e">
        <f>IF(B35&gt;C35,"ошибка","")</f>
        <v>#N/A</v>
      </c>
    </row>
    <row r="36">
      <c r="A36" s="18" t="inlineStr">
        <is>
          <t>ЗЛС_Гипотезы и инициативы</t>
        </is>
      </c>
      <c r="B36" t="n">
        <v>12</v>
      </c>
      <c r="C36" t="e">
        <f>VLOOKUP(A:A,'[1]Невыполненные метрики'!$A:$B,2,0)</f>
        <v>#N/A</v>
      </c>
      <c r="D36" t="e">
        <f>IF(B36&gt;C36,"ошибка","")</f>
        <v>#N/A</v>
      </c>
    </row>
    <row r="37">
      <c r="A37" s="18" t="inlineStr">
        <is>
          <t>ЗЛС_Знание ключевых метрик</t>
        </is>
      </c>
      <c r="B37" t="n">
        <v>2.6</v>
      </c>
      <c r="C37" t="e">
        <f>VLOOKUP(A:A,'[1]Невыполненные метрики'!$A:$B,2,0)</f>
        <v>#N/A</v>
      </c>
      <c r="D37" t="e">
        <f>IF(B37&gt;C37,"ошибка","")</f>
        <v>#N/A</v>
      </c>
    </row>
    <row r="38">
      <c r="A38" s="18" t="inlineStr">
        <is>
          <t>ЗЛС_Механики</t>
        </is>
      </c>
      <c r="B38" t="n">
        <v>8</v>
      </c>
      <c r="C38" t="e">
        <f>VLOOKUP(A:A,'[1]Невыполненные метрики'!$A:$B,2,0)</f>
        <v>#N/A</v>
      </c>
      <c r="D38" t="e">
        <f>IF(B38&gt;C38,"ошибка","")</f>
        <v>#N/A</v>
      </c>
    </row>
    <row r="39">
      <c r="A39" s="18" t="inlineStr">
        <is>
          <t>ЗЛС_Цели</t>
        </is>
      </c>
      <c r="B39" t="n">
        <v>8</v>
      </c>
      <c r="C39" t="e">
        <f>VLOOKUP(A:A,'[1]Невыполненные метрики'!$A:$B,2,0)</f>
        <v>#N/A</v>
      </c>
      <c r="D39" t="e">
        <f>IF(B39&gt;C39,"ошибка","")</f>
        <v>#N/A</v>
      </c>
    </row>
    <row r="40">
      <c r="A40" s="18" t="inlineStr">
        <is>
          <t>ЗПИФ_Воронка оттока</t>
        </is>
      </c>
      <c r="B40" t="n">
        <v>2</v>
      </c>
      <c r="C40" t="e">
        <f>VLOOKUP(A:A,'[1]Невыполненные метрики'!$A:$B,2,0)</f>
        <v>#N/A</v>
      </c>
      <c r="D40" t="e">
        <f>IF(B40&gt;C40,"ошибка","")</f>
        <v>#N/A</v>
      </c>
    </row>
    <row r="41">
      <c r="A41" s="18" t="inlineStr">
        <is>
          <t>ЗПИФ_Воронка привлечения</t>
        </is>
      </c>
      <c r="B41" t="n">
        <v>1</v>
      </c>
      <c r="C41" t="e">
        <f>VLOOKUP(A:A,'[1]Невыполненные метрики'!$A:$B,2,0)</f>
        <v>#N/A</v>
      </c>
      <c r="D41" t="e">
        <f>IF(B41&gt;C41,"ошибка","")</f>
        <v>#N/A</v>
      </c>
    </row>
    <row r="42">
      <c r="A42" s="18" t="inlineStr">
        <is>
          <t>ЗПИФ_Гипотезы и инициативы</t>
        </is>
      </c>
      <c r="B42" t="n">
        <v>3.9</v>
      </c>
      <c r="C42" t="e">
        <f>VLOOKUP(A:A,'[1]Невыполненные метрики'!$A:$B,2,0)</f>
        <v>#N/A</v>
      </c>
      <c r="D42" t="e">
        <f>IF(B42&gt;C42,"ошибка","")</f>
        <v>#N/A</v>
      </c>
    </row>
    <row r="43">
      <c r="A43" s="18" t="inlineStr">
        <is>
          <t>ЗПИФ_Знание ключевых метрик</t>
        </is>
      </c>
      <c r="B43" t="n">
        <v>3.4</v>
      </c>
      <c r="C43" t="e">
        <f>VLOOKUP(A:A,'[1]Невыполненные метрики'!$A:$B,2,0)</f>
        <v>#N/A</v>
      </c>
      <c r="D43" t="e">
        <f>IF(B43&gt;C43,"ошибка","")</f>
        <v>#N/A</v>
      </c>
    </row>
    <row r="44">
      <c r="A44" s="18" t="inlineStr">
        <is>
          <t>ЗПИФ_Механики</t>
        </is>
      </c>
      <c r="B44" t="n">
        <v>4</v>
      </c>
      <c r="C44" t="e">
        <f>VLOOKUP(A:A,'[1]Невыполненные метрики'!$A:$B,2,0)</f>
        <v>#N/A</v>
      </c>
      <c r="D44" t="e">
        <f>IF(B44&gt;C44,"ошибка","")</f>
        <v>#N/A</v>
      </c>
    </row>
    <row r="45">
      <c r="A45" s="18" t="inlineStr">
        <is>
          <t>ЗПИФ_Цели</t>
        </is>
      </c>
      <c r="B45" t="n">
        <v>3.9</v>
      </c>
      <c r="C45" t="e">
        <f>VLOOKUP(A:A,'[1]Невыполненные метрики'!$A:$B,2,0)</f>
        <v>#N/A</v>
      </c>
      <c r="D45" t="e">
        <f>IF(B45&gt;C45,"ошибка","")</f>
        <v>#N/A</v>
      </c>
    </row>
    <row r="46">
      <c r="A46" s="18" t="inlineStr">
        <is>
          <t>ИнвестКопилка_Алерты</t>
        </is>
      </c>
      <c r="B46" t="n">
        <v>4.7</v>
      </c>
      <c r="C46" t="e">
        <f>VLOOKUP(A:A,'[1]Невыполненные метрики'!$A:$B,2,0)</f>
        <v>#N/A</v>
      </c>
      <c r="D46" t="e">
        <f>IF(B46&gt;C46,"ошибка","")</f>
        <v>#N/A</v>
      </c>
    </row>
    <row r="47">
      <c r="A47" s="18" t="inlineStr">
        <is>
          <t>ИнвестКопилка_Воронка оттока</t>
        </is>
      </c>
      <c r="B47" t="n">
        <v>4.8</v>
      </c>
      <c r="C47" t="e">
        <f>VLOOKUP(A:A,'[1]Невыполненные метрики'!$A:$B,2,0)</f>
        <v>#N/A</v>
      </c>
      <c r="D47" t="e">
        <f>IF(B47&gt;C47,"ошибка","")</f>
        <v>#N/A</v>
      </c>
    </row>
    <row r="48">
      <c r="A48" s="18" t="inlineStr">
        <is>
          <t>ИнвестКопилка_Воронка привлечения</t>
        </is>
      </c>
      <c r="B48" t="n">
        <v>3.5999999999999996</v>
      </c>
      <c r="C48" t="e">
        <f>VLOOKUP(A:A,'[1]Невыполненные метрики'!$A:$B,2,0)</f>
        <v>#N/A</v>
      </c>
      <c r="D48" t="e">
        <f>IF(B48&gt;C48,"ошибка","")</f>
        <v>#N/A</v>
      </c>
    </row>
    <row r="49">
      <c r="A49" s="18" t="inlineStr">
        <is>
          <t>ИнвестКопилка_Гипотезы и инициативы</t>
        </is>
      </c>
      <c r="B49" t="n">
        <v>4.7</v>
      </c>
      <c r="C49" t="e">
        <f>VLOOKUP(A:A,'[1]Невыполненные метрики'!$A:$B,2,0)</f>
        <v>#N/A</v>
      </c>
      <c r="D49" t="e">
        <f>IF(B49&gt;C49,"ошибка","")</f>
        <v>#N/A</v>
      </c>
    </row>
    <row r="50">
      <c r="A50" s="18" t="inlineStr">
        <is>
          <t>ИнвестКопилка_Знание ключевых метрик</t>
        </is>
      </c>
      <c r="B50" t="n">
        <v>3</v>
      </c>
      <c r="C50" t="e">
        <f>VLOOKUP(A:A,'[1]Невыполненные метрики'!$A:$B,2,0)</f>
        <v>#N/A</v>
      </c>
      <c r="D50" t="e">
        <f>IF(B50&gt;C50,"ошибка","")</f>
        <v>#N/A</v>
      </c>
    </row>
    <row r="51">
      <c r="A51" s="18" t="inlineStr">
        <is>
          <t>ИнвестКопилка_Механики</t>
        </is>
      </c>
      <c r="B51" t="n">
        <v>9.4</v>
      </c>
      <c r="C51" t="e">
        <f>VLOOKUP(A:A,'[1]Невыполненные метрики'!$A:$B,2,0)</f>
        <v>#N/A</v>
      </c>
      <c r="D51" t="e">
        <f>IF(B51&gt;C51,"ошибка","")</f>
        <v>#N/A</v>
      </c>
    </row>
    <row r="52">
      <c r="A52" s="18" t="inlineStr">
        <is>
          <t>ИнвестКопилка_Цели</t>
        </is>
      </c>
      <c r="B52" t="n">
        <v>4.7</v>
      </c>
      <c r="C52" t="e">
        <f>VLOOKUP(A:A,'[1]Невыполненные метрики'!$A:$B,2,0)</f>
        <v>#N/A</v>
      </c>
      <c r="D52" t="e">
        <f>IF(B52&gt;C52,"ошибка","")</f>
        <v>#N/A</v>
      </c>
    </row>
    <row r="53">
      <c r="A53" s="18" t="inlineStr">
        <is>
          <t>ИСЖ_Воронка оттока</t>
        </is>
      </c>
      <c r="B53" t="n">
        <v>6.3000000000000007</v>
      </c>
      <c r="C53" t="e">
        <f>VLOOKUP(A:A,'[1]Невыполненные метрики'!$A:$B,2,0)</f>
        <v>#N/A</v>
      </c>
      <c r="D53" t="e">
        <f>IF(B53&gt;C53,"ошибка","")</f>
        <v>#N/A</v>
      </c>
    </row>
    <row r="54">
      <c r="A54" s="18" t="inlineStr">
        <is>
          <t>ИСЖ_Воронка привлечения</t>
        </is>
      </c>
      <c r="B54" t="n">
        <v>5.2</v>
      </c>
      <c r="C54" t="e">
        <f>VLOOKUP(A:A,'[1]Невыполненные метрики'!$A:$B,2,0)</f>
        <v>#N/A</v>
      </c>
      <c r="D54" t="e">
        <f>IF(B54&gt;C54,"ошибка","")</f>
        <v>#N/A</v>
      </c>
    </row>
    <row r="55">
      <c r="A55" s="18" t="inlineStr">
        <is>
          <t>ИСЖ_Гипотезы и инициативы</t>
        </is>
      </c>
      <c r="B55" t="n">
        <v>4.0999999999999996</v>
      </c>
      <c r="C55" t="e">
        <f>VLOOKUP(A:A,'[1]Невыполненные метрики'!$A:$B,2,0)</f>
        <v>#N/A</v>
      </c>
      <c r="D55" t="e">
        <f>IF(B55&gt;C55,"ошибка","")</f>
        <v>#N/A</v>
      </c>
    </row>
    <row r="56">
      <c r="A56" s="18" t="inlineStr">
        <is>
          <t>ИСЖ_Знание ключевых метрик</t>
        </is>
      </c>
      <c r="B56" t="n">
        <v>1</v>
      </c>
      <c r="C56" t="e">
        <f>VLOOKUP(A:A,'[1]Невыполненные метрики'!$A:$B,2,0)</f>
        <v>#N/A</v>
      </c>
      <c r="D56" t="e">
        <f>IF(B56&gt;C56,"ошибка","")</f>
        <v>#N/A</v>
      </c>
    </row>
    <row r="57">
      <c r="A57" s="18" t="inlineStr">
        <is>
          <t>ИСЖ_Цели</t>
        </is>
      </c>
      <c r="B57" t="n">
        <v>4.0999999999999996</v>
      </c>
      <c r="C57" t="e">
        <f>VLOOKUP(A:A,'[1]Невыполненные метрики'!$A:$B,2,0)</f>
        <v>#N/A</v>
      </c>
      <c r="D57" t="e">
        <f>IF(B57&gt;C57,"ошибка","")</f>
        <v>#N/A</v>
      </c>
    </row>
    <row r="58">
      <c r="A58" s="18" t="inlineStr">
        <is>
          <t>КАСКО_Воронка привлечения</t>
        </is>
      </c>
      <c r="B58" t="n">
        <v>2</v>
      </c>
      <c r="C58" t="e">
        <f>VLOOKUP(A:A,'[1]Невыполненные метрики'!$A:$B,2,0)</f>
        <v>#N/A</v>
      </c>
      <c r="D58" t="e">
        <f>IF(B58&gt;C58,"ошибка","")</f>
        <v>#N/A</v>
      </c>
    </row>
    <row r="59">
      <c r="A59" s="18" t="inlineStr">
        <is>
          <t>КАСКО_Гипотезы и инициативы</t>
        </is>
      </c>
      <c r="B59" t="n">
        <v>2</v>
      </c>
      <c r="C59" t="e">
        <f>VLOOKUP(A:A,'[1]Невыполненные метрики'!$A:$B,2,0)</f>
        <v>#N/A</v>
      </c>
      <c r="D59" t="e">
        <f>IF(B59&gt;C59,"ошибка","")</f>
        <v>#N/A</v>
      </c>
    </row>
    <row r="60">
      <c r="A60" s="18" t="inlineStr">
        <is>
          <t>КАСКО_Знание ключевых метрик</t>
        </is>
      </c>
      <c r="B60" t="n">
        <v>3.7</v>
      </c>
      <c r="C60" t="e">
        <f>VLOOKUP(A:A,'[1]Невыполненные метрики'!$A:$B,2,0)</f>
        <v>#N/A</v>
      </c>
      <c r="D60" t="e">
        <f>IF(B60&gt;C60,"ошибка","")</f>
        <v>#N/A</v>
      </c>
    </row>
    <row r="61">
      <c r="A61" s="18" t="inlineStr">
        <is>
          <t>КАСКО_Механики</t>
        </is>
      </c>
      <c r="B61" t="n">
        <v>1.5</v>
      </c>
      <c r="C61" t="e">
        <f>VLOOKUP(A:A,'[1]Невыполненные метрики'!$A:$B,2,0)</f>
        <v>#N/A</v>
      </c>
      <c r="D61" t="e">
        <f>IF(B61&gt;C61,"ошибка","")</f>
        <v>#N/A</v>
      </c>
    </row>
    <row r="62">
      <c r="A62" s="18" t="inlineStr">
        <is>
          <t>КАСКО_Цели</t>
        </is>
      </c>
      <c r="B62" t="n">
        <v>5.8</v>
      </c>
      <c r="C62" t="e">
        <f>VLOOKUP(A:A,'[1]Невыполненные метрики'!$A:$B,2,0)</f>
        <v>#N/A</v>
      </c>
      <c r="D62" t="e">
        <f>IF(B62&gt;C62,"ошибка","")</f>
        <v>#N/A</v>
      </c>
    </row>
    <row r="63">
      <c r="A63" s="18" t="inlineStr">
        <is>
          <t>НСЖ_Воронка оттока</t>
        </is>
      </c>
      <c r="B63" t="n">
        <v>2.1</v>
      </c>
      <c r="C63" t="e">
        <f>VLOOKUP(A:A,'[1]Невыполненные метрики'!$A:$B,2,0)</f>
        <v>#N/A</v>
      </c>
      <c r="D63" t="e">
        <f>IF(B63&gt;C63,"ошибка","")</f>
        <v>#N/A</v>
      </c>
    </row>
    <row r="64">
      <c r="A64" s="18" t="inlineStr">
        <is>
          <t>НСЖ_Воронка привлечения</t>
        </is>
      </c>
      <c r="B64" t="n">
        <v>4.3</v>
      </c>
      <c r="C64" t="e">
        <f>VLOOKUP(A:A,'[1]Невыполненные метрики'!$A:$B,2,0)</f>
        <v>#N/A</v>
      </c>
      <c r="D64" t="e">
        <f>IF(B64&gt;C64,"ошибка","")</f>
        <v>#N/A</v>
      </c>
    </row>
    <row r="65">
      <c r="A65" s="18" t="inlineStr">
        <is>
          <t>НСЖ_Гипотезы и инициативы</t>
        </is>
      </c>
      <c r="B65" t="n">
        <v>8.6</v>
      </c>
      <c r="C65" t="e">
        <f>VLOOKUP(A:A,'[1]Невыполненные метрики'!$A:$B,2,0)</f>
        <v>#N/A</v>
      </c>
      <c r="D65" t="e">
        <f>IF(B65&gt;C65,"ошибка","")</f>
        <v>#N/A</v>
      </c>
    </row>
    <row r="66">
      <c r="A66" s="18" t="inlineStr">
        <is>
          <t>НСЖ_Знание ключевых метрик</t>
        </is>
      </c>
      <c r="B66" t="n">
        <v>3.6</v>
      </c>
      <c r="C66" t="e">
        <f>VLOOKUP(A:A,'[1]Невыполненные метрики'!$A:$B,2,0)</f>
        <v>#N/A</v>
      </c>
      <c r="D66" t="e">
        <f>IF(B66&gt;C66,"ошибка","")</f>
        <v>#N/A</v>
      </c>
    </row>
    <row r="67">
      <c r="A67" s="18" t="inlineStr">
        <is>
          <t>НСЖ_Цели</t>
        </is>
      </c>
      <c r="B67" t="n">
        <v>2</v>
      </c>
      <c r="C67" t="e">
        <f>VLOOKUP(A:A,'[1]Невыполненные метрики'!$A:$B,2,0)</f>
        <v>#N/A</v>
      </c>
      <c r="D67" t="e">
        <f>IF(B67&gt;C67,"ошибка","")</f>
        <v>#N/A</v>
      </c>
    </row>
    <row r="68">
      <c r="A68" s="18" t="inlineStr">
        <is>
          <t>ОПИФ_Воронка оттока</t>
        </is>
      </c>
      <c r="B68" t="n">
        <v>3.8</v>
      </c>
      <c r="C68" t="e">
        <f>VLOOKUP(A:A,'[1]Невыполненные метрики'!$A:$B,2,0)</f>
        <v>#N/A</v>
      </c>
      <c r="D68" t="e">
        <f>IF(B68&gt;C68,"ошибка","")</f>
        <v>#N/A</v>
      </c>
    </row>
    <row r="69">
      <c r="A69" s="18" t="inlineStr">
        <is>
          <t>ОПИФ_Воронка привлечения</t>
        </is>
      </c>
      <c r="B69" t="n">
        <v>2</v>
      </c>
      <c r="C69" t="e">
        <f>VLOOKUP(A:A,'[1]Невыполненные метрики'!$A:$B,2,0)</f>
        <v>#N/A</v>
      </c>
      <c r="D69" t="e">
        <f>IF(B69&gt;C69,"ошибка","")</f>
        <v>#N/A</v>
      </c>
    </row>
    <row r="70">
      <c r="A70" s="18" t="inlineStr">
        <is>
          <t>ОПИФ_Гипотезы и инициативы</t>
        </is>
      </c>
      <c r="B70" t="n">
        <v>3.9</v>
      </c>
      <c r="C70" t="e">
        <f>VLOOKUP(A:A,'[1]Невыполненные метрики'!$A:$B,2,0)</f>
        <v>#N/A</v>
      </c>
      <c r="D70" t="e">
        <f>IF(B70&gt;C70,"ошибка","")</f>
        <v>#N/A</v>
      </c>
    </row>
    <row r="71">
      <c r="A71" s="18" t="inlineStr">
        <is>
          <t>ОПИФ_Знание ключевых метрик</t>
        </is>
      </c>
      <c r="B71" t="n">
        <v>3.3</v>
      </c>
      <c r="C71" t="e">
        <f>VLOOKUP(A:A,'[1]Невыполненные метрики'!$A:$B,2,0)</f>
        <v>#N/A</v>
      </c>
      <c r="D71" t="e">
        <f>IF(B71&gt;C71,"ошибка","")</f>
        <v>#N/A</v>
      </c>
    </row>
    <row r="72">
      <c r="A72" s="18" t="inlineStr">
        <is>
          <t>ОПИФ_Механики</t>
        </is>
      </c>
      <c r="B72" t="n">
        <v>1.9</v>
      </c>
      <c r="C72" t="e">
        <f>VLOOKUP(A:A,'[1]Невыполненные метрики'!$A:$B,2,0)</f>
        <v>#N/A</v>
      </c>
      <c r="D72" t="e">
        <f>IF(B72&gt;C72,"ошибка","")</f>
        <v>#N/A</v>
      </c>
    </row>
    <row r="73">
      <c r="A73" s="18" t="inlineStr">
        <is>
          <t>ОПИФ_Цели</t>
        </is>
      </c>
      <c r="B73" t="n">
        <v>3.8</v>
      </c>
      <c r="C73" t="e">
        <f>VLOOKUP(A:A,'[1]Невыполненные метрики'!$A:$B,2,0)</f>
        <v>#N/A</v>
      </c>
      <c r="D73" t="e">
        <f>IF(B73&gt;C73,"ошибка","")</f>
        <v>#N/A</v>
      </c>
    </row>
    <row r="74">
      <c r="A74" s="18" t="inlineStr">
        <is>
          <t>ОСАГО_Гипотезы и инициативы</t>
        </is>
      </c>
      <c r="B74" t="n">
        <v>2</v>
      </c>
      <c r="C74" t="e">
        <f>VLOOKUP(A:A,'[1]Невыполненные метрики'!$A:$B,2,0)</f>
        <v>#N/A</v>
      </c>
      <c r="D74" t="e">
        <f>IF(B74&gt;C74,"ошибка","")</f>
        <v>#N/A</v>
      </c>
    </row>
    <row r="75">
      <c r="A75" s="18" t="inlineStr">
        <is>
          <t>ОСАГО_Знание ключевых метрик</t>
        </is>
      </c>
      <c r="B75" t="n">
        <v>3.7</v>
      </c>
      <c r="C75" t="e">
        <f>VLOOKUP(A:A,'[1]Невыполненные метрики'!$A:$B,2,0)</f>
        <v>#N/A</v>
      </c>
      <c r="D75" t="e">
        <f>IF(B75&gt;C75,"ошибка","")</f>
        <v>#N/A</v>
      </c>
    </row>
    <row r="76">
      <c r="A76" s="18" t="inlineStr">
        <is>
          <t>ОСАГО_Механики</t>
        </is>
      </c>
      <c r="B76" t="n">
        <v>1.5</v>
      </c>
      <c r="C76" t="e">
        <f>VLOOKUP(A:A,'[1]Невыполненные метрики'!$A:$B,2,0)</f>
        <v>#N/A</v>
      </c>
      <c r="D76" t="e">
        <f>IF(B76&gt;C76,"ошибка","")</f>
        <v>#N/A</v>
      </c>
    </row>
    <row r="77">
      <c r="A77" s="18" t="inlineStr">
        <is>
          <t>ОСАГО_Цели</t>
        </is>
      </c>
      <c r="B77" t="n">
        <v>5.8</v>
      </c>
      <c r="C77" t="e">
        <f>VLOOKUP(A:A,'[1]Невыполненные метрики'!$A:$B,2,0)</f>
        <v>#N/A</v>
      </c>
      <c r="D77" t="e">
        <f>IF(B77&gt;C77,"ошибка","")</f>
        <v>#N/A</v>
      </c>
    </row>
    <row r="78">
      <c r="A78" s="18" t="inlineStr">
        <is>
          <t>ПДС_Воронка оттока</t>
        </is>
      </c>
      <c r="B78" t="n">
        <v>8.3000000000000007</v>
      </c>
      <c r="C78" t="e">
        <f>VLOOKUP(A:A,'[1]Невыполненные метрики'!$A:$B,2,0)</f>
        <v>#N/A</v>
      </c>
      <c r="D78" t="e">
        <f>IF(B78&gt;C78,"ошибка","")</f>
        <v>#N/A</v>
      </c>
    </row>
    <row r="79">
      <c r="A79" s="18" t="inlineStr">
        <is>
          <t>ПДС_Воронка привлечения</t>
        </is>
      </c>
      <c r="B79" t="n">
        <v>4.2</v>
      </c>
      <c r="C79" t="e">
        <f>VLOOKUP(A:A,'[1]Невыполненные метрики'!$A:$B,2,0)</f>
        <v>#N/A</v>
      </c>
      <c r="D79" t="e">
        <f>IF(B79&gt;C79,"ошибка","")</f>
        <v>#N/A</v>
      </c>
    </row>
    <row r="80">
      <c r="A80" s="18" t="inlineStr">
        <is>
          <t>ПДС_Знание ключевых метрик</t>
        </is>
      </c>
      <c r="B80" t="n">
        <v>3.4</v>
      </c>
      <c r="C80" t="e">
        <f>VLOOKUP(A:A,'[1]Невыполненные метрики'!$A:$B,2,0)</f>
        <v>#N/A</v>
      </c>
      <c r="D80" t="e">
        <f>IF(B80&gt;C80,"ошибка","")</f>
        <v>#N/A</v>
      </c>
    </row>
    <row r="81">
      <c r="A81" s="18" t="inlineStr">
        <is>
          <t>ПДС_Цели</t>
        </is>
      </c>
      <c r="B81" t="n">
        <v>4.0999999999999996</v>
      </c>
      <c r="C81" t="e">
        <f>VLOOKUP(A:A,'[1]Невыполненные метрики'!$A:$B,2,0)</f>
        <v>#N/A</v>
      </c>
      <c r="D81" t="e">
        <f>IF(B81&gt;C81,"ошибка","")</f>
        <v>#N/A</v>
      </c>
    </row>
    <row r="82">
      <c r="A82" s="18" t="inlineStr">
        <is>
          <t>СберСова_Воронка привлечения</t>
        </is>
      </c>
      <c r="B82" t="n">
        <v>1.4</v>
      </c>
      <c r="C82" t="e">
        <f>VLOOKUP(A:A,'[1]Невыполненные метрики'!$A:$B,2,0)</f>
        <v>#N/A</v>
      </c>
      <c r="D82" t="e">
        <f>IF(B82&gt;C82,"ошибка","")</f>
        <v>#N/A</v>
      </c>
    </row>
    <row r="83">
      <c r="A83" s="18" t="inlineStr">
        <is>
          <t>СберСова_Знание ключевых метрик</t>
        </is>
      </c>
      <c r="B83" t="n">
        <v>1.4</v>
      </c>
      <c r="C83" t="e">
        <f>VLOOKUP(A:A,'[1]Невыполненные метрики'!$A:$B,2,0)</f>
        <v>#N/A</v>
      </c>
      <c r="D83" t="e">
        <f>IF(B83&gt;C83,"ошибка","")</f>
        <v>#N/A</v>
      </c>
    </row>
    <row r="84">
      <c r="A84" s="18" t="inlineStr">
        <is>
          <t>СберСова_Механики</t>
        </is>
      </c>
      <c r="B84" t="n">
        <v>5.7</v>
      </c>
      <c r="C84" t="e">
        <f>VLOOKUP(A:A,'[1]Невыполненные метрики'!$A:$B,2,0)</f>
        <v>#N/A</v>
      </c>
      <c r="D84" t="e">
        <f>IF(B84&gt;C84,"ошибка","")</f>
        <v>#N/A</v>
      </c>
    </row>
    <row r="85">
      <c r="A85" s="18" t="inlineStr">
        <is>
          <t>СберСова_Цели</t>
        </is>
      </c>
      <c r="B85" t="n">
        <v>5.7</v>
      </c>
      <c r="C85" t="e">
        <f>VLOOKUP(A:A,'[1]Невыполненные метрики'!$A:$B,2,0)</f>
        <v>#N/A</v>
      </c>
      <c r="D85" t="e">
        <f>IF(B85&gt;C85,"ошибка","")</f>
        <v>#N/A</v>
      </c>
    </row>
    <row r="86">
      <c r="A86" s="18" t="inlineStr">
        <is>
          <t>Страхование залога_Воронка оттока</t>
        </is>
      </c>
      <c r="B86" t="n">
        <v>4.2</v>
      </c>
      <c r="C86" t="e">
        <f>VLOOKUP(A:A,'[1]Невыполненные метрики'!$A:$B,2,0)</f>
        <v>#N/A</v>
      </c>
      <c r="D86" t="e">
        <f>IF(B86&gt;C86,"ошибка","")</f>
        <v>#N/A</v>
      </c>
    </row>
    <row r="87">
      <c r="A87" s="18" t="inlineStr">
        <is>
          <t>Страхование залога_Воронка привлечения</t>
        </is>
      </c>
      <c r="B87" t="n">
        <v>12.6</v>
      </c>
      <c r="C87" t="e">
        <f>VLOOKUP(A:A,'[1]Невыполненные метрики'!$A:$B,2,0)</f>
        <v>#N/A</v>
      </c>
      <c r="D87" t="e">
        <f>IF(B87&gt;C87,"ошибка","")</f>
        <v>#N/A</v>
      </c>
    </row>
    <row r="88">
      <c r="A88" s="18" t="inlineStr">
        <is>
          <t>Страхование залога_Знание ключевых метрик</t>
        </is>
      </c>
      <c r="B88" t="n">
        <v>1</v>
      </c>
      <c r="C88" t="e">
        <f>VLOOKUP(A:A,'[1]Невыполненные метрики'!$A:$B,2,0)</f>
        <v>#N/A</v>
      </c>
      <c r="D88" t="e">
        <f>IF(B88&gt;C88,"ошибка","")</f>
        <v>#N/A</v>
      </c>
    </row>
    <row r="89">
      <c r="A89" s="18" t="inlineStr">
        <is>
          <t>Страхование залога_Цели</t>
        </is>
      </c>
      <c r="B89" t="n">
        <v>2.9</v>
      </c>
      <c r="C89" t="e">
        <f>VLOOKUP(A:A,'[1]Невыполненные метрики'!$A:$B,2,0)</f>
        <v>#N/A</v>
      </c>
      <c r="D89" t="e">
        <f>IF(B89&gt;C89,"ошибка","")</f>
        <v>#N/A</v>
      </c>
    </row>
    <row r="90">
      <c r="A90" s="18" t="inlineStr">
        <is>
          <t>ЦФА_Воронка оттока</t>
        </is>
      </c>
      <c r="B90" t="n">
        <v>2.6</v>
      </c>
      <c r="C90" t="e">
        <f>VLOOKUP(A:A,'[1]Невыполненные метрики'!$A:$B,2,0)</f>
        <v>#N/A</v>
      </c>
      <c r="D90" t="e">
        <f>IF(B90&gt;C90,"ошибка","")</f>
        <v>#N/A</v>
      </c>
    </row>
    <row r="91">
      <c r="A91" s="18" t="inlineStr">
        <is>
          <t>ЦФА_Гипотезы и инициативы</t>
        </is>
      </c>
      <c r="B91" t="n">
        <v>10.4</v>
      </c>
      <c r="C91" t="e">
        <f>VLOOKUP(A:A,'[1]Невыполненные метрики'!$A:$B,2,0)</f>
        <v>#N/A</v>
      </c>
      <c r="D91" t="e">
        <f>IF(B91&gt;C91,"ошибка","")</f>
        <v>#N/A</v>
      </c>
    </row>
    <row r="92">
      <c r="A92" s="18" t="inlineStr">
        <is>
          <t>ЦФА_Знание ключевых метрик</t>
        </is>
      </c>
      <c r="B92" t="n">
        <v>4.3</v>
      </c>
      <c r="C92" t="e">
        <f>VLOOKUP(A:A,'[1]Невыполненные метрики'!$A:$B,2,0)</f>
        <v>#N/A</v>
      </c>
      <c r="D92" t="e">
        <f>IF(B92&gt;C92,"ошибка","")</f>
        <v>#N/A</v>
      </c>
    </row>
    <row r="93">
      <c r="A93" s="18" t="inlineStr">
        <is>
          <t>ЦФА_Механики</t>
        </is>
      </c>
      <c r="B93" t="n">
        <v>5.2</v>
      </c>
      <c r="C93" t="e">
        <f>VLOOKUP(A:A,'[1]Невыполненные метрики'!$A:$B,2,0)</f>
        <v>#N/A</v>
      </c>
      <c r="D93" t="e">
        <f>IF(B93&gt;C93,"ошибка","")</f>
        <v>#N/A</v>
      </c>
    </row>
    <row r="94">
      <c r="A94" s="18" t="inlineStr">
        <is>
          <t>(пусто)</t>
        </is>
      </c>
      <c r="B94" t="n">
        <v>23.9</v>
      </c>
      <c r="C94" t="e">
        <f>VLOOKUP(A:A,'[1]Невыполненные метрики'!$A:$B,2,0)</f>
        <v>#N/A</v>
      </c>
      <c r="D94" t="e">
        <f>IF(B94&gt;C94,"ошибка","")</f>
        <v>#N/A</v>
      </c>
    </row>
    <row r="95">
      <c r="A95" s="18" t="inlineStr">
        <is>
          <t>Общий итог</t>
        </is>
      </c>
      <c r="B95" t="n">
        <v>417.79999999999995</v>
      </c>
      <c r="C95" t="e">
        <f>VLOOKUP(A:A,'[1]Невыполненные метрики'!$A:$B,2,0)</f>
        <v>#N/A</v>
      </c>
      <c r="D95" t="e">
        <f>IF(B95&gt;C95,"ошибка","")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1" summaryRight="1"/>
    <pageSetUpPr/>
  </sheetPr>
  <dimension ref="A1:L338"/>
  <sheetViews>
    <sheetView zoomScale="70" zoomScaleNormal="70" workbookViewId="0">
      <pane ySplit="1" topLeftCell="A2" activePane="bottomLeft" state="frozen"/>
      <selection pane="bottomLeft" activeCell="J23" sqref="J23:J58"/>
    </sheetView>
  </sheetViews>
  <sheetFormatPr baseColWidth="8" defaultColWidth="8.875" defaultRowHeight="15.75"/>
  <cols>
    <col width="16.375" customWidth="1" style="181" min="1" max="1"/>
    <col width="12.875" customWidth="1" style="181" min="2" max="2"/>
    <col width="14" customWidth="1" style="181" min="3" max="3"/>
    <col width="22.625" customWidth="1" style="181" min="4" max="4"/>
    <col width="94.625" customWidth="1" style="181" min="5" max="5"/>
    <col width="18.625" customWidth="1" style="15" min="6" max="6"/>
    <col width="14.875" customWidth="1" style="25" min="7" max="7"/>
    <col width="14" customWidth="1" style="15" min="8" max="8"/>
    <col width="28.5" customWidth="1" style="181" min="9" max="9"/>
    <col width="31.25" customWidth="1" style="181" min="10" max="10"/>
    <col width="11.875" customWidth="1" style="181" min="11" max="11"/>
  </cols>
  <sheetData>
    <row r="1" ht="54" customHeight="1" s="181">
      <c r="A1" t="inlineStr">
        <is>
          <t>ключ</t>
        </is>
      </c>
      <c r="B1" s="46" t="inlineStr">
        <is>
          <t>Продукт</t>
        </is>
      </c>
      <c r="C1" s="46" t="inlineStr">
        <is>
          <t>Квартал</t>
        </is>
      </c>
      <c r="D1" s="46" t="inlineStr">
        <is>
          <t>Блок для развития</t>
        </is>
      </c>
      <c r="E1" s="46" t="inlineStr">
        <is>
          <t>Планируемое мероприятие</t>
        </is>
      </c>
      <c r="F1" s="46" t="inlineStr">
        <is>
          <t>Срок исполнения</t>
        </is>
      </c>
      <c r="G1" s="47" t="inlineStr">
        <is>
          <t>Ожидание прироста индекса DD, п.п.</t>
        </is>
      </c>
      <c r="H1" s="46" t="inlineStr">
        <is>
          <t>Статус</t>
        </is>
      </c>
      <c r="I1" s="46" t="inlineStr">
        <is>
          <t>Контактное лицо (ФИО)</t>
        </is>
      </c>
      <c r="J1" s="9" t="inlineStr">
        <is>
          <t>Верификация мероприятий Штабом B2C</t>
        </is>
      </c>
      <c r="K1" s="157" t="inlineStr">
        <is>
          <t>Аплифт</t>
        </is>
      </c>
    </row>
    <row r="2" hidden="1" ht="20.25" customHeight="1" s="181">
      <c r="A2" s="161" t="str">
        <f>CONCATENATE(B2,"_",D2)</f>
        <v>СберСова_Цели</v>
      </c>
      <c r="B2" s="162" t="inlineStr">
        <is>
          <t>СберСова</t>
        </is>
      </c>
      <c r="C2" s="162" t="inlineStr">
        <is>
          <t>3Q2026</t>
        </is>
      </c>
      <c r="D2" s="162" t="inlineStr">
        <is>
          <t>Цели</t>
        </is>
      </c>
      <c r="E2" s="162" t="inlineStr">
        <is>
          <t>Цели выведены в Навигатор</t>
        </is>
      </c>
      <c r="F2" s="163" t="n">
        <v>46230</v>
      </c>
      <c r="G2" s="164" t="n">
        <v>5.7</v>
      </c>
      <c r="H2" s="165" t="inlineStr">
        <is>
          <t>Выполнен</t>
        </is>
      </c>
      <c r="I2" s="162" t="inlineStr">
        <is>
          <t>Волков Дмитрий Александрович</t>
        </is>
      </c>
      <c r="J2" s="175" t="n"/>
      <c r="K2" s="70">
        <f>IF(A2="","",VLOOKUP(A:A,[2]Свод!$A:$B,2,0))</f>
        <v>17.100000000000001</v>
      </c>
    </row>
    <row r="3" hidden="1" ht="18.75" customHeight="1" s="181">
      <c r="A3" s="166" t="n"/>
      <c r="B3" s="1" t="inlineStr">
        <is>
          <t>СберСова</t>
        </is>
      </c>
      <c r="C3" s="1" t="inlineStr">
        <is>
          <t>3Q2026</t>
        </is>
      </c>
      <c r="D3" s="1" t="inlineStr">
        <is>
          <t>Цели</t>
        </is>
      </c>
      <c r="E3" s="1" t="inlineStr">
        <is>
          <t>Цели декомпозированы на драйверы и выведены в Навигатор</t>
        </is>
      </c>
      <c r="F3" s="4" t="n">
        <v>46230</v>
      </c>
      <c r="G3" s="6" t="n">
        <v>5.7</v>
      </c>
      <c r="H3" s="14" t="inlineStr">
        <is>
          <t>Выполнен</t>
        </is>
      </c>
      <c r="I3" s="1" t="inlineStr">
        <is>
          <t>Волков Дмитрий Александрович</t>
        </is>
      </c>
      <c r="J3" s="176" t="n"/>
      <c r="K3" s="70">
        <f>IF(A3="","",VLOOKUP(A:A,'[1]Невыполненные метрики'!$A:$B,2,0))</f>
        <v/>
      </c>
    </row>
    <row r="4" hidden="1" ht="19.5" customHeight="1" s="181">
      <c r="A4" s="166" t="n"/>
      <c r="B4" s="1" t="inlineStr">
        <is>
          <t>СберСова</t>
        </is>
      </c>
      <c r="C4" s="1" t="inlineStr">
        <is>
          <t>3Q2026</t>
        </is>
      </c>
      <c r="D4" s="1" t="inlineStr">
        <is>
          <t>Цели</t>
        </is>
      </c>
      <c r="E4" s="1" t="inlineStr">
        <is>
          <t>Сформированы прогнозные значения и выведены в Навигатор</t>
        </is>
      </c>
      <c r="F4" s="4" t="n">
        <v>46230</v>
      </c>
      <c r="G4" s="6" t="n">
        <v>5.7</v>
      </c>
      <c r="H4" s="14" t="inlineStr">
        <is>
          <t>Выполнен</t>
        </is>
      </c>
      <c r="I4" s="1" t="inlineStr">
        <is>
          <t>Волков Дмитрий Александрович</t>
        </is>
      </c>
      <c r="J4" s="176" t="n"/>
      <c r="K4" s="70">
        <f>IF(A4="","",VLOOKUP(A:A,'[1]Невыполненные метрики'!$A:$B,2,0))</f>
        <v/>
      </c>
    </row>
    <row r="5" hidden="1" ht="30" customHeight="1" s="181">
      <c r="A5" s="166" t="str">
        <f>CONCATENATE(B5,"_",D5)</f>
        <v>СберСова_Знание ключевых метрик</v>
      </c>
      <c r="B5" s="1" t="inlineStr">
        <is>
          <t>СберСова</t>
        </is>
      </c>
      <c r="C5" s="1" t="inlineStr">
        <is>
          <t>3Q2026</t>
        </is>
      </c>
      <c r="D5" s="1" t="inlineStr">
        <is>
          <t>Знание ключевых метрик</t>
        </is>
      </c>
      <c r="E5" s="1" t="inlineStr">
        <is>
          <t>Проработано понимание доступной отчетности и регулярного мониторинга</t>
        </is>
      </c>
      <c r="F5" s="4" t="n">
        <v>46230</v>
      </c>
      <c r="G5" s="6" t="n">
        <v>1.4</v>
      </c>
      <c r="H5" s="14" t="inlineStr">
        <is>
          <t>Выполнен</t>
        </is>
      </c>
      <c r="I5" s="1" t="inlineStr">
        <is>
          <t>Волков Дмитрий Александрович</t>
        </is>
      </c>
      <c r="J5" s="176" t="n"/>
      <c r="K5" s="70">
        <f>IF(A5="","",VLOOKUP(A:A,[2]Свод!$A:$B,2,0))</f>
        <v>1.4</v>
      </c>
    </row>
    <row r="6" hidden="1" ht="31.5" customHeight="1" s="181">
      <c r="A6" s="166" t="str">
        <f>CONCATENATE(B6,"_",D6)</f>
        <v>СберСова_Воронка привлечения</v>
      </c>
      <c r="B6" s="1" t="inlineStr">
        <is>
          <t>СберСова</t>
        </is>
      </c>
      <c r="C6" s="1" t="inlineStr">
        <is>
          <t>3Q2026</t>
        </is>
      </c>
      <c r="D6" s="1" t="inlineStr">
        <is>
          <t>Воронка привлечения</t>
        </is>
      </c>
      <c r="E6" s="1" t="inlineStr">
        <is>
          <t>Настроена отчетность по воронке привлечения</t>
        </is>
      </c>
      <c r="F6" s="4" t="n">
        <v>46230</v>
      </c>
      <c r="G6" s="6" t="n">
        <v>1.4</v>
      </c>
      <c r="H6" s="14" t="inlineStr">
        <is>
          <t>Выполнен</t>
        </is>
      </c>
      <c r="I6" s="1" t="inlineStr">
        <is>
          <t>Волков Дмитрий Александрович</t>
        </is>
      </c>
      <c r="J6" s="176" t="n"/>
      <c r="K6" s="70">
        <f>IF(A6="","",VLOOKUP(A:A,[2]Свод!$A:$B,2,0))</f>
        <v>5.6</v>
      </c>
    </row>
    <row r="7" hidden="1" ht="31.5" customHeight="1" s="181">
      <c r="A7" s="166" t="n"/>
      <c r="B7" s="1" t="inlineStr">
        <is>
          <t>СберСова</t>
        </is>
      </c>
      <c r="C7" s="1" t="inlineStr">
        <is>
          <t>3Q2026</t>
        </is>
      </c>
      <c r="D7" s="1" t="inlineStr">
        <is>
          <t>Воронка привлечения</t>
        </is>
      </c>
      <c r="E7" s="1" t="inlineStr">
        <is>
          <t>Отчетность по воронке привлечения обогащена метриками (полнота)</t>
        </is>
      </c>
      <c r="F7" s="4" t="n">
        <v>46230</v>
      </c>
      <c r="G7" s="6" t="n">
        <v>1.4</v>
      </c>
      <c r="H7" s="14" t="inlineStr">
        <is>
          <t>Выполнен</t>
        </is>
      </c>
      <c r="I7" s="1" t="inlineStr">
        <is>
          <t>Волков Дмитрий Александрович</t>
        </is>
      </c>
      <c r="J7" s="176" t="n"/>
      <c r="K7" s="70">
        <f>IF(A7="","",VLOOKUP(A:A,[2]Свод!$A:$B,2,0))</f>
        <v/>
      </c>
    </row>
    <row r="8" hidden="1" ht="28.5" customHeight="1" s="181">
      <c r="A8" s="166" t="str">
        <f>CONCATENATE(B8,"_",D8)</f>
        <v>СберСова_Механики</v>
      </c>
      <c r="B8" s="1" t="inlineStr">
        <is>
          <t>СберСова</t>
        </is>
      </c>
      <c r="C8" s="1" t="inlineStr">
        <is>
          <t>3Q2026</t>
        </is>
      </c>
      <c r="D8" s="1" t="inlineStr">
        <is>
          <t>Механики</t>
        </is>
      </c>
      <c r="E8" s="10" t="inlineStr">
        <is>
          <t>Исключить из расчета "Гибкое изменение условий продукта" - Не применимо для продукта</t>
        </is>
      </c>
      <c r="F8" s="4" t="n">
        <v>46295</v>
      </c>
      <c r="G8" s="6" t="n">
        <v>5.7</v>
      </c>
      <c r="H8" s="12" t="inlineStr">
        <is>
          <t>В работе</t>
        </is>
      </c>
      <c r="I8" s="1" t="inlineStr">
        <is>
          <t>Волков Дмитрий Александрович</t>
        </is>
      </c>
      <c r="J8" s="178" t="inlineStr">
        <is>
          <t>Почему? Штаб УБ- нужен коммент и заключение</t>
        </is>
      </c>
      <c r="K8" s="70">
        <f>IF(A8="","",VLOOKUP(A:A,[2]Свод!$A:$B,2,0))</f>
        <v>14.2</v>
      </c>
    </row>
    <row r="9" hidden="1" ht="23.25" customHeight="1" s="181" thickBot="1">
      <c r="A9" s="167" t="n"/>
      <c r="B9" s="168" t="inlineStr">
        <is>
          <t>СберСова</t>
        </is>
      </c>
      <c r="C9" s="168" t="inlineStr">
        <is>
          <t>3Q2026</t>
        </is>
      </c>
      <c r="D9" s="168" t="inlineStr">
        <is>
          <t>Механики</t>
        </is>
      </c>
      <c r="E9" s="168" t="inlineStr">
        <is>
          <t>Механики Cross-sell проработаны</t>
        </is>
      </c>
      <c r="F9" s="169" t="n">
        <v>46265</v>
      </c>
      <c r="G9" s="170" t="n">
        <v>2.8</v>
      </c>
      <c r="H9" s="171" t="inlineStr">
        <is>
          <t>В работе</t>
        </is>
      </c>
      <c r="I9" s="168" t="inlineStr">
        <is>
          <t>Волков Дмитрий Александрович</t>
        </is>
      </c>
      <c r="J9" s="177" t="n"/>
      <c r="K9" s="70">
        <f>IF(A9="","",VLOOKUP(A:A,[2]Свод!$A:$B,2,0))</f>
        <v/>
      </c>
    </row>
    <row r="10" hidden="1" ht="27.75" customHeight="1" s="181">
      <c r="A10" s="161" t="str">
        <f>CONCATENATE(B10,"_",D10)</f>
        <v>БПИФ_Знание ключевых метрик</v>
      </c>
      <c r="B10" s="162" t="inlineStr">
        <is>
          <t>БПИФ</t>
        </is>
      </c>
      <c r="C10" s="162" t="inlineStr">
        <is>
          <t>3Q2026</t>
        </is>
      </c>
      <c r="D10" s="162" t="inlineStr">
        <is>
          <t>Знание ключевых метрик</t>
        </is>
      </c>
      <c r="E10" s="162" t="inlineStr">
        <is>
          <t>Проработано понимание доступной отчетности и регулярного мониторинга</t>
        </is>
      </c>
      <c r="F10" s="163" t="n">
        <v>46239</v>
      </c>
      <c r="G10" s="164" t="n">
        <v>1</v>
      </c>
      <c r="H10" s="165" t="inlineStr">
        <is>
          <t>Выполнен</t>
        </is>
      </c>
      <c r="I10" s="162" t="inlineStr">
        <is>
          <t>Сулейманов Расим Орудж оглы</t>
        </is>
      </c>
      <c r="J10" s="175" t="n"/>
      <c r="K10" s="70">
        <f>IF(A10="","",VLOOKUP(A:A,[2]Свод!$A:$B,2,0))</f>
        <v>3.4000000000000004</v>
      </c>
    </row>
    <row r="11" hidden="1" s="181">
      <c r="A11" s="166" t="str">
        <f>CONCATENATE(B11,"_",D11)</f>
        <v>БПИФ_Знание ключевых метрик</v>
      </c>
      <c r="B11" s="1" t="inlineStr">
        <is>
          <t>БПИФ</t>
        </is>
      </c>
      <c r="C11" s="1" t="inlineStr">
        <is>
          <t>4Q2026</t>
        </is>
      </c>
      <c r="D11" s="1" t="inlineStr">
        <is>
          <t>Знание ключевых метрик</t>
        </is>
      </c>
      <c r="E11" s="1" t="inlineStr">
        <is>
          <t>Совместно со штабом обогатить целями в Навигаторе</t>
        </is>
      </c>
      <c r="F11" s="4" t="n">
        <v>46325</v>
      </c>
      <c r="G11" s="6" t="n">
        <v>2.4</v>
      </c>
      <c r="H11" s="13" t="inlineStr">
        <is>
          <t>Ожидание</t>
        </is>
      </c>
      <c r="I11" s="1" t="inlineStr">
        <is>
          <t>Сулейманов Расим Орудж оглы</t>
        </is>
      </c>
      <c r="J11" s="176" t="n"/>
      <c r="K11" s="70">
        <f>IF(A11="","",VLOOKUP(A:A,[2]Свод!$A:$B,2,0))</f>
        <v>3.4000000000000004</v>
      </c>
    </row>
    <row r="12" hidden="1" s="181">
      <c r="A12" s="166" t="str">
        <f>CONCATENATE(B12,"_",D12)</f>
        <v>БПИФ_Воронка оттока</v>
      </c>
      <c r="B12" s="1" t="inlineStr">
        <is>
          <t>БПИФ</t>
        </is>
      </c>
      <c r="C12" s="1" t="inlineStr">
        <is>
          <t>3Q2026</t>
        </is>
      </c>
      <c r="D12" s="1" t="inlineStr">
        <is>
          <t>Воронка оттока</t>
        </is>
      </c>
      <c r="E12" s="1" t="inlineStr">
        <is>
          <t>Настроить мониторинг по воронке оттока</t>
        </is>
      </c>
      <c r="F12" s="4" t="n">
        <v>46265</v>
      </c>
      <c r="G12" s="6" t="n">
        <v>2</v>
      </c>
      <c r="H12" s="12" t="inlineStr">
        <is>
          <t>В работе</t>
        </is>
      </c>
      <c r="I12" s="1" t="inlineStr">
        <is>
          <t>Сулейманов Расим Орудж оглы</t>
        </is>
      </c>
      <c r="J12" s="176" t="n"/>
      <c r="K12" s="179">
        <f>IF(A12="","",VLOOKUP(A:A,[2]Свод!$A:$B,2,0))</f>
        <v>8</v>
      </c>
    </row>
    <row r="13" hidden="1" ht="18.75" customHeight="1" s="181">
      <c r="A13" s="166" t="str">
        <f>CONCATENATE(B13,"_",D13)</f>
        <v>БПИФ_Воронка привлечения</v>
      </c>
      <c r="B13" s="1" t="inlineStr">
        <is>
          <t>БПИФ</t>
        </is>
      </c>
      <c r="C13" s="1" t="inlineStr">
        <is>
          <t>3Q2026</t>
        </is>
      </c>
      <c r="D13" s="1" t="inlineStr">
        <is>
          <t>Воронка привлечения</t>
        </is>
      </c>
      <c r="E13" s="1" t="inlineStr">
        <is>
          <t>Обогатить метриками мониторинг по воронке привлечения</t>
        </is>
      </c>
      <c r="F13" s="4" t="n">
        <v>46265</v>
      </c>
      <c r="G13" s="6" t="n">
        <v>1</v>
      </c>
      <c r="H13" s="12" t="inlineStr">
        <is>
          <t>В работе</t>
        </is>
      </c>
      <c r="I13" s="1" t="inlineStr">
        <is>
          <t>Сулейманов Расим Орудж оглы</t>
        </is>
      </c>
      <c r="J13" s="176" t="n"/>
      <c r="K13" s="179">
        <f>IF(A13="","",VLOOKUP(A:A,[2]Свод!$A:$B,2,0))</f>
        <v>11</v>
      </c>
    </row>
    <row r="14" hidden="1" s="181">
      <c r="A14" s="166" t="str">
        <f>CONCATENATE(B14,"_",D14)</f>
        <v>БПИФ_Воронка привлечения</v>
      </c>
      <c r="B14" s="1" t="inlineStr">
        <is>
          <t>БПИФ</t>
        </is>
      </c>
      <c r="C14" s="1" t="inlineStr">
        <is>
          <t>3Q2026</t>
        </is>
      </c>
      <c r="D14" s="1" t="inlineStr">
        <is>
          <t>Воронка привлечения</t>
        </is>
      </c>
      <c r="E14" s="1" t="inlineStr">
        <is>
          <t>Провести анализ привлечения, выявить точки роста</t>
        </is>
      </c>
      <c r="F14" s="4" t="n">
        <v>46265</v>
      </c>
      <c r="G14" s="6" t="n">
        <v>2</v>
      </c>
      <c r="H14" s="12" t="inlineStr">
        <is>
          <t>В работе</t>
        </is>
      </c>
      <c r="I14" s="1" t="inlineStr">
        <is>
          <t>Сулейманов Расим Орудж оглы</t>
        </is>
      </c>
      <c r="J14" s="176" t="n"/>
      <c r="K14" s="179">
        <f>IF(A14="","",VLOOKUP(A:A,[2]Свод!$A:$B,2,0))</f>
        <v>11</v>
      </c>
    </row>
    <row r="15" hidden="1" s="181">
      <c r="A15" s="166" t="str">
        <f>CONCATENATE(B15,"_",D15)</f>
        <v>БПИФ_Воронка привлечения</v>
      </c>
      <c r="B15" s="1" t="inlineStr">
        <is>
          <t>БПИФ</t>
        </is>
      </c>
      <c r="C15" s="1" t="inlineStr">
        <is>
          <t>3Q2026</t>
        </is>
      </c>
      <c r="D15" s="1" t="inlineStr">
        <is>
          <t>Воронка привлечения</t>
        </is>
      </c>
      <c r="E15" s="1" t="inlineStr">
        <is>
          <t>Сформировать бенчмарки по продуктовым метрикам</t>
        </is>
      </c>
      <c r="F15" s="4" t="n">
        <v>46265</v>
      </c>
      <c r="G15" s="6" t="n">
        <v>2</v>
      </c>
      <c r="H15" s="12" t="inlineStr">
        <is>
          <t>В работе</t>
        </is>
      </c>
      <c r="I15" s="1" t="inlineStr">
        <is>
          <t>Сулейманов Расим Орудж оглы</t>
        </is>
      </c>
      <c r="J15" s="176" t="n"/>
      <c r="K15" s="179">
        <f>IF(A15="","",VLOOKUP(A:A,[2]Свод!$A:$B,2,0))</f>
        <v>11</v>
      </c>
    </row>
    <row r="16" hidden="1" s="181">
      <c r="A16" s="166" t="str">
        <f>CONCATENATE(B16,"_",D16)</f>
        <v>БПИФ_Воронка оттока</v>
      </c>
      <c r="B16" s="1" t="inlineStr">
        <is>
          <t>БПИФ</t>
        </is>
      </c>
      <c r="C16" s="1" t="inlineStr">
        <is>
          <t>3Q2026</t>
        </is>
      </c>
      <c r="D16" s="1" t="inlineStr">
        <is>
          <t>Воронка оттока</t>
        </is>
      </c>
      <c r="E16" s="1" t="inlineStr">
        <is>
          <t>Провести анализ оттока, выявить точки роста</t>
        </is>
      </c>
      <c r="F16" s="4" t="n">
        <v>46265</v>
      </c>
      <c r="G16" s="6" t="n">
        <v>2</v>
      </c>
      <c r="H16" s="12" t="inlineStr">
        <is>
          <t>В работе</t>
        </is>
      </c>
      <c r="I16" s="1" t="inlineStr">
        <is>
          <t>Сулейманов Расим Орудж оглы</t>
        </is>
      </c>
      <c r="J16" s="176" t="n"/>
      <c r="K16" s="179">
        <f>IF(A16="","",VLOOKUP(A:A,[2]Свод!$A:$B,2,0))</f>
        <v>8</v>
      </c>
    </row>
    <row r="17" hidden="1" s="181">
      <c r="A17" s="166" t="str">
        <f>CONCATENATE(B17,"_",D17)</f>
        <v>БПИФ_Воронка оттока</v>
      </c>
      <c r="B17" s="1" t="inlineStr">
        <is>
          <t>БПИФ</t>
        </is>
      </c>
      <c r="C17" s="1" t="inlineStr">
        <is>
          <t>3Q2026</t>
        </is>
      </c>
      <c r="D17" s="1" t="inlineStr">
        <is>
          <t>Воронка оттока</t>
        </is>
      </c>
      <c r="E17" s="1" t="inlineStr">
        <is>
          <t>Сформировать бенчмарки по продуктовым метрикам</t>
        </is>
      </c>
      <c r="F17" s="4" t="n">
        <v>46265</v>
      </c>
      <c r="G17" s="6" t="n">
        <v>2</v>
      </c>
      <c r="H17" s="12" t="inlineStr">
        <is>
          <t>В работе</t>
        </is>
      </c>
      <c r="I17" s="1" t="inlineStr">
        <is>
          <t>Сулейманов Расим Орудж оглы</t>
        </is>
      </c>
      <c r="J17" s="176" t="n"/>
      <c r="K17" s="179">
        <f>IF(A17="","",VLOOKUP(A:A,[2]Свод!$A:$B,2,0))</f>
        <v>8</v>
      </c>
    </row>
    <row r="18" hidden="1" ht="28.5" customHeight="1" s="181">
      <c r="A18" s="166" t="str">
        <f>CONCATENATE(B18,"_",D18)</f>
        <v>БПИФ_Цели</v>
      </c>
      <c r="B18" s="1" t="inlineStr">
        <is>
          <t>БПИФ</t>
        </is>
      </c>
      <c r="C18" s="1" t="inlineStr">
        <is>
          <t>4Q2026</t>
        </is>
      </c>
      <c r="D18" s="1" t="inlineStr">
        <is>
          <t>Цели</t>
        </is>
      </c>
      <c r="E18" s="1" t="inlineStr">
        <is>
          <t>Совместно со штабом декомпозировать значения целей на драйверы, вывести в Навигатор</t>
        </is>
      </c>
      <c r="F18" s="4" t="n">
        <v>46325</v>
      </c>
      <c r="G18" s="6" t="n">
        <v>3.9</v>
      </c>
      <c r="H18" s="13" t="inlineStr">
        <is>
          <t>Ожидание</t>
        </is>
      </c>
      <c r="I18" s="1" t="inlineStr">
        <is>
          <t>Сулейманов Расим Орудж оглы</t>
        </is>
      </c>
      <c r="J18" s="176" t="n"/>
      <c r="K18" s="179">
        <f>IF(A18="","",VLOOKUP(A:A,[2]Свод!$A:$B,2,0))</f>
        <v>8</v>
      </c>
    </row>
    <row r="19" hidden="1" ht="28.5" customHeight="1" s="181" thickBot="1">
      <c r="A19" s="167" t="str">
        <f>CONCATENATE(B19,"_",D19)</f>
        <v>БПИФ_Цели</v>
      </c>
      <c r="B19" s="168" t="inlineStr">
        <is>
          <t>БПИФ</t>
        </is>
      </c>
      <c r="C19" s="168" t="inlineStr">
        <is>
          <t>4Q2026</t>
        </is>
      </c>
      <c r="D19" s="168" t="inlineStr">
        <is>
          <t>Цели</t>
        </is>
      </c>
      <c r="E19" s="168" t="inlineStr">
        <is>
          <t>Совместно со штабом сформировать прогнозные значения, вывести в Навигатор</t>
        </is>
      </c>
      <c r="F19" s="169" t="n">
        <v>46325</v>
      </c>
      <c r="G19" s="170" t="n">
        <v>2</v>
      </c>
      <c r="H19" s="172" t="inlineStr">
        <is>
          <t>Ожидание</t>
        </is>
      </c>
      <c r="I19" s="168" t="inlineStr">
        <is>
          <t>Сулейманов Расим Орудж оглы</t>
        </is>
      </c>
      <c r="J19" s="177" t="n"/>
      <c r="K19" s="179">
        <f>IF(A19="","",VLOOKUP(A:A,[2]Свод!$A:$B,2,0))</f>
        <v>8</v>
      </c>
    </row>
    <row r="20" hidden="1" ht="27" customHeight="1" s="181">
      <c r="A20" s="161" t="str">
        <f>CONCATENATE(B20,"_",D20)</f>
        <v>Брокерский счет_Знание ключевых метрик</v>
      </c>
      <c r="B20" s="162" t="inlineStr">
        <is>
          <t>Брокерский счет</t>
        </is>
      </c>
      <c r="C20" s="162" t="inlineStr">
        <is>
          <t>Q32026</t>
        </is>
      </c>
      <c r="D20" s="162" t="inlineStr">
        <is>
          <t>Знание ключевых метрик</t>
        </is>
      </c>
      <c r="E20" s="162" t="inlineStr">
        <is>
          <t>Совместно со Штабом УБ проведена синхронизация отчетности и знаний продукта</t>
        </is>
      </c>
      <c r="F20" s="163" t="n">
        <v>46356</v>
      </c>
      <c r="G20" s="164" t="n">
        <v>3.4</v>
      </c>
      <c r="H20" s="174" t="inlineStr">
        <is>
          <t>В работе</t>
        </is>
      </c>
      <c r="I20" s="162" t="inlineStr">
        <is>
          <t>Аганина Яна Анатольевна</t>
        </is>
      </c>
      <c r="J20" s="327" t="inlineStr">
        <is>
          <t>Недостаточно запланированных мероприятий, т.к. ожидаемого прироста индекса не хватит для перехода на уровень "Зрелые"</t>
        </is>
      </c>
      <c r="K20" s="179">
        <f>IF(A20="","",VLOOKUP(A:A,[2]Свод!$A:$B,2,0))</f>
        <v>3.4000000000000004</v>
      </c>
    </row>
    <row r="21" hidden="1" ht="29.25" customHeight="1" s="181">
      <c r="A21" s="166" t="str">
        <f>CONCATENATE(B21,"_",D21)</f>
        <v>Брокерский счет_Цели</v>
      </c>
      <c r="B21" s="1" t="inlineStr">
        <is>
          <t>Брокерский счет</t>
        </is>
      </c>
      <c r="C21" s="1" t="inlineStr">
        <is>
          <t>Q32026</t>
        </is>
      </c>
      <c r="D21" s="1" t="inlineStr">
        <is>
          <t>Цели</t>
        </is>
      </c>
      <c r="E21" s="1" t="inlineStr">
        <is>
          <t>Совместно со Штабом УБ проведена синхронизация и вывод драйверов целей ЛТ/ЛЮ</t>
        </is>
      </c>
      <c r="F21" s="4" t="n">
        <v>46356</v>
      </c>
      <c r="G21" s="6" t="n">
        <v>3.3</v>
      </c>
      <c r="H21" s="12" t="inlineStr">
        <is>
          <t>В работе</t>
        </is>
      </c>
      <c r="I21" s="1" t="inlineStr">
        <is>
          <t>Аганина Яна Анатольевна</t>
        </is>
      </c>
      <c r="J21" s="328" t="n"/>
      <c r="K21" s="179">
        <f>IF(A21="","",VLOOKUP(A:A,[2]Свод!$A:$B,2,0))</f>
        <v>5.6999999999999993</v>
      </c>
    </row>
    <row r="22" hidden="1" ht="30.75" customHeight="1" s="181" thickBot="1">
      <c r="A22" s="167" t="str">
        <f>CONCATENATE(B22,"_",D22)</f>
        <v>Брокерский счет_Гипотезы и инициативы</v>
      </c>
      <c r="B22" s="168" t="inlineStr">
        <is>
          <t>Брокерский счет</t>
        </is>
      </c>
      <c r="C22" s="168" t="inlineStr">
        <is>
          <t>Q32026</t>
        </is>
      </c>
      <c r="D22" s="168" t="inlineStr">
        <is>
          <t>Гипотезы и инициативы</t>
        </is>
      </c>
      <c r="E22" s="168" t="inlineStr">
        <is>
          <t>Запустить A/B-тестирование открытия счета</t>
        </is>
      </c>
      <c r="F22" s="169" t="n">
        <v>46356</v>
      </c>
      <c r="G22" s="170" t="n">
        <v>1.9</v>
      </c>
      <c r="H22" s="171" t="inlineStr">
        <is>
          <t>В работе</t>
        </is>
      </c>
      <c r="I22" s="168" t="inlineStr">
        <is>
          <t>Аганина Яна Анатольевна</t>
        </is>
      </c>
      <c r="J22" s="329" t="n"/>
      <c r="K22" s="179">
        <f>IF(A22="","",VLOOKUP(A:A,[2]Свод!$A:$B,2,0))</f>
        <v>9.5</v>
      </c>
    </row>
    <row r="23" ht="15.75" customHeight="1" s="181">
      <c r="A23" t="str">
        <f>CONCATENATE(B23,"_",D23)</f>
        <v>ВЗР_Знание ключевых метрик</v>
      </c>
      <c r="B23" s="221" t="inlineStr">
        <is>
          <t>ВЗР</t>
        </is>
      </c>
      <c r="C23" s="221" t="inlineStr">
        <is>
          <t>3Q2026</t>
        </is>
      </c>
      <c r="D23" s="221" t="inlineStr">
        <is>
          <t>Знание ключевых метрик</t>
        </is>
      </c>
      <c r="E23" s="173" t="inlineStr">
        <is>
          <t>Объем целевого рынка в России</t>
        </is>
      </c>
      <c r="F23" s="221" t="inlineStr">
        <is>
          <t>Проведение встречи после отправки ДК (до 14.08) для синхронизации и согласования логики расчетов</t>
        </is>
      </c>
      <c r="G23" s="214" t="n">
        <v>4.5</v>
      </c>
      <c r="H23" s="228" t="inlineStr">
        <is>
          <t>В работе</t>
        </is>
      </c>
      <c r="I23" s="230" t="inlineStr">
        <is>
          <t>Мартусенко Игорь Викторович, Архипова Марина Алексеевна</t>
        </is>
      </c>
      <c r="J23" s="221" t="inlineStr">
        <is>
          <t>Ожидание прироста суммарно по продукту нереалистично и сверхдостаточно (103%)</t>
        </is>
      </c>
      <c r="K23" s="179">
        <f>IF(A23="","",VLOOKUP(A:A,[2]Свод!$A:$B,2,0))</f>
        <v>4.5999999999999996</v>
      </c>
    </row>
    <row r="24" hidden="1" s="181">
      <c r="B24" s="330" t="n"/>
      <c r="C24" s="330" t="n"/>
      <c r="D24" s="330" t="n"/>
      <c r="E24" s="17" t="inlineStr">
        <is>
          <t>Текущее значение в дешборде  0%</t>
        </is>
      </c>
      <c r="F24" s="330" t="n"/>
      <c r="G24" s="330" t="n"/>
      <c r="H24" s="330" t="n"/>
      <c r="I24" s="331" t="n"/>
      <c r="J24" s="330" t="n"/>
      <c r="K24" s="70">
        <f>IF(A24="","",VLOOKUP(A:A,'[1]Невыполненные метрики'!$A:$B,2,0))</f>
        <v/>
      </c>
    </row>
    <row r="25" hidden="1" s="181">
      <c r="B25" s="330" t="n"/>
      <c r="C25" s="330" t="n"/>
      <c r="D25" s="330" t="n"/>
      <c r="E25" s="19" t="inlineStr">
        <is>
          <t>Мероприятие: синхронизация по логике расчета</t>
        </is>
      </c>
      <c r="F25" s="330" t="n"/>
      <c r="G25" s="330" t="n"/>
      <c r="H25" s="330" t="n"/>
      <c r="I25" s="331" t="n"/>
      <c r="J25" s="330" t="n"/>
      <c r="K25" s="70">
        <f>IF(A25="","",VLOOKUP(A:A,'[1]Невыполненные метрики'!$A:$B,2,0))</f>
        <v/>
      </c>
    </row>
    <row r="26" hidden="1" s="181">
      <c r="B26" s="330" t="n"/>
      <c r="C26" s="330" t="n"/>
      <c r="D26" s="330" t="n"/>
      <c r="E26" s="17" t="inlineStr">
        <is>
          <t>Как считает продуктовая команда:</t>
        </is>
      </c>
      <c r="F26" s="330" t="n"/>
      <c r="G26" s="330" t="n"/>
      <c r="H26" s="330" t="n"/>
      <c r="I26" s="331" t="n"/>
      <c r="J26" s="330" t="n"/>
      <c r="K26" s="70">
        <f>IF(A26="","",VLOOKUP(A:A,'[1]Невыполненные метрики'!$A:$B,2,0))</f>
        <v/>
      </c>
    </row>
    <row r="27" hidden="1" s="181">
      <c r="B27" s="330" t="n"/>
      <c r="C27" s="330" t="n"/>
      <c r="D27" s="330" t="n"/>
      <c r="E27" s="20" t="inlineStr">
        <is>
          <t>Согласно оф.данным Росстата (https://rosstat.gov.ru/statistics/turizm)</t>
        </is>
      </c>
      <c r="F27" s="330" t="n"/>
      <c r="G27" s="330" t="n"/>
      <c r="H27" s="330" t="n"/>
      <c r="I27" s="331" t="n"/>
      <c r="J27" s="330" t="n"/>
      <c r="K27" s="70">
        <f>IF(A27="","",VLOOKUP(A:A,'[1]Невыполненные метрики'!$A:$B,2,0))</f>
        <v/>
      </c>
    </row>
    <row r="28" hidden="1" s="181">
      <c r="B28" s="330" t="n"/>
      <c r="C28" s="330" t="n"/>
      <c r="D28" s="330" t="n"/>
      <c r="E28" s="17" t="inlineStr">
        <is>
          <t xml:space="preserve"> число выездных туристских поездок граждан России в зарубежные страны за 1q26 = 5,63 млн. Т.о в год : 5,63*4 = 22,5 млн. поездок. Это объем целевого рынка в России.</t>
        </is>
      </c>
      <c r="F28" s="330" t="n"/>
      <c r="G28" s="330" t="n"/>
      <c r="H28" s="330" t="n"/>
      <c r="I28" s="331" t="n"/>
      <c r="J28" s="330" t="n"/>
      <c r="K28" s="70">
        <f>IF(A28="","",VLOOKUP(A:A,'[1]Невыполненные метрики'!$A:$B,2,0))</f>
        <v/>
      </c>
    </row>
    <row r="29" hidden="1" s="181">
      <c r="B29" s="330" t="n"/>
      <c r="C29" s="330" t="n"/>
      <c r="D29" s="330" t="n"/>
      <c r="E29" s="17" t="n"/>
      <c r="F29" s="330" t="n"/>
      <c r="G29" s="330" t="n"/>
      <c r="H29" s="330" t="n"/>
      <c r="I29" s="331" t="n"/>
      <c r="J29" s="330" t="n"/>
      <c r="K29" s="70">
        <f>IF(A29="","",VLOOKUP(A:A,'[1]Невыполненные метрики'!$A:$B,2,0))</f>
        <v/>
      </c>
    </row>
    <row r="30" hidden="1" s="181">
      <c r="B30" s="330" t="n"/>
      <c r="C30" s="330" t="n"/>
      <c r="D30" s="330" t="n"/>
      <c r="E30" s="17" t="inlineStr">
        <is>
          <t>Объем целевого рынка в Сбере</t>
        </is>
      </c>
      <c r="F30" s="330" t="n"/>
      <c r="G30" s="330" t="n"/>
      <c r="H30" s="330" t="n"/>
      <c r="I30" s="331" t="n"/>
      <c r="J30" s="330" t="n"/>
      <c r="K30" s="70">
        <f>IF(A30="","",VLOOKUP(A:A,'[1]Невыполненные метрики'!$A:$B,2,0))</f>
        <v/>
      </c>
    </row>
    <row r="31" hidden="1" s="181">
      <c r="B31" s="330" t="n"/>
      <c r="C31" s="330" t="n"/>
      <c r="D31" s="330" t="n"/>
      <c r="E31" s="17" t="inlineStr">
        <is>
          <t>Текущее значение в дешборде  0%</t>
        </is>
      </c>
      <c r="F31" s="330" t="n"/>
      <c r="G31" s="330" t="n"/>
      <c r="H31" s="330" t="n"/>
      <c r="I31" s="331" t="n"/>
      <c r="J31" s="330" t="n"/>
      <c r="K31" s="70">
        <f>IF(A31="","",VLOOKUP(A:A,'[1]Невыполненные метрики'!$A:$B,2,0))</f>
        <v/>
      </c>
    </row>
    <row r="32" hidden="1" s="181">
      <c r="B32" s="330" t="n"/>
      <c r="C32" s="330" t="n"/>
      <c r="D32" s="330" t="n"/>
      <c r="E32" s="19" t="inlineStr">
        <is>
          <t>Мероприятие: синхронизация по логике расчета</t>
        </is>
      </c>
      <c r="F32" s="330" t="n"/>
      <c r="G32" s="330" t="n"/>
      <c r="H32" s="330" t="n"/>
      <c r="I32" s="331" t="n"/>
      <c r="J32" s="330" t="n"/>
      <c r="K32" s="70">
        <f>IF(A32="","",VLOOKUP(A:A,'[1]Невыполненные метрики'!$A:$B,2,0))</f>
        <v/>
      </c>
    </row>
    <row r="33" hidden="1" s="181">
      <c r="B33" s="330" t="n"/>
      <c r="C33" s="330" t="n"/>
      <c r="D33" s="330" t="n"/>
      <c r="E33" s="17" t="inlineStr">
        <is>
          <t>Как считает продуктовая команда:</t>
        </is>
      </c>
      <c r="F33" s="330" t="n"/>
      <c r="G33" s="330" t="n"/>
      <c r="H33" s="330" t="n"/>
      <c r="I33" s="331" t="n"/>
      <c r="J33" s="330" t="n"/>
      <c r="K33" s="70">
        <f>IF(A33="","",VLOOKUP(A:A,'[1]Невыполненные метрики'!$A:$B,2,0))</f>
        <v/>
      </c>
    </row>
    <row r="34" hidden="1" s="181">
      <c r="B34" s="330" t="n"/>
      <c r="C34" s="330" t="n"/>
      <c r="D34" s="330" t="n"/>
      <c r="E34" s="17" t="inlineStr">
        <is>
          <t>1) Посчитаем частоту поездок в год на 1 россиянина: 22,5 млн. поездок / 146 млн. чел. = 15,4 %.</t>
        </is>
      </c>
      <c r="F34" s="330" t="n"/>
      <c r="G34" s="330" t="n"/>
      <c r="H34" s="330" t="n"/>
      <c r="I34" s="331" t="n"/>
      <c r="J34" s="330" t="n"/>
      <c r="K34" s="70">
        <f>IF(A34="","",VLOOKUP(A:A,'[1]Невыполненные метрики'!$A:$B,2,0))</f>
        <v/>
      </c>
    </row>
    <row r="35" hidden="1" s="181">
      <c r="B35" s="330" t="n"/>
      <c r="C35" s="330" t="n"/>
      <c r="D35" s="330" t="n"/>
      <c r="E35" s="17" t="inlineStr">
        <is>
          <t>2) Применим частоту поездок в год на 1 россиянина к объему активных пользователей Сбера: 100 млн. активн.польз * 15,4% = 15,4 млн. Далее вычитаем 2,6 млн. владельцы ПУ, где включена страховка</t>
        </is>
      </c>
      <c r="F35" s="330" t="n"/>
      <c r="G35" s="330" t="n"/>
      <c r="H35" s="330" t="n"/>
      <c r="I35" s="331" t="n"/>
      <c r="J35" s="330" t="n"/>
      <c r="K35" s="70">
        <f>IF(A35="","",VLOOKUP(A:A,'[1]Невыполненные метрики'!$A:$B,2,0))</f>
        <v/>
      </c>
    </row>
    <row r="36" hidden="1" s="181">
      <c r="B36" s="330" t="n"/>
      <c r="C36" s="330" t="n"/>
      <c r="D36" s="330" t="n"/>
      <c r="E36" s="17" t="inlineStr">
        <is>
          <t>Т.о.  объем целевого рынка в Сбере = 12,8 млн. поездок</t>
        </is>
      </c>
      <c r="F36" s="330" t="n"/>
      <c r="G36" s="330" t="n"/>
      <c r="H36" s="330" t="n"/>
      <c r="I36" s="331" t="n"/>
      <c r="J36" s="330" t="n"/>
      <c r="K36" s="70">
        <f>IF(A36="","",VLOOKUP(A:A,'[1]Невыполненные метрики'!$A:$B,2,0))</f>
        <v/>
      </c>
    </row>
    <row r="37" hidden="1" s="181">
      <c r="B37" s="330" t="n"/>
      <c r="C37" s="330" t="n"/>
      <c r="D37" s="330" t="n"/>
      <c r="E37" s="17" t="n"/>
      <c r="F37" s="330" t="n"/>
      <c r="G37" s="330" t="n"/>
      <c r="H37" s="330" t="n"/>
      <c r="I37" s="331" t="n"/>
      <c r="J37" s="330" t="n"/>
      <c r="K37" s="70">
        <f>IF(A37="","",VLOOKUP(A:A,'[1]Невыполненные метрики'!$A:$B,2,0))</f>
        <v/>
      </c>
    </row>
    <row r="38" hidden="1" s="181">
      <c r="B38" s="330" t="n"/>
      <c r="C38" s="330" t="n"/>
      <c r="D38" s="330" t="n"/>
      <c r="E38" s="17" t="inlineStr">
        <is>
          <t>Клиенты  с продуктом</t>
        </is>
      </c>
      <c r="F38" s="330" t="n"/>
      <c r="G38" s="330" t="n"/>
      <c r="H38" s="330" t="n"/>
      <c r="I38" s="331" t="n"/>
      <c r="J38" s="330" t="n"/>
      <c r="K38" s="70">
        <f>IF(A38="","",VLOOKUP(A:A,'[1]Невыполненные метрики'!$A:$B,2,0))</f>
        <v/>
      </c>
    </row>
    <row r="39" hidden="1" s="181">
      <c r="B39" s="330" t="n"/>
      <c r="C39" s="330" t="n"/>
      <c r="D39" s="330" t="n"/>
      <c r="E39" s="17" t="inlineStr">
        <is>
          <t>Текущее значение в дешборде  0%</t>
        </is>
      </c>
      <c r="F39" s="330" t="n"/>
      <c r="G39" s="330" t="n"/>
      <c r="H39" s="330" t="n"/>
      <c r="I39" s="331" t="n"/>
      <c r="J39" s="330" t="n"/>
      <c r="K39" s="70">
        <f>IF(A39="","",VLOOKUP(A:A,'[1]Невыполненные метрики'!$A:$B,2,0))</f>
        <v/>
      </c>
    </row>
    <row r="40" hidden="1" s="181">
      <c r="B40" s="330" t="n"/>
      <c r="C40" s="330" t="n"/>
      <c r="D40" s="330" t="n"/>
      <c r="E40" s="19" t="inlineStr">
        <is>
          <t>Мероприятие: синхронизация по логике расчета</t>
        </is>
      </c>
      <c r="F40" s="330" t="n"/>
      <c r="G40" s="330" t="n"/>
      <c r="H40" s="330" t="n"/>
      <c r="I40" s="331" t="n"/>
      <c r="J40" s="330" t="n"/>
      <c r="K40" s="70">
        <f>IF(A40="","",VLOOKUP(A:A,'[1]Невыполненные метрики'!$A:$B,2,0))</f>
        <v/>
      </c>
    </row>
    <row r="41" hidden="1" s="181">
      <c r="B41" s="330" t="n"/>
      <c r="C41" s="330" t="n"/>
      <c r="D41" s="330" t="n"/>
      <c r="E41" s="17" t="inlineStr">
        <is>
          <t>Как считает продуктовая команда:</t>
        </is>
      </c>
      <c r="F41" s="330" t="n"/>
      <c r="G41" s="330" t="n"/>
      <c r="H41" s="330" t="n"/>
      <c r="I41" s="331" t="n"/>
      <c r="J41" s="330" t="n"/>
      <c r="K41" s="70">
        <f>IF(A41="","",VLOOKUP(A:A,'[1]Невыполненные метрики'!$A:$B,2,0))</f>
        <v/>
      </c>
    </row>
    <row r="42" hidden="1" s="181">
      <c r="B42" s="330" t="n"/>
      <c r="C42" s="330" t="n"/>
      <c r="D42" s="330" t="n"/>
      <c r="E42" s="17" t="inlineStr">
        <is>
          <t>По продукту "Страхование путешественников" отсутствует автопролонгация / подписка. Доля годовых полисов 0,33% от общего числа (н-р: за июль 26г. 74 шт. годовых полиса из общего числа 22 474 шт.). 99,7% полисов - краткосрочные полисы со средним сроком поездки = 12, таким образом считаем кол-во оформленных полисов.</t>
        </is>
      </c>
      <c r="F42" s="330" t="n"/>
      <c r="G42" s="330" t="n"/>
      <c r="H42" s="330" t="n"/>
      <c r="I42" s="331" t="n"/>
      <c r="J42" s="330" t="n"/>
      <c r="K42" s="70">
        <f>IF(A42="","",VLOOKUP(A:A,'[1]Невыполненные метрики'!$A:$B,2,0))</f>
        <v/>
      </c>
    </row>
    <row r="43" hidden="1" s="181">
      <c r="B43" s="330" t="n"/>
      <c r="C43" s="330" t="n"/>
      <c r="D43" s="330" t="n"/>
      <c r="E43" s="17" t="inlineStr">
        <is>
          <t>Факт за период с янв.26 по июль 26 = 115 257 шт. ; план с авг.26 по дек.26 = 82 000 шт.; ИТОГО = 195 257</t>
        </is>
      </c>
      <c r="F43" s="330" t="n"/>
      <c r="G43" s="330" t="n"/>
      <c r="H43" s="330" t="n"/>
      <c r="I43" s="331" t="n"/>
      <c r="J43" s="330" t="n"/>
      <c r="K43" s="70">
        <f>IF(A43="","",VLOOKUP(A:A,'[1]Невыполненные метрики'!$A:$B,2,0))</f>
        <v/>
      </c>
    </row>
    <row r="44" hidden="1" s="181">
      <c r="B44" s="330" t="n"/>
      <c r="C44" s="330" t="n"/>
      <c r="D44" s="330" t="n"/>
      <c r="E44" s="17" t="n"/>
      <c r="F44" s="330" t="n"/>
      <c r="G44" s="330" t="n"/>
      <c r="H44" s="330" t="n"/>
      <c r="I44" s="331" t="n"/>
      <c r="J44" s="330" t="n"/>
      <c r="K44" s="70">
        <f>IF(A44="","",VLOOKUP(A:A,'[1]Невыполненные метрики'!$A:$B,2,0))</f>
        <v/>
      </c>
    </row>
    <row r="45" hidden="1" s="181">
      <c r="B45" s="330" t="n"/>
      <c r="C45" s="330" t="n"/>
      <c r="D45" s="330" t="n"/>
      <c r="E45" s="17" t="inlineStr">
        <is>
          <t>MAU продукта</t>
        </is>
      </c>
      <c r="F45" s="330" t="n"/>
      <c r="G45" s="330" t="n"/>
      <c r="H45" s="330" t="n"/>
      <c r="I45" s="331" t="n"/>
      <c r="J45" s="330" t="n"/>
      <c r="K45" s="70">
        <f>IF(A45="","",VLOOKUP(A:A,'[1]Невыполненные метрики'!$A:$B,2,0))</f>
        <v/>
      </c>
    </row>
    <row r="46" hidden="1" s="181">
      <c r="B46" s="330" t="n"/>
      <c r="C46" s="330" t="n"/>
      <c r="D46" s="330" t="n"/>
      <c r="E46" s="17" t="inlineStr">
        <is>
          <t>Текущее значение в дешборде  0%</t>
        </is>
      </c>
      <c r="F46" s="330" t="n"/>
      <c r="G46" s="330" t="n"/>
      <c r="H46" s="330" t="n"/>
      <c r="I46" s="331" t="n"/>
      <c r="J46" s="330" t="n"/>
      <c r="K46" s="70">
        <f>IF(A46="","",VLOOKUP(A:A,'[1]Невыполненные метрики'!$A:$B,2,0))</f>
        <v/>
      </c>
    </row>
    <row r="47" hidden="1" s="181">
      <c r="B47" s="330" t="n"/>
      <c r="C47" s="330" t="n"/>
      <c r="D47" s="330" t="n"/>
      <c r="E47" s="19" t="inlineStr">
        <is>
          <t>Мероприятие: синхронизация по логике расчета</t>
        </is>
      </c>
      <c r="F47" s="330" t="n"/>
      <c r="G47" s="330" t="n"/>
      <c r="H47" s="330" t="n"/>
      <c r="I47" s="331" t="n"/>
      <c r="J47" s="330" t="n"/>
      <c r="K47" s="70">
        <f>IF(A47="","",VLOOKUP(A:A,'[1]Невыполненные метрики'!$A:$B,2,0))</f>
        <v/>
      </c>
    </row>
    <row r="48" hidden="1" s="181">
      <c r="B48" s="330" t="n"/>
      <c r="C48" s="330" t="n"/>
      <c r="D48" s="330" t="n"/>
      <c r="E48" s="17" t="inlineStr">
        <is>
          <t>Как считает продуктовая команда:</t>
        </is>
      </c>
      <c r="F48" s="330" t="n"/>
      <c r="G48" s="330" t="n"/>
      <c r="H48" s="330" t="n"/>
      <c r="I48" s="331" t="n"/>
      <c r="J48" s="330" t="n"/>
      <c r="K48" s="70">
        <f>IF(A48="","",VLOOKUP(A:A,'[1]Невыполненные метрики'!$A:$B,2,0))</f>
        <v/>
      </c>
    </row>
    <row r="49" hidden="1" s="181">
      <c r="B49" s="330" t="n"/>
      <c r="C49" s="330" t="n"/>
      <c r="D49" s="330" t="n"/>
      <c r="E49" s="17" t="inlineStr">
        <is>
          <t>MAU считается по кол-ву уник. клиентов, которые перешли на карточку продукта в МП СБОЛ. Таких 100 000 клиентов</t>
        </is>
      </c>
      <c r="F49" s="330" t="n"/>
      <c r="G49" s="330" t="n"/>
      <c r="H49" s="330" t="n"/>
      <c r="I49" s="331" t="n"/>
      <c r="J49" s="330" t="n"/>
      <c r="K49" s="70">
        <f>IF(A49="","",VLOOKUP(A:A,'[1]Невыполненные метрики'!$A:$B,2,0))</f>
        <v/>
      </c>
    </row>
    <row r="50" hidden="1" s="181">
      <c r="B50" s="330" t="n"/>
      <c r="C50" s="330" t="n"/>
      <c r="D50" s="330" t="n"/>
      <c r="E50" s="17" t="inlineStr">
        <is>
          <t>MAU — количество уникальных пользователей, которые совершили хотя бы одно целевое действие на протяжении 30 дней. Целевое действие = переход на карточку продукта, если смотреть целевое действие = оформление продукта, то это будет та же самая цифра, что и "Клиенты с продуктом"</t>
        </is>
      </c>
      <c r="F50" s="330" t="n"/>
      <c r="G50" s="330" t="n"/>
      <c r="H50" s="330" t="n"/>
      <c r="I50" s="331" t="n"/>
      <c r="J50" s="330" t="n"/>
      <c r="K50" s="70">
        <f>IF(A50="","",VLOOKUP(A:A,'[1]Невыполненные метрики'!$A:$B,2,0))</f>
        <v/>
      </c>
    </row>
    <row r="51" hidden="1" s="181">
      <c r="B51" s="330" t="n"/>
      <c r="C51" s="330" t="n"/>
      <c r="D51" s="330" t="n"/>
      <c r="E51" s="17" t="n"/>
      <c r="F51" s="330" t="n"/>
      <c r="G51" s="330" t="n"/>
      <c r="H51" s="330" t="n"/>
      <c r="I51" s="331" t="n"/>
      <c r="J51" s="330" t="n"/>
      <c r="K51" s="70">
        <f>IF(A51="","",VLOOKUP(A:A,'[1]Невыполненные метрики'!$A:$B,2,0))</f>
        <v/>
      </c>
    </row>
    <row r="52" hidden="1" s="181">
      <c r="B52" s="330" t="n"/>
      <c r="C52" s="330" t="n"/>
      <c r="D52" s="330" t="n"/>
      <c r="E52" s="17" t="inlineStr">
        <is>
          <t>Знание продуктов спутников</t>
        </is>
      </c>
      <c r="F52" s="330" t="n"/>
      <c r="G52" s="330" t="n"/>
      <c r="H52" s="330" t="n"/>
      <c r="I52" s="331" t="n"/>
      <c r="J52" s="330" t="n"/>
      <c r="K52" s="70">
        <f>IF(A52="","",VLOOKUP(A:A,'[1]Невыполненные метрики'!$A:$B,2,0))</f>
        <v/>
      </c>
    </row>
    <row r="53" hidden="1" s="181">
      <c r="B53" s="330" t="n"/>
      <c r="C53" s="330" t="n"/>
      <c r="D53" s="330" t="n"/>
      <c r="E53" s="17" t="inlineStr">
        <is>
          <t>Текущее значение в дешборде  50%.</t>
        </is>
      </c>
      <c r="F53" s="330" t="n"/>
      <c r="G53" s="330" t="n"/>
      <c r="H53" s="330" t="n"/>
      <c r="I53" s="331" t="n"/>
      <c r="J53" s="330" t="n"/>
      <c r="K53" s="70">
        <f>IF(A53="","",VLOOKUP(A:A,'[1]Невыполненные метрики'!$A:$B,2,0))</f>
        <v/>
      </c>
    </row>
    <row r="54" hidden="1" s="181">
      <c r="B54" s="330" t="n"/>
      <c r="C54" s="330" t="n"/>
      <c r="D54" s="330" t="n"/>
      <c r="E54" s="19" t="inlineStr">
        <is>
          <t>Мероприятие: совместно с штабом УБ синхронизировать логику, чтобы довести до 100%</t>
        </is>
      </c>
      <c r="F54" s="330" t="n"/>
      <c r="G54" s="330" t="n"/>
      <c r="H54" s="330" t="n"/>
      <c r="I54" s="331" t="n"/>
      <c r="J54" s="330" t="n"/>
      <c r="K54" s="70">
        <f>IF(A54="","",VLOOKUP(A:A,'[1]Невыполненные метрики'!$A:$B,2,0))</f>
        <v/>
      </c>
    </row>
    <row r="55" hidden="1" s="181">
      <c r="B55" s="330" t="n"/>
      <c r="C55" s="330" t="n"/>
      <c r="D55" s="330" t="n"/>
      <c r="E55" s="17" t="n"/>
      <c r="F55" s="330" t="n"/>
      <c r="G55" s="330" t="n"/>
      <c r="H55" s="330" t="n"/>
      <c r="I55" s="331" t="n"/>
      <c r="J55" s="330" t="n"/>
      <c r="K55" s="70">
        <f>IF(A55="","",VLOOKUP(A:A,'[1]Невыполненные метрики'!$A:$B,2,0))</f>
        <v/>
      </c>
    </row>
    <row r="56" hidden="1" s="181">
      <c r="B56" s="330" t="n"/>
      <c r="C56" s="330" t="n"/>
      <c r="D56" s="330" t="n"/>
      <c r="E56" s="17" t="inlineStr">
        <is>
          <t>Знание об отчетности в Навигаторе</t>
        </is>
      </c>
      <c r="F56" s="330" t="n"/>
      <c r="G56" s="330" t="n"/>
      <c r="H56" s="330" t="n"/>
      <c r="I56" s="331" t="n"/>
      <c r="J56" s="330" t="n"/>
      <c r="K56" s="70">
        <f>IF(A56="","",VLOOKUP(A:A,'[1]Невыполненные метрики'!$A:$B,2,0))</f>
        <v/>
      </c>
    </row>
    <row r="57" hidden="1" s="181">
      <c r="B57" s="330" t="n"/>
      <c r="C57" s="330" t="n"/>
      <c r="D57" s="330" t="n"/>
      <c r="E57" s="17" t="inlineStr">
        <is>
          <t>Текущее значение в дешборде  50%.</t>
        </is>
      </c>
      <c r="F57" s="330" t="n"/>
      <c r="G57" s="330" t="n"/>
      <c r="H57" s="330" t="n"/>
      <c r="I57" s="331" t="n"/>
      <c r="J57" s="330" t="n"/>
      <c r="K57" s="70">
        <f>IF(A57="","",VLOOKUP(A:A,'[1]Невыполненные метрики'!$A:$B,2,0))</f>
        <v/>
      </c>
    </row>
    <row r="58" hidden="1" s="181">
      <c r="B58" s="332" t="n"/>
      <c r="C58" s="332" t="n"/>
      <c r="D58" s="332" t="n"/>
      <c r="E58" s="19" t="inlineStr">
        <is>
          <t>Мероприятие: совместно с штабом УБ синхронизировать логику, чтобы довести до 100%</t>
        </is>
      </c>
      <c r="F58" s="332" t="n"/>
      <c r="G58" s="332" t="n"/>
      <c r="H58" s="330" t="n"/>
      <c r="I58" s="333" t="n"/>
      <c r="J58" s="332" t="n"/>
      <c r="K58" s="70">
        <f>IF(A58="","",VLOOKUP(A:A,'[1]Невыполненные метрики'!$A:$B,2,0))</f>
        <v/>
      </c>
    </row>
    <row r="59">
      <c r="A59" t="str">
        <f>CONCATENATE(B59,"_",D59)</f>
        <v>ВЗР_Воронка привлечения</v>
      </c>
      <c r="B59" s="1" t="inlineStr">
        <is>
          <t>ВЗР</t>
        </is>
      </c>
      <c r="C59" s="1" t="inlineStr">
        <is>
          <t>3Q2026</t>
        </is>
      </c>
      <c r="D59" s="1" t="inlineStr">
        <is>
          <t>Воронка привлечения</t>
        </is>
      </c>
      <c r="E59" s="7" t="inlineStr">
        <is>
          <t>Настроена отчетность по воронке привлечения</t>
        </is>
      </c>
      <c r="F59" s="1" t="inlineStr">
        <is>
          <t>Проведение встречи после отправки ДК (до 14.08) для синхронизации и согласования логики расчетов</t>
        </is>
      </c>
      <c r="G59" s="2" t="n">
        <v>7.9</v>
      </c>
      <c r="H59" s="334" t="inlineStr">
        <is>
          <t>В работе</t>
        </is>
      </c>
      <c r="I59" s="1" t="inlineStr">
        <is>
          <t>Мартусенко Игорь Викторович, Архипова Марина Алексеевна</t>
        </is>
      </c>
      <c r="J59" s="222" t="n"/>
      <c r="K59" s="179">
        <f>IF(A59="","",VLOOKUP(A:A,[2]Свод!$A:$B,2,0))</f>
        <v>8</v>
      </c>
    </row>
    <row r="60" hidden="1" s="181">
      <c r="B60" s="330" t="n"/>
      <c r="C60" s="330" t="n"/>
      <c r="D60" s="330" t="n"/>
      <c r="E60" s="17" t="inlineStr">
        <is>
          <t>Текущее значение в дешборде  50%.</t>
        </is>
      </c>
      <c r="F60" s="330" t="n"/>
      <c r="G60" s="330" t="n"/>
      <c r="H60" s="335" t="n"/>
      <c r="I60" s="330" t="n"/>
      <c r="J60" s="331" t="n"/>
      <c r="K60" s="70">
        <f>IF(A60="","",VLOOKUP(A:A,'[1]Невыполненные метрики'!$A:$B,2,0))</f>
        <v/>
      </c>
    </row>
    <row r="61" hidden="1" s="181">
      <c r="B61" s="330" t="n"/>
      <c r="C61" s="330" t="n"/>
      <c r="D61" s="330" t="n"/>
      <c r="E61" s="19" t="inlineStr">
        <is>
          <t>Мероприятие: совместно с штабом УБ синхронизировать логику, чтобы довести до 100%</t>
        </is>
      </c>
      <c r="F61" s="330" t="n"/>
      <c r="G61" s="330" t="n"/>
      <c r="H61" s="335" t="n"/>
      <c r="I61" s="330" t="n"/>
      <c r="J61" s="331" t="n"/>
      <c r="K61" s="70">
        <f>IF(A61="","",VLOOKUP(A:A,'[1]Невыполненные метрики'!$A:$B,2,0))</f>
        <v/>
      </c>
    </row>
    <row r="62" hidden="1" s="181">
      <c r="B62" s="330" t="n"/>
      <c r="C62" s="330" t="n"/>
      <c r="D62" s="330" t="n"/>
      <c r="E62" s="17" t="n"/>
      <c r="F62" s="330" t="n"/>
      <c r="G62" s="330" t="n"/>
      <c r="H62" s="335" t="n"/>
      <c r="I62" s="330" t="n"/>
      <c r="J62" s="331" t="n"/>
      <c r="K62" s="70">
        <f>IF(A62="","",VLOOKUP(A:A,'[1]Невыполненные метрики'!$A:$B,2,0))</f>
        <v/>
      </c>
    </row>
    <row r="63" hidden="1" s="181">
      <c r="B63" s="330" t="n"/>
      <c r="C63" s="330" t="n"/>
      <c r="D63" s="330" t="n"/>
      <c r="E63" s="17" t="inlineStr">
        <is>
          <t>Полнота отчета (Источники, CR, объемы, сегменты)</t>
        </is>
      </c>
      <c r="F63" s="330" t="n"/>
      <c r="G63" s="330" t="n"/>
      <c r="H63" s="335" t="n"/>
      <c r="I63" s="330" t="n"/>
      <c r="J63" s="331" t="n"/>
      <c r="K63" s="70">
        <f>IF(A63="","",VLOOKUP(A:A,'[1]Невыполненные метрики'!$A:$B,2,0))</f>
        <v/>
      </c>
    </row>
    <row r="64" hidden="1" s="181">
      <c r="B64" s="330" t="n"/>
      <c r="C64" s="330" t="n"/>
      <c r="D64" s="330" t="n"/>
      <c r="E64" s="17" t="inlineStr">
        <is>
          <t>Текущее значение в дешборде  50%.</t>
        </is>
      </c>
      <c r="F64" s="330" t="n"/>
      <c r="G64" s="330" t="n"/>
      <c r="H64" s="335" t="n"/>
      <c r="I64" s="330" t="n"/>
      <c r="J64" s="331" t="n"/>
      <c r="K64" s="70">
        <f>IF(A64="","",VLOOKUP(A:A,'[1]Невыполненные метрики'!$A:$B,2,0))</f>
        <v/>
      </c>
    </row>
    <row r="65" hidden="1" s="181">
      <c r="B65" s="330" t="n"/>
      <c r="C65" s="330" t="n"/>
      <c r="D65" s="330" t="n"/>
      <c r="E65" s="19" t="inlineStr">
        <is>
          <t>Мероприятие: совместно с штабом УБ синхронизировать логику, чтобы довести до 100%</t>
        </is>
      </c>
      <c r="F65" s="330" t="n"/>
      <c r="G65" s="330" t="n"/>
      <c r="H65" s="335" t="n"/>
      <c r="I65" s="330" t="n"/>
      <c r="J65" s="331" t="n"/>
      <c r="K65" s="70">
        <f>IF(A65="","",VLOOKUP(A:A,'[1]Невыполненные метрики'!$A:$B,2,0))</f>
        <v/>
      </c>
    </row>
    <row r="66" hidden="1" s="181">
      <c r="B66" s="330" t="n"/>
      <c r="C66" s="330" t="n"/>
      <c r="D66" s="330" t="n"/>
      <c r="E66" s="17" t="n"/>
      <c r="F66" s="330" t="n"/>
      <c r="G66" s="330" t="n"/>
      <c r="H66" s="335" t="n"/>
      <c r="I66" s="330" t="n"/>
      <c r="J66" s="331" t="n"/>
      <c r="K66" s="70">
        <f>IF(A66="","",VLOOKUP(A:A,'[1]Невыполненные метрики'!$A:$B,2,0))</f>
        <v/>
      </c>
    </row>
    <row r="67" hidden="1" s="181">
      <c r="B67" s="330" t="n"/>
      <c r="C67" s="330" t="n"/>
      <c r="D67" s="330" t="n"/>
      <c r="E67" s="17" t="inlineStr">
        <is>
          <t>Регулярность. Автоматически (daily / weekly) или по запросу</t>
        </is>
      </c>
      <c r="F67" s="330" t="n"/>
      <c r="G67" s="330" t="n"/>
      <c r="H67" s="335" t="n"/>
      <c r="I67" s="330" t="n"/>
      <c r="J67" s="331" t="n"/>
      <c r="K67" s="70">
        <f>IF(A67="","",VLOOKUP(A:A,'[1]Невыполненные метрики'!$A:$B,2,0))</f>
        <v/>
      </c>
    </row>
    <row r="68" hidden="1" s="181">
      <c r="B68" s="330" t="n"/>
      <c r="C68" s="330" t="n"/>
      <c r="D68" s="330" t="n"/>
      <c r="E68" s="17" t="inlineStr">
        <is>
          <t>Текущее значение в дешборде  50%.</t>
        </is>
      </c>
      <c r="F68" s="330" t="n"/>
      <c r="G68" s="330" t="n"/>
      <c r="H68" s="335" t="n"/>
      <c r="I68" s="330" t="n"/>
      <c r="J68" s="331" t="n"/>
      <c r="K68" s="70">
        <f>IF(A68="","",VLOOKUP(A:A,'[1]Невыполненные метрики'!$A:$B,2,0))</f>
        <v/>
      </c>
    </row>
    <row r="69" hidden="1" s="181">
      <c r="B69" s="330" t="n"/>
      <c r="C69" s="330" t="n"/>
      <c r="D69" s="330" t="n"/>
      <c r="E69" s="19" t="inlineStr">
        <is>
          <t>Мероприятие: совместно с штабом УБ синхронизировать логику, чтобы довести до 100%</t>
        </is>
      </c>
      <c r="F69" s="330" t="n"/>
      <c r="G69" s="330" t="n"/>
      <c r="H69" s="335" t="n"/>
      <c r="I69" s="330" t="n"/>
      <c r="J69" s="331" t="n"/>
      <c r="K69" s="70">
        <f>IF(A69="","",VLOOKUP(A:A,'[1]Невыполненные метрики'!$A:$B,2,0))</f>
        <v/>
      </c>
    </row>
    <row r="70" hidden="1" s="181">
      <c r="B70" s="330" t="n"/>
      <c r="C70" s="330" t="n"/>
      <c r="D70" s="330" t="n"/>
      <c r="E70" s="17" t="n"/>
      <c r="F70" s="330" t="n"/>
      <c r="G70" s="330" t="n"/>
      <c r="H70" s="335" t="n"/>
      <c r="I70" s="330" t="n"/>
      <c r="J70" s="331" t="n"/>
      <c r="K70" s="70">
        <f>IF(A70="","",VLOOKUP(A:A,'[1]Невыполненные метрики'!$A:$B,2,0))</f>
        <v/>
      </c>
    </row>
    <row r="71" hidden="1" s="181">
      <c r="B71" s="330" t="n"/>
      <c r="C71" s="330" t="n"/>
      <c r="D71" s="330" t="n"/>
      <c r="E71" s="17" t="inlineStr">
        <is>
          <t>Наличие бенчмарков. Цели / динамика / рынок</t>
        </is>
      </c>
      <c r="F71" s="330" t="n"/>
      <c r="G71" s="330" t="n"/>
      <c r="H71" s="335" t="n"/>
      <c r="I71" s="330" t="n"/>
      <c r="J71" s="331" t="n"/>
      <c r="K71" s="70">
        <f>IF(A71="","",VLOOKUP(A:A,'[1]Невыполненные метрики'!$A:$B,2,0))</f>
        <v/>
      </c>
    </row>
    <row r="72" hidden="1" s="181">
      <c r="B72" s="330" t="n"/>
      <c r="C72" s="330" t="n"/>
      <c r="D72" s="330" t="n"/>
      <c r="E72" s="17" t="inlineStr">
        <is>
          <t>Текущее значение в дешборде  0%</t>
        </is>
      </c>
      <c r="F72" s="330" t="n"/>
      <c r="G72" s="330" t="n"/>
      <c r="H72" s="335" t="n"/>
      <c r="I72" s="330" t="n"/>
      <c r="J72" s="331" t="n"/>
      <c r="K72" s="70">
        <f>IF(A72="","",VLOOKUP(A:A,'[1]Невыполненные метрики'!$A:$B,2,0))</f>
        <v/>
      </c>
    </row>
    <row r="73" hidden="1" s="181">
      <c r="B73" s="330" t="n"/>
      <c r="C73" s="330" t="n"/>
      <c r="D73" s="330" t="n"/>
      <c r="E73" s="19" t="inlineStr">
        <is>
          <t>Мероприятие: синхронизация по логике расчета</t>
        </is>
      </c>
      <c r="F73" s="330" t="n"/>
      <c r="G73" s="330" t="n"/>
      <c r="H73" s="335" t="n"/>
      <c r="I73" s="330" t="n"/>
      <c r="J73" s="331" t="n"/>
      <c r="K73" s="70">
        <f>IF(A73="","",VLOOKUP(A:A,'[1]Невыполненные метрики'!$A:$B,2,0))</f>
        <v/>
      </c>
    </row>
    <row r="74" hidden="1" s="181">
      <c r="B74" s="330" t="n"/>
      <c r="C74" s="330" t="n"/>
      <c r="D74" s="330" t="n"/>
      <c r="E74" s="17" t="n"/>
      <c r="F74" s="330" t="n"/>
      <c r="G74" s="330" t="n"/>
      <c r="H74" s="335" t="n"/>
      <c r="I74" s="330" t="n"/>
      <c r="J74" s="331" t="n"/>
      <c r="K74" s="70">
        <f>IF(A74="","",VLOOKUP(A:A,'[1]Невыполненные метрики'!$A:$B,2,0))</f>
        <v/>
      </c>
    </row>
    <row r="75" hidden="1" s="181">
      <c r="B75" s="330" t="n"/>
      <c r="C75" s="330" t="n"/>
      <c r="D75" s="330" t="n"/>
      <c r="E75" s="17" t="inlineStr">
        <is>
          <t>Наличие Self-service. Self-service / кампейнинг, успешность</t>
        </is>
      </c>
      <c r="F75" s="330" t="n"/>
      <c r="G75" s="330" t="n"/>
      <c r="H75" s="335" t="n"/>
      <c r="I75" s="330" t="n"/>
      <c r="J75" s="331" t="n"/>
      <c r="K75" s="70">
        <f>IF(A75="","",VLOOKUP(A:A,'[1]Невыполненные метрики'!$A:$B,2,0))</f>
        <v/>
      </c>
    </row>
    <row r="76" hidden="1" s="181">
      <c r="B76" s="330" t="n"/>
      <c r="C76" s="330" t="n"/>
      <c r="D76" s="330" t="n"/>
      <c r="E76" s="17" t="inlineStr">
        <is>
          <t>Текущее значение в дешборде  0%</t>
        </is>
      </c>
      <c r="F76" s="330" t="n"/>
      <c r="G76" s="330" t="n"/>
      <c r="H76" s="335" t="n"/>
      <c r="I76" s="330" t="n"/>
      <c r="J76" s="331" t="n"/>
      <c r="K76" s="70">
        <f>IF(A76="","",VLOOKUP(A:A,'[1]Невыполненные метрики'!$A:$B,2,0))</f>
        <v/>
      </c>
    </row>
    <row r="77" hidden="1" s="181">
      <c r="B77" s="330" t="n"/>
      <c r="C77" s="330" t="n"/>
      <c r="D77" s="330" t="n"/>
      <c r="E77" s="19" t="inlineStr">
        <is>
          <t>Мероприятие: синхронизация по логике расчета. У продуктовой команды есть выделенный сотрудник для работы Self-service</t>
        </is>
      </c>
      <c r="F77" s="330" t="n"/>
      <c r="G77" s="330" t="n"/>
      <c r="H77" s="335" t="n"/>
      <c r="I77" s="330" t="n"/>
      <c r="J77" s="331" t="n"/>
      <c r="K77" s="70">
        <f>IF(A77="","",VLOOKUP(A:A,'[1]Невыполненные метрики'!$A:$B,2,0))</f>
        <v/>
      </c>
    </row>
    <row r="78" hidden="1" s="181">
      <c r="B78" s="330" t="n"/>
      <c r="C78" s="330" t="n"/>
      <c r="D78" s="330" t="n"/>
      <c r="E78" s="20" t="inlineStr">
        <is>
          <t>Настроен Дэшборд по отображению кампаний продаж в кампейнинге - https://qlik.sigma.sbrf.ru/qs_b2c_data/scim_sigma/sense/app/25e1a8c8-9a7c-4072-bf29-055bba63e97e/sheet/996accc8-5be9-4cf2-92f5-eb932bbf3980/state/analysis</t>
        </is>
      </c>
      <c r="F78" s="330" t="n"/>
      <c r="G78" s="330" t="n"/>
      <c r="H78" s="335" t="n"/>
      <c r="I78" s="330" t="n"/>
      <c r="J78" s="331" t="n"/>
      <c r="K78" s="70">
        <f>IF(A78="","",VLOOKUP(A:A,'[1]Невыполненные метрики'!$A:$B,2,0))</f>
        <v/>
      </c>
    </row>
    <row r="79" hidden="1" s="181">
      <c r="B79" s="330" t="n"/>
      <c r="C79" s="330" t="n"/>
      <c r="D79" s="330" t="n"/>
      <c r="E79" s="21" t="n"/>
      <c r="F79" s="330" t="n"/>
      <c r="G79" s="330" t="n"/>
      <c r="H79" s="335" t="n"/>
      <c r="I79" s="330" t="n"/>
      <c r="J79" s="331" t="n"/>
      <c r="K79" s="70">
        <f>IF(A79="","",VLOOKUP(A:A,'[1]Невыполненные метрики'!$A:$B,2,0))</f>
        <v/>
      </c>
    </row>
    <row r="80" hidden="1" s="181">
      <c r="B80" s="330" t="n"/>
      <c r="C80" s="330" t="n"/>
      <c r="D80" s="330" t="n"/>
      <c r="E80" s="17" t="inlineStr">
        <is>
          <t>Наличие успешных бизнес-запусков. Self-service / кампейнинг, успешность</t>
        </is>
      </c>
      <c r="F80" s="330" t="n"/>
      <c r="G80" s="330" t="n"/>
      <c r="H80" s="335" t="n"/>
      <c r="I80" s="330" t="n"/>
      <c r="J80" s="331" t="n"/>
      <c r="K80" s="70">
        <f>IF(A80="","",VLOOKUP(A:A,'[1]Невыполненные метрики'!$A:$B,2,0))</f>
        <v/>
      </c>
    </row>
    <row r="81" hidden="1" s="181">
      <c r="B81" s="330" t="n"/>
      <c r="C81" s="330" t="n"/>
      <c r="D81" s="330" t="n"/>
      <c r="E81" s="17" t="inlineStr">
        <is>
          <t>Текущее значение в дешборде  0%</t>
        </is>
      </c>
      <c r="F81" s="330" t="n"/>
      <c r="G81" s="330" t="n"/>
      <c r="H81" s="335" t="n"/>
      <c r="I81" s="330" t="n"/>
      <c r="J81" s="331" t="n"/>
      <c r="K81" s="70">
        <f>IF(A81="","",VLOOKUP(A:A,'[1]Невыполненные метрики'!$A:$B,2,0))</f>
        <v/>
      </c>
    </row>
    <row r="82" hidden="1" s="181">
      <c r="B82" s="330" t="n"/>
      <c r="C82" s="330" t="n"/>
      <c r="D82" s="330" t="n"/>
      <c r="E82" s="19" t="inlineStr">
        <is>
          <t>Мероприятие: синхронизация по логике расчета. У продуктовой команды есть выделенный сотрудник для работы Self-service</t>
        </is>
      </c>
      <c r="F82" s="330" t="n"/>
      <c r="G82" s="330" t="n"/>
      <c r="H82" s="335" t="n"/>
      <c r="I82" s="330" t="n"/>
      <c r="J82" s="331" t="n"/>
      <c r="K82" s="70">
        <f>IF(A82="","",VLOOKUP(A:A,'[1]Невыполненные метрики'!$A:$B,2,0))</f>
        <v/>
      </c>
    </row>
    <row r="83" hidden="1" s="181">
      <c r="B83" s="332" t="n"/>
      <c r="C83" s="332" t="n"/>
      <c r="D83" s="332" t="n"/>
      <c r="E83" s="22" t="inlineStr">
        <is>
          <t>Настроен Дэшборд по отображению кампаний продаж в кампейнинге - https://qlik.sigma.sbrf.ru/qs_b2c_data/scim_sigma/sense/app/25e1a8c8-9a7c-4072-bf29-055bba63e97e/sheet/996accc8-5be9-4cf2-92f5-eb932bbf3980/state/analysis</t>
        </is>
      </c>
      <c r="F83" s="332" t="n"/>
      <c r="G83" s="332" t="n"/>
      <c r="H83" s="336" t="n"/>
      <c r="I83" s="332" t="n"/>
      <c r="J83" s="331" t="n"/>
      <c r="K83" s="70">
        <f>IF(A83="","",VLOOKUP(A:A,'[1]Невыполненные метрики'!$A:$B,2,0))</f>
        <v/>
      </c>
    </row>
    <row r="84">
      <c r="A84" t="str">
        <f>CONCATENATE(B84,"_",D84)</f>
        <v>ВЗР_Алерты</v>
      </c>
      <c r="B84" s="1" t="inlineStr">
        <is>
          <t>ВЗР</t>
        </is>
      </c>
      <c r="C84" s="1" t="inlineStr">
        <is>
          <t>3Q2026</t>
        </is>
      </c>
      <c r="D84" s="1" t="inlineStr">
        <is>
          <t>Алерты</t>
        </is>
      </c>
      <c r="E84" s="7" t="inlineStr">
        <is>
          <t>Оповещения по бизнес-метрикам. Светофоры целей, драйверов, воронок</t>
        </is>
      </c>
      <c r="F84" s="1" t="inlineStr">
        <is>
          <t>Проведение встречи после отправки ДК (до 14.08) для синхронизации и согласования логики расчетов</t>
        </is>
      </c>
      <c r="G84" s="2" t="n">
        <v>2</v>
      </c>
      <c r="H84" s="334" t="inlineStr">
        <is>
          <t>В работе</t>
        </is>
      </c>
      <c r="I84" s="1" t="inlineStr">
        <is>
          <t>Мартусенко Игорь Викторович, Архипова Марина Алексеевна</t>
        </is>
      </c>
      <c r="J84" s="222" t="n"/>
      <c r="K84" s="179">
        <f>IF(A84="","",VLOOKUP(A:A,[2]Свод!$A:$B,2,0))</f>
        <v>2</v>
      </c>
    </row>
    <row r="85" hidden="1" s="181">
      <c r="B85" s="330" t="n"/>
      <c r="C85" s="330" t="n"/>
      <c r="D85" s="330" t="n"/>
      <c r="E85" s="17" t="inlineStr">
        <is>
          <t>Текущее значение в дешборде  50%.</t>
        </is>
      </c>
      <c r="F85" s="330" t="n"/>
      <c r="G85" s="330" t="n"/>
      <c r="H85" s="335" t="n"/>
      <c r="I85" s="330" t="n"/>
      <c r="J85" s="331" t="n"/>
      <c r="K85" s="70">
        <f>IF(A85="","",VLOOKUP(A:A,'[1]Невыполненные метрики'!$A:$B,2,0))</f>
        <v/>
      </c>
    </row>
    <row r="86" hidden="1" s="181">
      <c r="B86" s="330" t="n"/>
      <c r="C86" s="330" t="n"/>
      <c r="D86" s="330" t="n"/>
      <c r="E86" s="19" t="inlineStr">
        <is>
          <t>Мероприятие: синхронизация по логике расчета</t>
        </is>
      </c>
      <c r="F86" s="330" t="n"/>
      <c r="G86" s="330" t="n"/>
      <c r="H86" s="335" t="n"/>
      <c r="I86" s="330" t="n"/>
      <c r="J86" s="331" t="n"/>
      <c r="K86" s="70">
        <f>IF(A86="","",VLOOKUP(A:A,'[1]Невыполненные метрики'!$A:$B,2,0))</f>
        <v/>
      </c>
    </row>
    <row r="87" hidden="1" ht="26.25" customHeight="1" s="181">
      <c r="B87" s="332" t="n"/>
      <c r="C87" s="332" t="n"/>
      <c r="D87" s="332" t="n"/>
      <c r="E87" s="23" t="inlineStr">
        <is>
          <t>Мероприятие: совместно с штабом УБ синхронизировать логику, чтобы довести до 100%</t>
        </is>
      </c>
      <c r="F87" s="332" t="n"/>
      <c r="G87" s="332" t="n"/>
      <c r="H87" s="336" t="n"/>
      <c r="I87" s="332" t="n"/>
      <c r="J87" s="331" t="n"/>
      <c r="K87" s="70">
        <f>IF(A87="","",VLOOKUP(A:A,'[1]Невыполненные метрики'!$A:$B,2,0))</f>
        <v/>
      </c>
    </row>
    <row r="88" ht="22.5" customHeight="1" s="181">
      <c r="A88" t="str">
        <f>CONCATENATE(B88,"_",D88)</f>
        <v>ВЗР_Гипотезы и инициативы</v>
      </c>
      <c r="B88" s="1" t="inlineStr">
        <is>
          <t>ВЗР</t>
        </is>
      </c>
      <c r="C88" s="1" t="inlineStr">
        <is>
          <t>3Q2026</t>
        </is>
      </c>
      <c r="D88" s="1" t="inlineStr">
        <is>
          <t>Гипотезы и инициативы</t>
        </is>
      </c>
      <c r="E88" s="7" t="inlineStr">
        <is>
          <t>Discovery &gt;=40% бэклога. Доля исследовательских задач DA</t>
        </is>
      </c>
      <c r="F88" s="1" t="inlineStr">
        <is>
          <t>Проведение встречи после отправки ДК (до 14.08) для синхронизации и согласования логики расчетов</t>
        </is>
      </c>
      <c r="G88" s="2" t="n">
        <v>4</v>
      </c>
      <c r="H88" s="334" t="inlineStr">
        <is>
          <t>В работе</t>
        </is>
      </c>
      <c r="I88" s="1" t="inlineStr">
        <is>
          <t>Мартусенко Игорь Викторович, Архипова Марина Алексеевна</t>
        </is>
      </c>
      <c r="J88" s="221" t="inlineStr">
        <is>
          <t>Доля исследовательских задач DA даст +4пп а не 14,8 Также для подтверждения данной метрики требуется направить ссылку на пространство DA продукта в Jira/сбертрек</t>
        </is>
      </c>
      <c r="K88" s="179">
        <f>IF(A88="","",VLOOKUP(A:A,[2]Свод!$A:$B,2,0))</f>
        <v>12</v>
      </c>
    </row>
    <row r="89" hidden="1" ht="15.95" customHeight="1" s="181">
      <c r="B89" s="330" t="n"/>
      <c r="C89" s="330" t="n"/>
      <c r="D89" s="330" t="n"/>
      <c r="E89" s="17" t="inlineStr">
        <is>
          <t>Текущее значение в дешборде  0%</t>
        </is>
      </c>
      <c r="F89" s="330" t="n"/>
      <c r="G89" s="330" t="n"/>
      <c r="H89" s="335" t="n"/>
      <c r="I89" s="330" t="n"/>
      <c r="J89" s="330" t="n"/>
      <c r="K89" s="70">
        <f>IF(A89="","",VLOOKUP(A:A,'[1]Невыполненные метрики'!$A:$B,2,0))</f>
        <v/>
      </c>
    </row>
    <row r="90" hidden="1" ht="15.95" customHeight="1" s="181">
      <c r="B90" s="330" t="n"/>
      <c r="C90" s="330" t="n"/>
      <c r="D90" s="330" t="n"/>
      <c r="E90" s="19" t="inlineStr">
        <is>
          <t>Мероприятие: синхронизация по логике расчета. Продуктовая команда регулярно проверяет гипотезы</t>
        </is>
      </c>
      <c r="F90" s="330" t="n"/>
      <c r="G90" s="330" t="n"/>
      <c r="H90" s="335" t="n"/>
      <c r="I90" s="330" t="n"/>
      <c r="J90" s="330" t="n"/>
      <c r="K90" s="70">
        <f>IF(A90="","",VLOOKUP(A:A,'[1]Невыполненные метрики'!$A:$B,2,0))</f>
        <v/>
      </c>
    </row>
    <row r="91" hidden="1" ht="15.95" customHeight="1" s="181">
      <c r="B91" s="330" t="n"/>
      <c r="C91" s="330" t="n"/>
      <c r="D91" s="330" t="n"/>
      <c r="E91" s="17" t="n"/>
      <c r="F91" s="330" t="n"/>
      <c r="G91" s="330" t="n"/>
      <c r="H91" s="335" t="n"/>
      <c r="I91" s="330" t="n"/>
      <c r="J91" s="330" t="n"/>
      <c r="K91" s="70">
        <f>IF(A91="","",VLOOKUP(A:A,'[1]Невыполненные метрики'!$A:$B,2,0))</f>
        <v/>
      </c>
    </row>
    <row r="92" hidden="1" ht="15.95" customHeight="1" s="181">
      <c r="B92" s="330" t="n"/>
      <c r="C92" s="330" t="n"/>
      <c r="D92" s="330" t="n"/>
      <c r="E92" s="17" t="inlineStr">
        <is>
          <t>Оценка исследований &gt;=7,5. Средняя оценка проведенных исследований</t>
        </is>
      </c>
      <c r="F92" s="330" t="n"/>
      <c r="G92" s="330" t="n"/>
      <c r="H92" s="335" t="n"/>
      <c r="I92" s="330" t="n"/>
      <c r="J92" s="330" t="n"/>
      <c r="K92" s="70">
        <f>IF(A92="","",VLOOKUP(A:A,'[1]Невыполненные метрики'!$A:$B,2,0))</f>
        <v/>
      </c>
    </row>
    <row r="93" hidden="1" ht="15.95" customHeight="1" s="181">
      <c r="B93" s="330" t="n"/>
      <c r="C93" s="330" t="n"/>
      <c r="D93" s="330" t="n"/>
      <c r="E93" s="17" t="inlineStr">
        <is>
          <t>Текущее значение в дешборде  0%</t>
        </is>
      </c>
      <c r="F93" s="330" t="n"/>
      <c r="G93" s="330" t="n"/>
      <c r="H93" s="335" t="n"/>
      <c r="I93" s="330" t="n"/>
      <c r="J93" s="330" t="n"/>
      <c r="K93" s="70">
        <f>IF(A93="","",VLOOKUP(A:A,'[1]Невыполненные метрики'!$A:$B,2,0))</f>
        <v/>
      </c>
    </row>
    <row r="94" hidden="1" ht="15.95" customHeight="1" s="181">
      <c r="B94" s="330" t="n"/>
      <c r="C94" s="330" t="n"/>
      <c r="D94" s="330" t="n"/>
      <c r="E94" s="19" t="inlineStr">
        <is>
          <t>Мероприятие: синхронизация по логике расчета. Продуктовая команда проводит исследования</t>
        </is>
      </c>
      <c r="F94" s="330" t="n"/>
      <c r="G94" s="330" t="n"/>
      <c r="H94" s="335" t="n"/>
      <c r="I94" s="330" t="n"/>
      <c r="J94" s="330" t="n"/>
      <c r="K94" s="70">
        <f>IF(A94="","",VLOOKUP(A:A,'[1]Невыполненные метрики'!$A:$B,2,0))</f>
        <v/>
      </c>
    </row>
    <row r="95" hidden="1" ht="15.95" customHeight="1" s="181">
      <c r="B95" s="330" t="n"/>
      <c r="C95" s="330" t="n"/>
      <c r="D95" s="330" t="n"/>
      <c r="E95" s="17" t="n"/>
      <c r="F95" s="330" t="n"/>
      <c r="G95" s="330" t="n"/>
      <c r="H95" s="335" t="n"/>
      <c r="I95" s="330" t="n"/>
      <c r="J95" s="330" t="n"/>
      <c r="K95" s="70">
        <f>IF(A95="","",VLOOKUP(A:A,'[1]Невыполненные метрики'!$A:$B,2,0))</f>
        <v/>
      </c>
    </row>
    <row r="96" hidden="1" ht="15.95" customHeight="1" s="181">
      <c r="B96" s="330" t="n"/>
      <c r="C96" s="330" t="n"/>
      <c r="D96" s="330" t="n"/>
      <c r="E96" s="17" t="inlineStr">
        <is>
          <t>Доп. инициативы сверх БП. Наличие доходных/расходных инициатив сверх БП</t>
        </is>
      </c>
      <c r="F96" s="330" t="n"/>
      <c r="G96" s="330" t="n"/>
      <c r="H96" s="335" t="n"/>
      <c r="I96" s="330" t="n"/>
      <c r="J96" s="330" t="n"/>
      <c r="K96" s="70">
        <f>IF(A96="","",VLOOKUP(A:A,'[1]Невыполненные метрики'!$A:$B,2,0))</f>
        <v/>
      </c>
    </row>
    <row r="97" hidden="1" ht="15.95" customHeight="1" s="181">
      <c r="B97" s="330" t="n"/>
      <c r="C97" s="330" t="n"/>
      <c r="D97" s="330" t="n"/>
      <c r="E97" s="17" t="inlineStr">
        <is>
          <t>Текущее значение в дешборде  0%</t>
        </is>
      </c>
      <c r="F97" s="330" t="n"/>
      <c r="G97" s="330" t="n"/>
      <c r="H97" s="335" t="n"/>
      <c r="I97" s="330" t="n"/>
      <c r="J97" s="330" t="n"/>
      <c r="K97" s="70">
        <f>IF(A97="","",VLOOKUP(A:A,'[1]Невыполненные метрики'!$A:$B,2,0))</f>
        <v/>
      </c>
    </row>
    <row r="98" hidden="1" ht="15.95" customHeight="1" s="181">
      <c r="B98" s="332" t="n"/>
      <c r="C98" s="332" t="n"/>
      <c r="D98" s="332" t="n"/>
      <c r="E98" s="24" t="inlineStr">
        <is>
          <t>Мероприятие: синхронизация по логике расчета.</t>
        </is>
      </c>
      <c r="F98" s="332" t="n"/>
      <c r="G98" s="332" t="n"/>
      <c r="H98" s="336" t="n"/>
      <c r="I98" s="332" t="n"/>
      <c r="J98" s="332" t="n"/>
      <c r="K98" s="70">
        <f>IF(A98="","",VLOOKUP(A:A,'[1]Невыполненные метрики'!$A:$B,2,0))</f>
        <v/>
      </c>
    </row>
    <row r="99">
      <c r="A99" t="str">
        <f>CONCATENATE(B99,"_",D99)</f>
        <v>ВЗР_Цели</v>
      </c>
      <c r="B99" s="1" t="inlineStr">
        <is>
          <t>ВЗР</t>
        </is>
      </c>
      <c r="C99" s="1" t="inlineStr">
        <is>
          <t>3Q2026</t>
        </is>
      </c>
      <c r="D99" s="1" t="inlineStr">
        <is>
          <t>Цели</t>
        </is>
      </c>
      <c r="E99" s="7" t="inlineStr">
        <is>
          <t>Факторный анализ - драйверы 1-2 ур.. Драйверы согласно модели бизнес-планирования выведены в Навигатор</t>
        </is>
      </c>
      <c r="F99" s="1" t="inlineStr">
        <is>
          <t>Проведение встречи после отправки ДК (до 14.08) для синхронизации и согласования логики расчетов</t>
        </is>
      </c>
      <c r="G99" s="2" t="n">
        <v>3.9</v>
      </c>
      <c r="H99" s="334" t="inlineStr">
        <is>
          <t>В работе</t>
        </is>
      </c>
      <c r="I99" s="1" t="inlineStr">
        <is>
          <t>Мартусенко Игорь Викторович, Архипова Марина Алексеевна</t>
        </is>
      </c>
      <c r="J99" s="222" t="n"/>
      <c r="K99" s="179">
        <f>IF(A99="","",VLOOKUP(A:A,[2]Свод!$A:$B,2,0))</f>
        <v>4</v>
      </c>
    </row>
    <row r="100" hidden="1" s="181">
      <c r="B100" s="330" t="n"/>
      <c r="C100" s="330" t="n"/>
      <c r="D100" s="330" t="n"/>
      <c r="E100" s="17" t="inlineStr">
        <is>
          <t>Текущее значение в дешборде  0%</t>
        </is>
      </c>
      <c r="F100" s="330" t="n"/>
      <c r="G100" s="330" t="n"/>
      <c r="H100" s="335" t="n"/>
      <c r="I100" s="330" t="n"/>
      <c r="J100" s="331" t="n"/>
      <c r="K100" s="70">
        <f>IF(A100="","",VLOOKUP(A:A,'[1]Невыполненные метрики'!$A:$B,2,0))</f>
        <v/>
      </c>
    </row>
    <row r="101" hidden="1" s="181">
      <c r="B101" s="332" t="n"/>
      <c r="C101" s="332" t="n"/>
      <c r="D101" s="332" t="n"/>
      <c r="E101" s="24" t="inlineStr">
        <is>
          <t xml:space="preserve">Мероприятие: синхронизация по логике расчета. </t>
        </is>
      </c>
      <c r="F101" s="332" t="n"/>
      <c r="G101" s="332" t="n"/>
      <c r="H101" s="336" t="n"/>
      <c r="I101" s="332" t="n"/>
      <c r="J101" s="331" t="n"/>
      <c r="K101" s="70">
        <f>IF(A101="","",VLOOKUP(A:A,'[1]Невыполненные метрики'!$A:$B,2,0))</f>
        <v/>
      </c>
    </row>
    <row r="102">
      <c r="A102" t="str">
        <f>CONCATENATE(B102,"_",D102)</f>
        <v>ВЗР_Воронка оттока</v>
      </c>
      <c r="B102" s="1" t="inlineStr">
        <is>
          <t>ВЗР</t>
        </is>
      </c>
      <c r="C102" s="1" t="inlineStr">
        <is>
          <t>3Q2026</t>
        </is>
      </c>
      <c r="D102" s="1" t="inlineStr">
        <is>
          <t>Воронка оттока</t>
        </is>
      </c>
      <c r="E102" s="7" t="inlineStr">
        <is>
          <t>Настроена отчетность. По воронке оттока</t>
        </is>
      </c>
      <c r="F102" s="1" t="inlineStr">
        <is>
          <t>Проведение встречи после отправки ДК (до 14.08) для синхронизации и согласования логики расчетов</t>
        </is>
      </c>
      <c r="G102" s="2" t="n">
        <v>4</v>
      </c>
      <c r="H102" s="334" t="inlineStr">
        <is>
          <t>В работе</t>
        </is>
      </c>
      <c r="I102" s="1" t="inlineStr">
        <is>
          <t>Мартусенко Игорь Викторович, Архипова Марина Алексеевна</t>
        </is>
      </c>
      <c r="J102" s="222" t="n"/>
      <c r="K102" s="179">
        <f>IF(A102="","",VLOOKUP(A:A,[2]Свод!$A:$B,2,0))</f>
        <v>4</v>
      </c>
    </row>
    <row r="103" hidden="1" s="181">
      <c r="B103" s="330" t="n"/>
      <c r="C103" s="330" t="n"/>
      <c r="D103" s="330" t="n"/>
      <c r="E103" s="17" t="inlineStr">
        <is>
          <t>Текущее значение в дешборде  50%.</t>
        </is>
      </c>
      <c r="F103" s="330" t="n"/>
      <c r="G103" s="330" t="n"/>
      <c r="H103" s="335" t="n"/>
      <c r="I103" s="330" t="n"/>
      <c r="J103" s="331" t="n"/>
      <c r="K103" s="70">
        <f>IF(A103="","",VLOOKUP(A:A,'[1]Невыполненные метрики'!$A:$B,2,0))</f>
        <v/>
      </c>
    </row>
    <row r="104" hidden="1" s="181">
      <c r="B104" s="330" t="n"/>
      <c r="C104" s="330" t="n"/>
      <c r="D104" s="330" t="n"/>
      <c r="E104" s="19" t="inlineStr">
        <is>
          <t>Мероприятие: совместно с штабом УБ синхронизировать логику, чтобы довести до 100%</t>
        </is>
      </c>
      <c r="F104" s="330" t="n"/>
      <c r="G104" s="330" t="n"/>
      <c r="H104" s="335" t="n"/>
      <c r="I104" s="330" t="n"/>
      <c r="J104" s="331" t="n"/>
      <c r="K104" s="70">
        <f>IF(A104="","",VLOOKUP(A:A,'[1]Невыполненные метрики'!$A:$B,2,0))</f>
        <v/>
      </c>
    </row>
    <row r="105" hidden="1" s="181">
      <c r="B105" s="330" t="n"/>
      <c r="C105" s="330" t="n"/>
      <c r="D105" s="330" t="n"/>
      <c r="E105" s="17" t="n"/>
      <c r="F105" s="330" t="n"/>
      <c r="G105" s="330" t="n"/>
      <c r="H105" s="335" t="n"/>
      <c r="I105" s="330" t="n"/>
      <c r="J105" s="331" t="n"/>
      <c r="K105" s="70">
        <f>IF(A105="","",VLOOKUP(A:A,'[1]Невыполненные метрики'!$A:$B,2,0))</f>
        <v/>
      </c>
    </row>
    <row r="106" hidden="1" s="181">
      <c r="B106" s="330" t="n"/>
      <c r="C106" s="330" t="n"/>
      <c r="D106" s="330" t="n"/>
      <c r="E106" s="17" t="inlineStr">
        <is>
          <t>Полнота отчета. Retention, CR, удержание</t>
        </is>
      </c>
      <c r="F106" s="330" t="n"/>
      <c r="G106" s="330" t="n"/>
      <c r="H106" s="335" t="n"/>
      <c r="I106" s="330" t="n"/>
      <c r="J106" s="331" t="n"/>
      <c r="K106" s="70">
        <f>IF(A106="","",VLOOKUP(A:A,'[1]Невыполненные метрики'!$A:$B,2,0))</f>
        <v/>
      </c>
    </row>
    <row r="107" hidden="1" s="181">
      <c r="B107" s="330" t="n"/>
      <c r="C107" s="330" t="n"/>
      <c r="D107" s="330" t="n"/>
      <c r="E107" s="17" t="inlineStr">
        <is>
          <t>Текущее значение в дешборде  50%.</t>
        </is>
      </c>
      <c r="F107" s="330" t="n"/>
      <c r="G107" s="330" t="n"/>
      <c r="H107" s="335" t="n"/>
      <c r="I107" s="330" t="n"/>
      <c r="J107" s="331" t="n"/>
      <c r="K107" s="70">
        <f>IF(A107="","",VLOOKUP(A:A,'[1]Невыполненные метрики'!$A:$B,2,0))</f>
        <v/>
      </c>
    </row>
    <row r="108" hidden="1" s="181">
      <c r="B108" s="330" t="n"/>
      <c r="C108" s="330" t="n"/>
      <c r="D108" s="330" t="n"/>
      <c r="E108" s="19" t="inlineStr">
        <is>
          <t>Мероприятие: совместно с штабом УБ синхронизировать логику, чтобы довести до 100%</t>
        </is>
      </c>
      <c r="F108" s="330" t="n"/>
      <c r="G108" s="330" t="n"/>
      <c r="H108" s="335" t="n"/>
      <c r="I108" s="330" t="n"/>
      <c r="J108" s="331" t="n"/>
      <c r="K108" s="70">
        <f>IF(A108="","",VLOOKUP(A:A,'[1]Невыполненные метрики'!$A:$B,2,0))</f>
        <v/>
      </c>
    </row>
    <row r="109" hidden="1" s="181">
      <c r="B109" s="330" t="n"/>
      <c r="C109" s="330" t="n"/>
      <c r="D109" s="330" t="n"/>
      <c r="E109" s="17" t="n"/>
      <c r="F109" s="330" t="n"/>
      <c r="G109" s="330" t="n"/>
      <c r="H109" s="335" t="n"/>
      <c r="I109" s="330" t="n"/>
      <c r="J109" s="331" t="n"/>
      <c r="K109" s="70">
        <f>IF(A109="","",VLOOKUP(A:A,'[1]Невыполненные метрики'!$A:$B,2,0))</f>
        <v/>
      </c>
    </row>
    <row r="110" hidden="1" s="181">
      <c r="B110" s="330" t="n"/>
      <c r="C110" s="330" t="n"/>
      <c r="D110" s="330" t="n"/>
      <c r="E110" s="17" t="inlineStr">
        <is>
          <t>Регулярность. Автоматически (daily / weekly) или по запросу</t>
        </is>
      </c>
      <c r="F110" s="330" t="n"/>
      <c r="G110" s="330" t="n"/>
      <c r="H110" s="335" t="n"/>
      <c r="I110" s="330" t="n"/>
      <c r="J110" s="331" t="n"/>
      <c r="K110" s="70">
        <f>IF(A110="","",VLOOKUP(A:A,'[1]Невыполненные метрики'!$A:$B,2,0))</f>
        <v/>
      </c>
    </row>
    <row r="111" hidden="1" s="181">
      <c r="B111" s="330" t="n"/>
      <c r="C111" s="330" t="n"/>
      <c r="D111" s="330" t="n"/>
      <c r="E111" s="17" t="inlineStr">
        <is>
          <t>Текущее значение в дешборде  50%.</t>
        </is>
      </c>
      <c r="F111" s="330" t="n"/>
      <c r="G111" s="330" t="n"/>
      <c r="H111" s="335" t="n"/>
      <c r="I111" s="330" t="n"/>
      <c r="J111" s="331" t="n"/>
      <c r="K111" s="70">
        <f>IF(A111="","",VLOOKUP(A:A,'[1]Невыполненные метрики'!$A:$B,2,0))</f>
        <v/>
      </c>
    </row>
    <row r="112" hidden="1" s="181">
      <c r="B112" s="330" t="n"/>
      <c r="C112" s="330" t="n"/>
      <c r="D112" s="330" t="n"/>
      <c r="E112" s="19" t="inlineStr">
        <is>
          <t>Мероприятие: совместно с штабом УБ синхронизировать логику, чтобы довести до 100%</t>
        </is>
      </c>
      <c r="F112" s="330" t="n"/>
      <c r="G112" s="330" t="n"/>
      <c r="H112" s="335" t="n"/>
      <c r="I112" s="330" t="n"/>
      <c r="J112" s="331" t="n"/>
      <c r="K112" s="70">
        <f>IF(A112="","",VLOOKUP(A:A,'[1]Невыполненные метрики'!$A:$B,2,0))</f>
        <v/>
      </c>
    </row>
    <row r="113" hidden="1" s="181">
      <c r="B113" s="330" t="n"/>
      <c r="C113" s="330" t="n"/>
      <c r="D113" s="330" t="n"/>
      <c r="E113" s="17" t="n"/>
      <c r="F113" s="330" t="n"/>
      <c r="G113" s="330" t="n"/>
      <c r="H113" s="335" t="n"/>
      <c r="I113" s="330" t="n"/>
      <c r="J113" s="331" t="n"/>
      <c r="K113" s="70">
        <f>IF(A113="","",VLOOKUP(A:A,'[1]Невыполненные метрики'!$A:$B,2,0))</f>
        <v/>
      </c>
    </row>
    <row r="114" hidden="1" s="181">
      <c r="B114" s="330" t="n"/>
      <c r="C114" s="330" t="n"/>
      <c r="D114" s="330" t="n"/>
      <c r="E114" s="17" t="inlineStr">
        <is>
          <t>Наличие бенчмарков. Цели / динамика / рынок</t>
        </is>
      </c>
      <c r="F114" s="330" t="n"/>
      <c r="G114" s="330" t="n"/>
      <c r="H114" s="335" t="n"/>
      <c r="I114" s="330" t="n"/>
      <c r="J114" s="331" t="n"/>
      <c r="K114" s="70">
        <f>IF(A114="","",VLOOKUP(A:A,'[1]Невыполненные метрики'!$A:$B,2,0))</f>
        <v/>
      </c>
    </row>
    <row r="115" hidden="1" s="181">
      <c r="B115" s="330" t="n"/>
      <c r="C115" s="330" t="n"/>
      <c r="D115" s="330" t="n"/>
      <c r="E115" s="17" t="inlineStr">
        <is>
          <t>Текущее значение в дешборде  0%</t>
        </is>
      </c>
      <c r="F115" s="330" t="n"/>
      <c r="G115" s="330" t="n"/>
      <c r="H115" s="335" t="n"/>
      <c r="I115" s="330" t="n"/>
      <c r="J115" s="331" t="n"/>
      <c r="K115" s="70">
        <f>IF(A115="","",VLOOKUP(A:A,'[1]Невыполненные метрики'!$A:$B,2,0))</f>
        <v/>
      </c>
    </row>
    <row r="116" hidden="1" s="181">
      <c r="B116" s="332" t="n"/>
      <c r="C116" s="332" t="n"/>
      <c r="D116" s="332" t="n"/>
      <c r="E116" s="24" t="inlineStr">
        <is>
          <t xml:space="preserve">Мероприятие: синхронизация по логике расчета. </t>
        </is>
      </c>
      <c r="F116" s="332" t="n"/>
      <c r="G116" s="332" t="n"/>
      <c r="H116" s="336" t="n"/>
      <c r="I116" s="332" t="n"/>
      <c r="J116" s="331" t="n"/>
      <c r="K116" s="70">
        <f>IF(A116="","",VLOOKUP(A:A,'[1]Невыполненные метрики'!$A:$B,2,0))</f>
        <v/>
      </c>
    </row>
    <row r="117">
      <c r="A117" t="str">
        <f>CONCATENATE(B117,"_",D117)</f>
        <v>ВЗР_Механики</v>
      </c>
      <c r="B117" s="1" t="inlineStr">
        <is>
          <t>ВЗР</t>
        </is>
      </c>
      <c r="C117" s="1" t="inlineStr">
        <is>
          <t>3Q2026</t>
        </is>
      </c>
      <c r="D117" s="1" t="inlineStr">
        <is>
          <t>Механики</t>
        </is>
      </c>
      <c r="E117" s="7" t="inlineStr">
        <is>
          <t>Возврат клиентов. Реактивация оттекающих клиентов.</t>
        </is>
      </c>
      <c r="F117" s="1" t="inlineStr">
        <is>
          <t>Проведение встречи после отправки ДК (до 14.08) для синхронизации и согласования логики расчетов</t>
        </is>
      </c>
      <c r="G117" s="2" t="n">
        <v>7.9</v>
      </c>
      <c r="H117" s="334" t="inlineStr">
        <is>
          <t>В работе</t>
        </is>
      </c>
      <c r="I117" s="1" t="inlineStr">
        <is>
          <t>Мартусенко Игорь Викторович, Архипова Марина Алексеевна</t>
        </is>
      </c>
      <c r="J117" s="222" t="n"/>
      <c r="K117" s="179">
        <f>IF(A117="","",VLOOKUP(A:A,[2]Свод!$A:$B,2,0))</f>
        <v>8</v>
      </c>
    </row>
    <row r="118" hidden="1" s="181">
      <c r="B118" s="330" t="n"/>
      <c r="C118" s="330" t="n"/>
      <c r="D118" s="330" t="n"/>
      <c r="E118" s="17" t="inlineStr">
        <is>
          <t>Текущее значение в дешборде  50%.</t>
        </is>
      </c>
      <c r="F118" s="330" t="n"/>
      <c r="G118" s="330" t="n"/>
      <c r="H118" s="335" t="n"/>
      <c r="I118" s="330" t="n"/>
      <c r="J118" s="331" t="n"/>
      <c r="K118" s="70">
        <f>IF(A118="","",VLOOKUP(A:A,'[1]Невыполненные метрики'!$A:$B,2,0))</f>
        <v/>
      </c>
    </row>
    <row r="119" hidden="1" s="181">
      <c r="B119" s="330" t="n"/>
      <c r="C119" s="330" t="n"/>
      <c r="D119" s="330" t="n"/>
      <c r="E119" s="19" t="inlineStr">
        <is>
          <t>Мероприятие: совместно с штабом УБ синхронизировать логику, чтобы довести до 100%</t>
        </is>
      </c>
      <c r="F119" s="330" t="n"/>
      <c r="G119" s="330" t="n"/>
      <c r="H119" s="335" t="n"/>
      <c r="I119" s="330" t="n"/>
      <c r="J119" s="331" t="n"/>
      <c r="K119" s="70">
        <f>IF(A119="","",VLOOKUP(A:A,'[1]Невыполненные метрики'!$A:$B,2,0))</f>
        <v/>
      </c>
    </row>
    <row r="120" hidden="1" s="181">
      <c r="B120" s="330" t="n"/>
      <c r="C120" s="330" t="n"/>
      <c r="D120" s="330" t="n"/>
      <c r="E120" s="17" t="n"/>
      <c r="F120" s="330" t="n"/>
      <c r="G120" s="330" t="n"/>
      <c r="H120" s="335" t="n"/>
      <c r="I120" s="330" t="n"/>
      <c r="J120" s="331" t="n"/>
      <c r="K120" s="70">
        <f>IF(A120="","",VLOOKUP(A:A,'[1]Невыполненные метрики'!$A:$B,2,0))</f>
        <v/>
      </c>
    </row>
    <row r="121" hidden="1" s="181">
      <c r="B121" s="330" t="n"/>
      <c r="C121" s="330" t="n"/>
      <c r="D121" s="330" t="n"/>
      <c r="E121" s="17" t="inlineStr">
        <is>
          <t>Гибкое изменение условий продукта. Возможность изменить набор опций по продукту без IT-разработки</t>
        </is>
      </c>
      <c r="F121" s="330" t="n"/>
      <c r="G121" s="330" t="n"/>
      <c r="H121" s="335" t="n"/>
      <c r="I121" s="330" t="n"/>
      <c r="J121" s="331" t="n"/>
      <c r="K121" s="70">
        <f>IF(A121="","",VLOOKUP(A:A,'[1]Невыполненные метрики'!$A:$B,2,0))</f>
        <v/>
      </c>
    </row>
    <row r="122" hidden="1" s="181">
      <c r="B122" s="330" t="n"/>
      <c r="C122" s="330" t="n"/>
      <c r="D122" s="330" t="n"/>
      <c r="E122" s="17" t="inlineStr">
        <is>
          <t>Текущее значение в дешборде  0%</t>
        </is>
      </c>
      <c r="F122" s="330" t="n"/>
      <c r="G122" s="330" t="n"/>
      <c r="H122" s="335" t="n"/>
      <c r="I122" s="330" t="n"/>
      <c r="J122" s="331" t="n"/>
      <c r="K122" s="70">
        <f>IF(A122="","",VLOOKUP(A:A,'[1]Невыполненные метрики'!$A:$B,2,0))</f>
        <v/>
      </c>
    </row>
    <row r="123" hidden="1" s="181">
      <c r="B123" s="330" t="n"/>
      <c r="C123" s="330" t="n"/>
      <c r="D123" s="330" t="n"/>
      <c r="E123" s="19" t="inlineStr">
        <is>
          <t>Мероприятие: синхронизация по логике расчета.</t>
        </is>
      </c>
      <c r="F123" s="330" t="n"/>
      <c r="G123" s="330" t="n"/>
      <c r="H123" s="335" t="n"/>
      <c r="I123" s="330" t="n"/>
      <c r="J123" s="331" t="n"/>
      <c r="K123" s="70">
        <f>IF(A123="","",VLOOKUP(A:A,'[1]Невыполненные метрики'!$A:$B,2,0))</f>
        <v/>
      </c>
    </row>
    <row r="124" hidden="1" s="181">
      <c r="B124" s="330" t="n"/>
      <c r="C124" s="330" t="n"/>
      <c r="D124" s="330" t="n"/>
      <c r="E124" s="17" t="n"/>
      <c r="F124" s="330" t="n"/>
      <c r="G124" s="330" t="n"/>
      <c r="H124" s="335" t="n"/>
      <c r="I124" s="330" t="n"/>
      <c r="J124" s="331" t="n"/>
      <c r="K124" s="70">
        <f>IF(A124="","",VLOOKUP(A:A,'[1]Невыполненные метрики'!$A:$B,2,0))</f>
        <v/>
      </c>
    </row>
    <row r="125" hidden="1" s="181">
      <c r="B125" s="330" t="n"/>
      <c r="C125" s="330" t="n"/>
      <c r="D125" s="330" t="n"/>
      <c r="E125" s="17" t="inlineStr">
        <is>
          <t>Cross-sell. В оформлении и после покупки</t>
        </is>
      </c>
      <c r="F125" s="330" t="n"/>
      <c r="G125" s="330" t="n"/>
      <c r="H125" s="335" t="n"/>
      <c r="I125" s="330" t="n"/>
      <c r="J125" s="331" t="n"/>
      <c r="K125" s="70">
        <f>IF(A125="","",VLOOKUP(A:A,'[1]Невыполненные метрики'!$A:$B,2,0))</f>
        <v/>
      </c>
    </row>
    <row r="126" hidden="1" s="181">
      <c r="B126" s="330" t="n"/>
      <c r="C126" s="330" t="n"/>
      <c r="D126" s="330" t="n"/>
      <c r="E126" s="17" t="inlineStr">
        <is>
          <t>Текущее значение в дешборде  50%.</t>
        </is>
      </c>
      <c r="F126" s="330" t="n"/>
      <c r="G126" s="330" t="n"/>
      <c r="H126" s="335" t="n"/>
      <c r="I126" s="330" t="n"/>
      <c r="J126" s="331" t="n"/>
      <c r="K126" s="70">
        <f>IF(A126="","",VLOOKUP(A:A,'[1]Невыполненные метрики'!$A:$B,2,0))</f>
        <v/>
      </c>
    </row>
    <row r="127" hidden="1" s="181">
      <c r="B127" s="332" t="n"/>
      <c r="C127" s="332" t="n"/>
      <c r="D127" s="332" t="n"/>
      <c r="E127" s="24" t="inlineStr">
        <is>
          <t>Мероприятие: совместно с штабом УБ синхронизировать логику, чтобы довести до 100%</t>
        </is>
      </c>
      <c r="F127" s="332" t="n"/>
      <c r="G127" s="332" t="n"/>
      <c r="H127" s="336" t="n"/>
      <c r="I127" s="332" t="n"/>
      <c r="J127" s="331" t="n"/>
      <c r="K127" s="70">
        <f>IF(A127="","",VLOOKUP(A:A,'[1]Невыполненные метрики'!$A:$B,2,0))</f>
        <v/>
      </c>
    </row>
    <row r="128" ht="31.5" customHeight="1" s="181">
      <c r="A128" t="str">
        <f>CONCATENATE(B128,"_",D128)</f>
        <v>ВЗР_Клиентский опыт</v>
      </c>
      <c r="B128" s="1" t="inlineStr">
        <is>
          <t>ВЗР</t>
        </is>
      </c>
      <c r="C128" s="1" t="inlineStr">
        <is>
          <t>3Q2026</t>
        </is>
      </c>
      <c r="D128" s="1" t="inlineStr">
        <is>
          <t>Клиентский опыт</t>
        </is>
      </c>
      <c r="E128" s="7" t="inlineStr">
        <is>
          <t>CX Score. Зеленая зона клиентского пути</t>
        </is>
      </c>
      <c r="F128" s="1" t="inlineStr">
        <is>
          <t>Проведение встречи после отправки ДК (до 14.08) для синхронизации и согласования логики расчетов</t>
        </is>
      </c>
      <c r="G128" s="2" t="n">
        <v>2</v>
      </c>
      <c r="H128" s="334" t="inlineStr">
        <is>
          <t>В работе</t>
        </is>
      </c>
      <c r="I128" s="219" t="inlineStr">
        <is>
          <t>Мартусенко Игорь Викторович, Архипова Марина Алексеевна</t>
        </is>
      </c>
      <c r="J128" s="222" t="n"/>
      <c r="K128" s="179">
        <f>IF(A128="","",VLOOKUP(A:A,[2]Свод!$A:$B,2,0))</f>
        <v>2</v>
      </c>
    </row>
    <row r="129" hidden="1" ht="39.75" customHeight="1" s="181">
      <c r="B129" s="332" t="n"/>
      <c r="C129" s="332" t="n"/>
      <c r="D129" s="332" t="n"/>
      <c r="E129" s="19" t="inlineStr">
        <is>
          <t>Мероприятие: совместно с штабом УБ синхронизировать логику, чтобы довести до 100%</t>
        </is>
      </c>
      <c r="F129" s="332" t="n"/>
      <c r="G129" s="332" t="n"/>
      <c r="H129" s="336" t="n"/>
      <c r="I129" s="330" t="n"/>
      <c r="J129" s="331" t="n"/>
      <c r="K129" s="70">
        <f>IF(A129="","",VLOOKUP(A:A,'[1]Невыполненные метрики'!$A:$B,2,0))</f>
        <v/>
      </c>
    </row>
    <row r="130" hidden="1" ht="87" customHeight="1" s="181">
      <c r="A130" t="str">
        <f>CONCATENATE(B130,"_",D130)</f>
        <v>ДСЖ ПК_Знание ключевых метрик</v>
      </c>
      <c r="B130" s="1" t="inlineStr">
        <is>
          <t>ДСЖ ПК</t>
        </is>
      </c>
      <c r="C130" s="1" t="inlineStr">
        <is>
          <t>Q32026</t>
        </is>
      </c>
      <c r="D130" s="1" t="inlineStr">
        <is>
          <t>Знание ключевых метрик</t>
        </is>
      </c>
      <c r="E130" s="1" t="inlineStr">
        <is>
          <t>Совместно со Штабом УБ проведена синхронизация отчетности и знаний продукта. В рамках данного мероприятия отдельно с каждым несогласным продуктом будет проводиться точечная выверка методологии и корректность расчета в ДБ «Активные Клиенты &amp; MAU Продуктов и Сервисов».</t>
        </is>
      </c>
      <c r="F130" s="4" t="n">
        <v>46295</v>
      </c>
      <c r="G130" s="6" t="n"/>
      <c r="H130" s="2" t="n"/>
      <c r="I130" s="1" t="n"/>
      <c r="J130" s="1" t="n"/>
      <c r="K130" s="179">
        <f>IF(A130="","",VLOOKUP(A:A,[2]Свод!$A:$B,2,0))</f>
        <v>5.2</v>
      </c>
    </row>
    <row r="131" hidden="1" s="181">
      <c r="A131" t="str">
        <f>CONCATENATE(B131,"_",D131)</f>
        <v>ДСЖ ПК_Цели</v>
      </c>
      <c r="B131" s="1" t="inlineStr">
        <is>
          <t>ДСЖ ПК</t>
        </is>
      </c>
      <c r="C131" s="1" t="inlineStr">
        <is>
          <t>Q32026</t>
        </is>
      </c>
      <c r="D131" s="1" t="inlineStr">
        <is>
          <t>Цели</t>
        </is>
      </c>
      <c r="E131" s="1" t="inlineStr">
        <is>
          <t>Совместно со Штабом УБ проведена синхронизация и вывод драйверов целей ЛТ/ЛЮ»</t>
        </is>
      </c>
      <c r="F131" s="4" t="n">
        <v>46295</v>
      </c>
      <c r="G131" s="6" t="n"/>
      <c r="H131" s="2" t="n"/>
      <c r="I131" s="1" t="n"/>
      <c r="J131" s="332" t="n"/>
      <c r="K131" s="179">
        <f>IF(A131="","",VLOOKUP(A:A,[2]Свод!$A:$B,2,0))</f>
        <v>4.8</v>
      </c>
    </row>
    <row r="132" hidden="1" ht="87" customHeight="1" s="181">
      <c r="A132" t="str">
        <f>CONCATENATE(B132,"_",D132)</f>
        <v>ДСЖ КК_Цели</v>
      </c>
      <c r="B132" s="1" t="inlineStr">
        <is>
          <t>ДСЖ КК</t>
        </is>
      </c>
      <c r="C132" s="1" t="inlineStr">
        <is>
          <t>4Q2026</t>
        </is>
      </c>
      <c r="D132" s="1" t="inlineStr">
        <is>
          <t>Цели</t>
        </is>
      </c>
      <c r="E132" s="1" t="inlineStr">
        <is>
          <t xml:space="preserve">Совместно со Штабом УБ проведена синхронизация и вывод драйверов целей ЛТ/ЛЮ
Скорректировать оценку. Драйверы согласно модели бизнес-планирования выведены в Навигатор. Факторный анализ - драйверы 1-2 ур. </t>
        </is>
      </c>
      <c r="F132" s="4" t="n">
        <v>46387</v>
      </c>
      <c r="G132" s="6" t="n">
        <v>3.8</v>
      </c>
      <c r="H132" s="2" t="n"/>
      <c r="I132" s="1" t="n"/>
      <c r="J132" s="83" t="n"/>
      <c r="K132" s="179">
        <f>IF(A132="","",VLOOKUP(A:A,[2]Свод!$A:$B,2,0))</f>
        <v>4.5</v>
      </c>
    </row>
    <row r="133" hidden="1" ht="108" customHeight="1" s="181">
      <c r="A133" t="str">
        <f>CONCATENATE(B133,"_",D133)</f>
        <v>ДСЖ КК_Знание ключевых метрик</v>
      </c>
      <c r="B133" s="1" t="inlineStr">
        <is>
          <t>ДСЖ КК</t>
        </is>
      </c>
      <c r="C133" s="1" t="inlineStr">
        <is>
          <t>4Q2026</t>
        </is>
      </c>
      <c r="D133" s="1" t="inlineStr">
        <is>
          <t>Знание ключевых метрик</t>
        </is>
      </c>
      <c r="E133" s="1" t="inlineStr">
        <is>
          <t xml:space="preserve">Совместно со Штабом УБ проведена синхронизация отчетности и знаний продукта.
1) Объем целевого рынка в Сбере. Выведен в Навигатор, но требуется корректировка показателя. Требуется наложить фильтры, при которых мы не можем страховать клиента
2) Клиенты с продуктом. Выведен в Навигатор, но требуется корректировка показателя. Выводит только оплаченные страховки по ДСЖ КК, без учета клиентов, которые не оплатили страховку. Проверить учет нового продукта ПУ Страховка с выгодой.
3) MAU продукта. Требуется доработка в разрезе каналов.
</t>
        </is>
      </c>
      <c r="F133" s="4" t="n">
        <v>46387</v>
      </c>
      <c r="G133" s="6" t="n">
        <v>3.8</v>
      </c>
      <c r="H133" s="2" t="n"/>
      <c r="I133" s="1" t="n"/>
      <c r="J133" s="221" t="n"/>
      <c r="K133" s="179">
        <f>IF(A133="","",VLOOKUP(A:A,[2]Свод!$A:$B,2,0))</f>
        <v>3.8000000000000003</v>
      </c>
    </row>
    <row r="134" hidden="1" s="181">
      <c r="A134" t="str">
        <f>CONCATENATE(B134,"_",D134)</f>
        <v>ДСЖ КК_Воронка оттока</v>
      </c>
      <c r="B134" s="1" t="inlineStr">
        <is>
          <t>ДСЖ КК</t>
        </is>
      </c>
      <c r="C134" s="1" t="inlineStr">
        <is>
          <t>4Q2026</t>
        </is>
      </c>
      <c r="D134" s="1" t="inlineStr">
        <is>
          <t>Воронка оттока</t>
        </is>
      </c>
      <c r="E134" s="1" t="inlineStr">
        <is>
          <t>Настроить мониторинг по воронке оттока</t>
        </is>
      </c>
      <c r="F134" s="4" t="n">
        <v>46387</v>
      </c>
      <c r="G134" s="6" t="n">
        <v>1.1000000000000001</v>
      </c>
      <c r="H134" s="2" t="n"/>
      <c r="I134" s="1" t="n"/>
      <c r="K134" s="179">
        <f>IF(A134="","",VLOOKUP(A:A,[2]Свод!$A:$B,2,0))</f>
        <v>3.3000000000000003</v>
      </c>
    </row>
    <row r="135" hidden="1" s="181">
      <c r="A135" t="str">
        <f>CONCATENATE(B135,"_",D135)</f>
        <v>ДСЖ КК_Воронка оттока</v>
      </c>
      <c r="B135" s="1" t="inlineStr">
        <is>
          <t>ДСЖ КК</t>
        </is>
      </c>
      <c r="C135" s="1" t="inlineStr">
        <is>
          <t>4Q2026</t>
        </is>
      </c>
      <c r="D135" s="1" t="inlineStr">
        <is>
          <t>Воронка оттока</t>
        </is>
      </c>
      <c r="E135" s="1" t="inlineStr">
        <is>
          <t>Обогатить метриками мониторинг по воронке оттока</t>
        </is>
      </c>
      <c r="F135" s="4" t="n">
        <v>46387</v>
      </c>
      <c r="G135" s="6" t="n">
        <v>2.2000000000000002</v>
      </c>
      <c r="H135" s="2" t="n"/>
      <c r="I135" s="1" t="n"/>
      <c r="K135" s="179">
        <f>IF(A135="","",VLOOKUP(A:A,[2]Свод!$A:$B,2,0))</f>
        <v>3.3000000000000003</v>
      </c>
    </row>
    <row r="136" hidden="1" ht="16.5" customHeight="1" s="181">
      <c r="A136" t="str">
        <f>CONCATENATE(B136,"_",D136)</f>
        <v>ДСЖ КК_Воронка привлечения</v>
      </c>
      <c r="B136" s="1" t="inlineStr">
        <is>
          <t>ДСЖ КК</t>
        </is>
      </c>
      <c r="C136" s="1" t="inlineStr">
        <is>
          <t>4Q2026</t>
        </is>
      </c>
      <c r="D136" s="1" t="inlineStr">
        <is>
          <t>Воронка привлечения</t>
        </is>
      </c>
      <c r="E136" s="1" t="inlineStr">
        <is>
          <t>Обогатить метриками мониторинг по воронке привлечения</t>
        </is>
      </c>
      <c r="F136" s="4" t="n">
        <v>46387</v>
      </c>
      <c r="G136" s="6" t="n">
        <v>1.1000000000000001</v>
      </c>
      <c r="H136" s="2" t="n"/>
      <c r="I136" s="2" t="n"/>
      <c r="J136" s="222" t="n"/>
      <c r="K136" s="179">
        <f>IF(A136="","",VLOOKUP(A:A,[2]Свод!$A:$B,2,0))</f>
        <v>7.8</v>
      </c>
    </row>
    <row r="137" hidden="1" ht="32.25" customHeight="1" s="181">
      <c r="B137" s="332" t="n"/>
      <c r="C137" s="332" t="n"/>
      <c r="D137" s="332" t="n"/>
      <c r="E137" s="1" t="inlineStr">
        <is>
          <t>Выведен уровень проникновения в новые карты. Дополнить другими каналами продаж, кампаниями продаж</t>
        </is>
      </c>
      <c r="F137" s="332" t="n"/>
      <c r="G137" s="332" t="n"/>
      <c r="H137" s="332" t="n"/>
      <c r="I137" s="332" t="n"/>
      <c r="J137" s="331" t="n"/>
      <c r="K137" s="70">
        <f>IF(A137="","",VLOOKUP(A:A,'[1]Невыполненные метрики'!$A:$B,2,0))</f>
        <v/>
      </c>
    </row>
    <row r="138" hidden="1" s="181">
      <c r="A138" t="str">
        <f>CONCATENATE(B138,"_",D138)</f>
        <v>ДСЖ КК_Воронка привлечения</v>
      </c>
      <c r="B138" s="1" t="inlineStr">
        <is>
          <t>ДСЖ КК</t>
        </is>
      </c>
      <c r="C138" s="1" t="inlineStr">
        <is>
          <t>3Q2026</t>
        </is>
      </c>
      <c r="D138" s="1" t="inlineStr">
        <is>
          <t>Воронка привлечения</t>
        </is>
      </c>
      <c r="E138" s="1" t="inlineStr">
        <is>
          <t>Увеличить покрытие черновиков</t>
        </is>
      </c>
      <c r="F138" s="4" t="n">
        <v>46265</v>
      </c>
      <c r="G138" s="6" t="n">
        <v>4.5</v>
      </c>
      <c r="H138" s="2" t="n"/>
      <c r="I138" s="1" t="n"/>
      <c r="K138" s="179">
        <f>IF(A138="","",VLOOKUP(A:A,[2]Свод!$A:$B,2,0))</f>
        <v>7.8</v>
      </c>
    </row>
    <row r="139" hidden="1" s="181">
      <c r="A139" t="str">
        <f>CONCATENATE(B139,"_",D139)</f>
        <v>ДСЖ КК_Алерты</v>
      </c>
      <c r="B139" s="1" t="inlineStr">
        <is>
          <t>ДСЖ КК</t>
        </is>
      </c>
      <c r="C139" s="1" t="inlineStr">
        <is>
          <t>4Q2026</t>
        </is>
      </c>
      <c r="D139" s="1" t="inlineStr">
        <is>
          <t>Алерты</t>
        </is>
      </c>
      <c r="E139" s="1" t="inlineStr">
        <is>
          <t>Внедрить систему оповещений</t>
        </is>
      </c>
      <c r="F139" s="4" t="n">
        <v>46387</v>
      </c>
      <c r="G139" s="6" t="n">
        <v>6.7</v>
      </c>
      <c r="H139" s="2" t="n"/>
      <c r="I139" s="1" t="n"/>
      <c r="K139" s="179">
        <f>IF(A139="","",VLOOKUP(A:A,[2]Свод!$A:$B,2,0))</f>
        <v>6.7</v>
      </c>
    </row>
    <row r="140" hidden="1" s="181">
      <c r="A140" t="str">
        <f>CONCATENATE(B140,"_",D140)</f>
        <v>ДСЖ КК_Механики</v>
      </c>
      <c r="B140" s="1" t="inlineStr">
        <is>
          <t>ДСЖ КК</t>
        </is>
      </c>
      <c r="C140" s="1" t="inlineStr">
        <is>
          <t>4Q2026</t>
        </is>
      </c>
      <c r="D140" s="1" t="inlineStr">
        <is>
          <t>Механики</t>
        </is>
      </c>
      <c r="E140" s="1" t="inlineStr">
        <is>
          <t>Настроить мониторинг по ключевым механикам</t>
        </is>
      </c>
      <c r="F140" s="4" t="n">
        <v>46387</v>
      </c>
      <c r="G140" s="6" t="n">
        <v>4.5</v>
      </c>
      <c r="H140" s="2" t="n"/>
      <c r="I140" s="1" t="n"/>
      <c r="K140" s="179">
        <f>IF(A140="","",VLOOKUP(A:A,[2]Свод!$A:$B,2,0))</f>
        <v>9</v>
      </c>
    </row>
    <row r="141" hidden="1" ht="40.5" customHeight="1" s="181">
      <c r="A141" t="str">
        <f>CONCATENATE(B141,"_",D141)</f>
        <v>ДСЖ КК_Гипотезы и инициативы</v>
      </c>
      <c r="B141" s="1" t="inlineStr">
        <is>
          <t>ДСЖ КК</t>
        </is>
      </c>
      <c r="C141" s="1" t="inlineStr">
        <is>
          <t>4Q2026</t>
        </is>
      </c>
      <c r="D141" s="1" t="inlineStr">
        <is>
          <t>Гипотезы и инициативы</t>
        </is>
      </c>
      <c r="E141" s="1" t="inlineStr">
        <is>
          <t>Сфокусировать бэклог аналитиков на research-задачи</t>
        </is>
      </c>
      <c r="F141" s="4" t="n">
        <v>46387</v>
      </c>
      <c r="G141" s="6" t="n">
        <v>4.5</v>
      </c>
      <c r="H141" s="2" t="n"/>
      <c r="I141" s="1" t="n"/>
      <c r="J141" s="221" t="inlineStr">
        <is>
          <t>для подтверждения данной метрики требуется направить ссылку на пространство DA продукта в Jira/сбертрек</t>
        </is>
      </c>
      <c r="K141" s="179">
        <f>IF(A141="","",VLOOKUP(A:A,[2]Свод!$A:$B,2,0))</f>
        <v>9</v>
      </c>
    </row>
    <row r="142" hidden="1" ht="22.5" customHeight="1" s="181">
      <c r="A142" t="str">
        <f>CONCATENATE(B142,"_",D142)</f>
        <v>ДСЖ КК_Гипотезы и инициативы</v>
      </c>
      <c r="B142" s="1" t="inlineStr">
        <is>
          <t>ДСЖ КК</t>
        </is>
      </c>
      <c r="C142" s="1" t="inlineStr">
        <is>
          <t>4Q2026</t>
        </is>
      </c>
      <c r="D142" s="1" t="inlineStr">
        <is>
          <t>Гипотезы и инициативы</t>
        </is>
      </c>
      <c r="E142" s="1" t="inlineStr">
        <is>
          <t>Повысить качество проведенных исследований</t>
        </is>
      </c>
      <c r="F142" s="4" t="n">
        <v>46387</v>
      </c>
      <c r="G142" s="6" t="n">
        <v>4.5</v>
      </c>
      <c r="H142" s="2" t="n"/>
      <c r="I142" s="1" t="n"/>
      <c r="K142" s="179">
        <f>IF(A142="","",VLOOKUP(A:A,[2]Свод!$A:$B,2,0))</f>
        <v>9</v>
      </c>
    </row>
    <row r="143" hidden="1" s="181">
      <c r="A143" t="str">
        <f>CONCATENATE(B143,"_",D143)</f>
        <v>ДСЖ КК_Воронка привлечения</v>
      </c>
      <c r="B143" s="1" t="inlineStr">
        <is>
          <t>ДСЖ КК</t>
        </is>
      </c>
      <c r="C143" s="1" t="inlineStr">
        <is>
          <t>3Q2026</t>
        </is>
      </c>
      <c r="D143" s="1" t="inlineStr">
        <is>
          <t>Воронка привлечения</t>
        </is>
      </c>
      <c r="E143" s="1" t="inlineStr">
        <is>
          <t>Развитие кампейнинга</t>
        </is>
      </c>
      <c r="F143" s="4" t="n">
        <v>46265</v>
      </c>
      <c r="G143" s="6" t="n">
        <v>2.2000000000000002</v>
      </c>
      <c r="H143" s="2" t="n"/>
      <c r="I143" s="1" t="n"/>
      <c r="K143" s="179">
        <f>IF(A143="","",VLOOKUP(A:A,[2]Свод!$A:$B,2,0))</f>
        <v>7.8</v>
      </c>
    </row>
    <row r="144" hidden="1" ht="23.25" customHeight="1" s="181">
      <c r="A144" t="str">
        <f>CONCATENATE(B144,"_",D144)</f>
        <v>ДСЖ КК_Механики</v>
      </c>
      <c r="B144" s="1" t="inlineStr">
        <is>
          <t>ДСЖ КК</t>
        </is>
      </c>
      <c r="C144" s="1" t="inlineStr">
        <is>
          <t>3Q2026</t>
        </is>
      </c>
      <c r="D144" s="1" t="inlineStr">
        <is>
          <t>Механики</t>
        </is>
      </c>
      <c r="E144" s="1" t="inlineStr">
        <is>
          <t>Выстроить процесс гибкого изменения условий без IT</t>
        </is>
      </c>
      <c r="F144" s="4" t="n">
        <v>46295</v>
      </c>
      <c r="G144" s="6" t="n">
        <v>4.4000000000000004</v>
      </c>
      <c r="H144" s="2" t="n"/>
      <c r="I144" s="1" t="n"/>
      <c r="K144" s="179">
        <f>IF(A144="","",VLOOKUP(A:A,[2]Свод!$A:$B,2,0))</f>
        <v>9</v>
      </c>
    </row>
    <row r="145" hidden="1" ht="67.5" customHeight="1" s="181">
      <c r="A145" t="str">
        <f>CONCATENATE(B145,"_",D145)</f>
        <v>Залоговое страхование (корпоративное страхование)_Воронка привлечения</v>
      </c>
      <c r="B145" s="1" t="inlineStr">
        <is>
          <t>Залоговое страхование (корпоративное страхование)</t>
        </is>
      </c>
      <c r="C145" s="1" t="inlineStr">
        <is>
          <t>3Q2026</t>
        </is>
      </c>
      <c r="D145" s="1" t="inlineStr">
        <is>
          <t>Воронка привлечения</t>
        </is>
      </c>
      <c r="E145" s="1" t="inlineStr">
        <is>
          <t>Актуализировать информацию на соотвествие показателей для продукта</t>
        </is>
      </c>
      <c r="F145" s="4" t="n">
        <v>46295</v>
      </c>
      <c r="G145" s="2" t="n">
        <v>2.1</v>
      </c>
      <c r="H145" s="12" t="inlineStr">
        <is>
          <t>В работе</t>
        </is>
      </c>
      <c r="I145" s="1" t="inlineStr">
        <is>
          <t>Макарцева Наталия, Рузанова Анна</t>
        </is>
      </c>
      <c r="K145" s="179">
        <f>IF(A145="","",VLOOKUP(A:A,[2]Свод!$A:$B,2,0))</f>
        <v>13.099999999999998</v>
      </c>
    </row>
    <row r="146" hidden="1" ht="67.5" customHeight="1" s="181">
      <c r="A146" t="str">
        <f>CONCATENATE(B146,"_",D146)</f>
        <v>Залоговое страхование (корпоративное страхование)_Гипотезы и инициативы</v>
      </c>
      <c r="B146" s="1" t="inlineStr">
        <is>
          <t>Залоговое страхование (корпоративное страхование)</t>
        </is>
      </c>
      <c r="C146" s="1" t="inlineStr">
        <is>
          <t>3Q2026</t>
        </is>
      </c>
      <c r="D146" s="1" t="inlineStr">
        <is>
          <t>Гипотезы и инициативы</t>
        </is>
      </c>
      <c r="E146" s="1" t="inlineStr">
        <is>
          <t>Добавить доступ к задачам по аналитике</t>
        </is>
      </c>
      <c r="F146" s="4" t="n">
        <v>46295</v>
      </c>
      <c r="G146" s="2" t="n">
        <v>4.3</v>
      </c>
      <c r="H146" s="12" t="inlineStr">
        <is>
          <t>В работе</t>
        </is>
      </c>
      <c r="I146" s="1" t="inlineStr">
        <is>
          <t>Макарцева Наталия, Рузанова Анна</t>
        </is>
      </c>
      <c r="J146" s="221" t="inlineStr">
        <is>
          <t>Что имеется ввиду?</t>
        </is>
      </c>
      <c r="K146" s="179">
        <f>IF(A146="","",VLOOKUP(A:A,[2]Свод!$A:$B,2,0))</f>
        <v>12.899999999999999</v>
      </c>
    </row>
    <row r="147" hidden="1" ht="67.5" customHeight="1" s="181">
      <c r="A147" t="str">
        <f>CONCATENATE(B147,"_",D147)</f>
        <v>Залоговое страхование (корпоративное страхование)_Цели</v>
      </c>
      <c r="B147" s="1" t="inlineStr">
        <is>
          <t>Залоговое страхование (корпоративное страхование)</t>
        </is>
      </c>
      <c r="C147" s="1" t="inlineStr">
        <is>
          <t>3Q2026</t>
        </is>
      </c>
      <c r="D147" s="1" t="inlineStr">
        <is>
          <t>Цели</t>
        </is>
      </c>
      <c r="E147" s="1" t="inlineStr">
        <is>
          <t>Добавить существующую отчетность по продукту</t>
        </is>
      </c>
      <c r="F147" s="4" t="n">
        <v>46295</v>
      </c>
      <c r="G147" s="2" t="n">
        <v>4.3</v>
      </c>
      <c r="H147" s="12" t="inlineStr">
        <is>
          <t>В работе</t>
        </is>
      </c>
      <c r="I147" s="1" t="inlineStr">
        <is>
          <t>Макарцева Наталия, Рузанова Анна</t>
        </is>
      </c>
      <c r="K147" s="179">
        <f>IF(A147="","",VLOOKUP(A:A,[2]Свод!$A:$B,2,0))</f>
        <v>8.6</v>
      </c>
    </row>
    <row r="148" hidden="1" ht="67.5" customHeight="1" s="181">
      <c r="A148" t="str">
        <f>CONCATENATE(B148,"_",D148)</f>
        <v>Залоговое страхование (корпоративное страхование)_Цели</v>
      </c>
      <c r="B148" s="1" t="inlineStr">
        <is>
          <t>Залоговое страхование (корпоративное страхование)</t>
        </is>
      </c>
      <c r="C148" s="1" t="inlineStr">
        <is>
          <t>4Q2026</t>
        </is>
      </c>
      <c r="D148" s="1" t="inlineStr">
        <is>
          <t>Цели</t>
        </is>
      </c>
      <c r="E148" s="1" t="inlineStr">
        <is>
          <t>Скорректировать логику отчета по пролонгации в инструменте Навигатор</t>
        </is>
      </c>
      <c r="F148" s="4" t="n">
        <v>46387</v>
      </c>
      <c r="G148" s="2" t="n">
        <v>4.3</v>
      </c>
      <c r="H148" s="12" t="inlineStr">
        <is>
          <t>В работе</t>
        </is>
      </c>
      <c r="I148" s="1" t="inlineStr">
        <is>
          <t>Рузанова Анна</t>
        </is>
      </c>
      <c r="K148" s="179">
        <f>IF(A148="","",VLOOKUP(A:A,[2]Свод!$A:$B,2,0))</f>
        <v>8.6</v>
      </c>
    </row>
    <row r="149" hidden="1" ht="67.5" customHeight="1" s="181">
      <c r="A149" t="str">
        <f>CONCATENATE(B149,"_",D149)</f>
        <v>Залоговое страхование (корпоративное страхование)_Воронка оттока</v>
      </c>
      <c r="B149" s="1" t="inlineStr">
        <is>
          <t>Залоговое страхование (корпоративное страхование)</t>
        </is>
      </c>
      <c r="C149" s="1" t="inlineStr">
        <is>
          <t>3Q2026</t>
        </is>
      </c>
      <c r="D149" s="1" t="inlineStr">
        <is>
          <t>Воронка оттока</t>
        </is>
      </c>
      <c r="E149" s="1" t="inlineStr">
        <is>
          <t>Актуализировать информацию на соотвествие показателей для продукта</t>
        </is>
      </c>
      <c r="F149" s="4" t="n">
        <v>46295</v>
      </c>
      <c r="G149" s="2" t="n">
        <v>2.1</v>
      </c>
      <c r="H149" s="12" t="inlineStr">
        <is>
          <t>В работе</t>
        </is>
      </c>
      <c r="I149" s="1" t="inlineStr">
        <is>
          <t>Макарцева Наталия, Рузанова Анна</t>
        </is>
      </c>
      <c r="J149" s="221" t="inlineStr">
        <is>
          <t xml:space="preserve">Не понятно мероприятие - нужно конкретизировать- воронка не релевантна? </t>
        </is>
      </c>
      <c r="K149" s="179">
        <f>IF(A149="","",VLOOKUP(A:A,[2]Свод!$A:$B,2,0))</f>
        <v>6.6000000000000005</v>
      </c>
    </row>
    <row r="150" hidden="1" ht="67.5" customHeight="1" s="181">
      <c r="A150" t="str">
        <f>CONCATENATE(B150,"_",D150)</f>
        <v>Залоговое страхование (корпоративное страхование)_Механики</v>
      </c>
      <c r="B150" s="1" t="inlineStr">
        <is>
          <t>Залоговое страхование (корпоративное страхование)</t>
        </is>
      </c>
      <c r="C150" s="1" t="inlineStr">
        <is>
          <t>3Q2026</t>
        </is>
      </c>
      <c r="D150" s="1" t="inlineStr">
        <is>
          <t>Механики</t>
        </is>
      </c>
      <c r="E150" s="1" t="inlineStr">
        <is>
          <t>Актуализировать информацию на соотвествие показателей для продукта</t>
        </is>
      </c>
      <c r="F150" s="4" t="n">
        <v>46295</v>
      </c>
      <c r="G150" s="2" t="n">
        <v>4.3</v>
      </c>
      <c r="H150" s="12" t="inlineStr">
        <is>
          <t>В работе</t>
        </is>
      </c>
      <c r="I150" s="1" t="inlineStr">
        <is>
          <t>Макарцева Наталия, Рузанова Анна</t>
        </is>
      </c>
      <c r="K150" s="179">
        <f>IF(A150="","",VLOOKUP(A:A,[2]Свод!$A:$B,2,0))</f>
        <v>17.2</v>
      </c>
    </row>
    <row r="151" hidden="1" s="181">
      <c r="A151" t="str">
        <f>CONCATENATE(B151,"_",D151)</f>
        <v>ЗЛС_Знание ключевых метрик</v>
      </c>
      <c r="B151" s="1" t="inlineStr">
        <is>
          <t>ЗЛС</t>
        </is>
      </c>
      <c r="C151" s="1" t="inlineStr">
        <is>
          <t>4Q2026</t>
        </is>
      </c>
      <c r="D151" s="1" t="inlineStr">
        <is>
          <t>Знание ключевых метрик</t>
        </is>
      </c>
      <c r="E151" s="7" t="inlineStr">
        <is>
          <t>Объем целевого рынка в Сбере</t>
        </is>
      </c>
      <c r="F151" s="1" t="inlineStr">
        <is>
          <t>Проведение встреч со Штабом УБ до 31.08.2026.</t>
        </is>
      </c>
      <c r="G151" s="2" t="n">
        <v>2.6</v>
      </c>
      <c r="H151" s="12" t="inlineStr">
        <is>
          <t>В работе</t>
        </is>
      </c>
      <c r="I151" s="337" t="inlineStr">
        <is>
          <t>Корпачева Надежда Олеговна, Мелихов Кирилл Сергеевич, Зазуля Екатерина Олеговна</t>
        </is>
      </c>
      <c r="K151" s="179">
        <f>IF(A151="","",VLOOKUP(A:A,[2]Свод!$A:$B,2,0))</f>
        <v>2.6</v>
      </c>
    </row>
    <row r="152" hidden="1" s="181">
      <c r="B152" s="330" t="n"/>
      <c r="C152" s="330" t="n"/>
      <c r="D152" s="330" t="n"/>
      <c r="E152" s="17" t="inlineStr">
        <is>
          <t>Текущее значение в дешборде  0%</t>
        </is>
      </c>
      <c r="F152" s="330" t="n"/>
      <c r="G152" s="330" t="n"/>
      <c r="H152" s="330" t="n"/>
      <c r="I152" s="331" t="n"/>
      <c r="K152" s="70">
        <f>IF(A152="","",VLOOKUP(A:A,'[1]Невыполненные метрики'!$A:$B,2,0))</f>
        <v/>
      </c>
    </row>
    <row r="153" hidden="1" s="181">
      <c r="B153" s="330" t="n"/>
      <c r="C153" s="330" t="n"/>
      <c r="D153" s="330" t="n"/>
      <c r="E153" s="17" t="inlineStr">
        <is>
          <t>Мероприятие: синхронизация по логике расчета Штаб УБ и В2С</t>
        </is>
      </c>
      <c r="F153" s="330" t="n"/>
      <c r="G153" s="330" t="n"/>
      <c r="H153" s="330" t="n"/>
      <c r="I153" s="331" t="n"/>
      <c r="K153" s="70">
        <f>IF(A153="","",VLOOKUP(A:A,'[1]Невыполненные метрики'!$A:$B,2,0))</f>
        <v/>
      </c>
    </row>
    <row r="154" hidden="1" s="181">
      <c r="B154" s="330" t="n"/>
      <c r="C154" s="330" t="n"/>
      <c r="D154" s="330" t="n"/>
      <c r="E154" s="17" t="inlineStr">
        <is>
          <t>Как считает продуктовая команда:</t>
        </is>
      </c>
      <c r="F154" s="330" t="n"/>
      <c r="G154" s="330" t="n"/>
      <c r="H154" s="330" t="n"/>
      <c r="I154" s="331" t="n"/>
      <c r="K154" s="70">
        <f>IF(A154="","",VLOOKUP(A:A,'[1]Невыполненные метрики'!$A:$B,2,0))</f>
        <v/>
      </c>
    </row>
    <row r="155" hidden="1" s="181">
      <c r="B155" s="330" t="n"/>
      <c r="C155" s="330" t="n"/>
      <c r="D155" s="330" t="n"/>
      <c r="E155" s="17" t="inlineStr">
        <is>
          <t>Лица от 18 до 80 лет</t>
        </is>
      </c>
      <c r="F155" s="330" t="n"/>
      <c r="G155" s="330" t="n"/>
      <c r="H155" s="330" t="n"/>
      <c r="I155" s="331" t="n"/>
      <c r="K155" s="70">
        <f>IF(A155="","",VLOOKUP(A:A,'[1]Невыполненные метрики'!$A:$B,2,0))</f>
        <v/>
      </c>
    </row>
    <row r="156" hidden="1" s="181">
      <c r="B156" s="330" t="n"/>
      <c r="C156" s="330" t="n"/>
      <c r="D156" s="330" t="n"/>
      <c r="E156" s="17" t="n"/>
      <c r="F156" s="330" t="n"/>
      <c r="G156" s="330" t="n"/>
      <c r="H156" s="330" t="n"/>
      <c r="I156" s="331" t="n"/>
      <c r="K156" s="70">
        <f>IF(A156="","",VLOOKUP(A:A,'[1]Невыполненные метрики'!$A:$B,2,0))</f>
        <v/>
      </c>
    </row>
    <row r="157" hidden="1" s="181">
      <c r="B157" s="330" t="n"/>
      <c r="C157" s="330" t="n"/>
      <c r="D157" s="330" t="n"/>
      <c r="E157" s="17" t="inlineStr">
        <is>
          <t>MAU продукта</t>
        </is>
      </c>
      <c r="F157" s="330" t="n"/>
      <c r="G157" s="330" t="n"/>
      <c r="H157" s="330" t="n"/>
      <c r="I157" s="331" t="n"/>
      <c r="K157" s="70">
        <f>IF(A157="","",VLOOKUP(A:A,'[1]Невыполненные метрики'!$A:$B,2,0))</f>
        <v/>
      </c>
    </row>
    <row r="158" hidden="1" s="181">
      <c r="B158" s="330" t="n"/>
      <c r="C158" s="330" t="n"/>
      <c r="D158" s="330" t="n"/>
      <c r="E158" s="17" t="inlineStr">
        <is>
          <t>Текущее значение в дешборде  0%</t>
        </is>
      </c>
      <c r="F158" s="330" t="n"/>
      <c r="G158" s="330" t="n"/>
      <c r="H158" s="330" t="n"/>
      <c r="I158" s="331" t="n"/>
      <c r="K158" s="70">
        <f>IF(A158="","",VLOOKUP(A:A,'[1]Невыполненные метрики'!$A:$B,2,0))</f>
        <v/>
      </c>
    </row>
    <row r="159" hidden="1" s="181">
      <c r="B159" s="330" t="n"/>
      <c r="C159" s="330" t="n"/>
      <c r="D159" s="330" t="n"/>
      <c r="E159" s="19" t="inlineStr">
        <is>
          <t>Мероприятие: синхронизация по логике расчета</t>
        </is>
      </c>
      <c r="F159" s="330" t="n"/>
      <c r="G159" s="330" t="n"/>
      <c r="H159" s="330" t="n"/>
      <c r="I159" s="331" t="n"/>
      <c r="K159" s="70">
        <f>IF(A159="","",VLOOKUP(A:A,'[1]Невыполненные метрики'!$A:$B,2,0))</f>
        <v/>
      </c>
    </row>
    <row r="160" hidden="1" s="181">
      <c r="B160" s="330" t="n"/>
      <c r="C160" s="330" t="n"/>
      <c r="D160" s="330" t="n"/>
      <c r="E160" s="17" t="inlineStr">
        <is>
          <t>Как считает продуктовая команда:</t>
        </is>
      </c>
      <c r="F160" s="330" t="n"/>
      <c r="G160" s="330" t="n"/>
      <c r="H160" s="330" t="n"/>
      <c r="I160" s="331" t="n"/>
      <c r="K160" s="70">
        <f>IF(A160="","",VLOOKUP(A:A,'[1]Невыполненные метрики'!$A:$B,2,0))</f>
        <v/>
      </c>
    </row>
    <row r="161" hidden="1" s="181">
      <c r="B161" s="330" t="n"/>
      <c r="C161" s="330" t="n"/>
      <c r="D161" s="330" t="n"/>
      <c r="E161" s="17" t="inlineStr">
        <is>
          <t>MAU считается по кол-ву уникальных клиентов, которые перешли на детальные карточки продукта в МП СБОЛ. Таких 100 000 клиентов</t>
        </is>
      </c>
      <c r="F161" s="330" t="n"/>
      <c r="G161" s="330" t="n"/>
      <c r="H161" s="330" t="n"/>
      <c r="I161" s="331" t="n"/>
      <c r="K161" s="70">
        <f>IF(A161="","",VLOOKUP(A:A,'[1]Невыполненные метрики'!$A:$B,2,0))</f>
        <v/>
      </c>
    </row>
    <row r="162" hidden="1" s="181">
      <c r="B162" s="330" t="n"/>
      <c r="C162" s="330" t="n"/>
      <c r="D162" s="330" t="n"/>
      <c r="E162" s="17" t="inlineStr">
        <is>
          <t>MAU - количество уникальных пользователей, которые совершили хотя бы одно целевое действие на протяжении 30 дней. Целевое действие = переход на карточку продукта, если смотреть цеелвое действие = оформление продукта, то это будет та же самая цифра, что и "Клиенты с продуктом".</t>
        </is>
      </c>
      <c r="F162" s="330" t="n"/>
      <c r="G162" s="330" t="n"/>
      <c r="H162" s="330" t="n"/>
      <c r="I162" s="331" t="n"/>
      <c r="K162" s="70">
        <f>IF(A162="","",VLOOKUP(A:A,'[1]Невыполненные метрики'!$A:$B,2,0))</f>
        <v/>
      </c>
    </row>
    <row r="163" hidden="1" s="181">
      <c r="B163" s="330" t="n"/>
      <c r="C163" s="330" t="n"/>
      <c r="D163" s="330" t="n"/>
      <c r="E163" s="20" t="inlineStr">
        <is>
          <t>Ссылка на отчет в Навигаторе: https://navigator.sigma.sbrf.ru/gdash/1000000820/1000012918?period=2026-06-01%7C%7C%7C2026-06-30</t>
        </is>
      </c>
      <c r="F163" s="330" t="n"/>
      <c r="G163" s="330" t="n"/>
      <c r="H163" s="330" t="n"/>
      <c r="I163" s="331" t="n"/>
      <c r="K163" s="70">
        <f>IF(A163="","",VLOOKUP(A:A,'[1]Невыполненные метрики'!$A:$B,2,0))</f>
        <v/>
      </c>
    </row>
    <row r="164" hidden="1" s="181">
      <c r="B164" s="330" t="n"/>
      <c r="C164" s="330" t="n"/>
      <c r="D164" s="330" t="n"/>
      <c r="E164" s="21" t="n"/>
      <c r="F164" s="330" t="n"/>
      <c r="G164" s="330" t="n"/>
      <c r="H164" s="330" t="n"/>
      <c r="I164" s="331" t="n"/>
      <c r="K164" s="70">
        <f>IF(A164="","",VLOOKUP(A:A,'[1]Невыполненные метрики'!$A:$B,2,0))</f>
        <v/>
      </c>
    </row>
    <row r="165" hidden="1" s="181">
      <c r="B165" s="330" t="n"/>
      <c r="C165" s="330" t="n"/>
      <c r="D165" s="330" t="n"/>
      <c r="E165" s="17" t="inlineStr">
        <is>
          <t>Знание об отчетности в Навигаторе</t>
        </is>
      </c>
      <c r="F165" s="330" t="n"/>
      <c r="G165" s="330" t="n"/>
      <c r="H165" s="330" t="n"/>
      <c r="I165" s="331" t="n"/>
      <c r="K165" s="70">
        <f>IF(A165="","",VLOOKUP(A:A,'[1]Невыполненные метрики'!$A:$B,2,0))</f>
        <v/>
      </c>
    </row>
    <row r="166" hidden="1" s="181">
      <c r="B166" s="330" t="n"/>
      <c r="C166" s="330" t="n"/>
      <c r="D166" s="330" t="n"/>
      <c r="E166" s="17" t="inlineStr">
        <is>
          <t>Текущее значение в дешборде  50%</t>
        </is>
      </c>
      <c r="F166" s="330" t="n"/>
      <c r="G166" s="330" t="n"/>
      <c r="H166" s="330" t="n"/>
      <c r="I166" s="331" t="n"/>
      <c r="K166" s="70">
        <f>IF(A166="","",VLOOKUP(A:A,'[1]Невыполненные метрики'!$A:$B,2,0))</f>
        <v/>
      </c>
    </row>
    <row r="167" hidden="1" s="181">
      <c r="B167" s="332" t="n"/>
      <c r="C167" s="332" t="n"/>
      <c r="D167" s="332" t="n"/>
      <c r="E167" s="19" t="inlineStr">
        <is>
          <t>Мероприятие: совместно с штабом УБ синхронизировать методологию, чтобы довести до 100%</t>
        </is>
      </c>
      <c r="F167" s="332" t="n"/>
      <c r="G167" s="332" t="n"/>
      <c r="H167" s="332" t="n"/>
      <c r="I167" s="333" t="n"/>
      <c r="K167" s="70">
        <f>IF(A167="","",VLOOKUP(A:A,'[1]Невыполненные метрики'!$A:$B,2,0))</f>
        <v/>
      </c>
    </row>
    <row r="168" hidden="1" s="181">
      <c r="A168" t="str">
        <f>CONCATENATE(B168,"_",D168)</f>
        <v>ЗЛС_Воронка привлечения</v>
      </c>
      <c r="B168" s="1" t="inlineStr">
        <is>
          <t>ЗЛС</t>
        </is>
      </c>
      <c r="C168" s="1" t="inlineStr">
        <is>
          <t>4Q2026</t>
        </is>
      </c>
      <c r="D168" s="1" t="inlineStr">
        <is>
          <t>Воронка привлечения</t>
        </is>
      </c>
      <c r="E168" s="7" t="inlineStr">
        <is>
          <t>Полнота отчета</t>
        </is>
      </c>
      <c r="F168" s="1" t="inlineStr">
        <is>
          <t>Проведение встреч со Штабом УБ до 31.08.2026.</t>
        </is>
      </c>
      <c r="G168" s="2" t="n">
        <v>7</v>
      </c>
      <c r="H168" s="12" t="inlineStr">
        <is>
          <t>В работе</t>
        </is>
      </c>
      <c r="I168" s="1" t="inlineStr">
        <is>
          <t>Корпачева Надежда Олеговна, Мелихов Кирилл Сергеевич, Зазуля Екатерина Олеговна</t>
        </is>
      </c>
      <c r="K168" s="179">
        <f>IF(A168="","",VLOOKUP(A:A,[2]Свод!$A:$B,2,0))</f>
        <v>7</v>
      </c>
    </row>
    <row r="169" hidden="1" s="181">
      <c r="B169" s="330" t="n"/>
      <c r="C169" s="330" t="n"/>
      <c r="D169" s="330" t="n"/>
      <c r="E169" s="17" t="inlineStr">
        <is>
          <t>Текущее значение в дешборде  50%</t>
        </is>
      </c>
      <c r="F169" s="330" t="n"/>
      <c r="G169" s="330" t="n"/>
      <c r="H169" s="330" t="n"/>
      <c r="I169" s="330" t="n"/>
      <c r="K169" s="70">
        <f>IF(A169="","",VLOOKUP(A:A,'[1]Невыполненные метрики'!$A:$B,2,0))</f>
        <v/>
      </c>
    </row>
    <row r="170" hidden="1" s="181">
      <c r="B170" s="330" t="n"/>
      <c r="C170" s="330" t="n"/>
      <c r="D170" s="330" t="n"/>
      <c r="E170" s="17" t="inlineStr">
        <is>
          <t>Мероприятия: задача поставлена на Штаб УБ, ожидаем реализацию, ссылка на задачу в jira: https://jira.sberbank.ru/browse/DASHBOARD-6101.</t>
        </is>
      </c>
      <c r="F170" s="330" t="n"/>
      <c r="G170" s="330" t="n"/>
      <c r="H170" s="330" t="n"/>
      <c r="I170" s="330" t="n"/>
      <c r="K170" s="70">
        <f>IF(A170="","",VLOOKUP(A:A,'[1]Невыполненные метрики'!$A:$B,2,0))</f>
        <v/>
      </c>
    </row>
    <row r="171" hidden="1" s="181">
      <c r="B171" s="330" t="n"/>
      <c r="C171" s="330" t="n"/>
      <c r="D171" s="330" t="n"/>
      <c r="E171" s="17" t="inlineStr">
        <is>
          <t>Также реализован отчет по воронкам разных источниов переходов, ссылка на отчет в Навигаторе: https://navigator.sigma.sbrf.ru/gdash/1000000820/1000012918?period=2026-06-01%7C%7C%7C2026-06-30</t>
        </is>
      </c>
      <c r="F171" s="330" t="n"/>
      <c r="G171" s="330" t="n"/>
      <c r="H171" s="330" t="n"/>
      <c r="I171" s="330" t="n"/>
      <c r="K171" s="70">
        <f>IF(A171="","",VLOOKUP(A:A,'[1]Невыполненные метрики'!$A:$B,2,0))</f>
        <v/>
      </c>
    </row>
    <row r="172" hidden="1" s="181">
      <c r="B172" s="330" t="n"/>
      <c r="C172" s="330" t="n"/>
      <c r="D172" s="330" t="n"/>
      <c r="E172" s="21" t="n"/>
      <c r="F172" s="330" t="n"/>
      <c r="G172" s="330" t="n"/>
      <c r="H172" s="330" t="n"/>
      <c r="I172" s="330" t="n"/>
      <c r="K172" s="70">
        <f>IF(A172="","",VLOOKUP(A:A,'[1]Невыполненные метрики'!$A:$B,2,0))</f>
        <v/>
      </c>
    </row>
    <row r="173" hidden="1" s="181">
      <c r="B173" s="330" t="n"/>
      <c r="C173" s="330" t="n"/>
      <c r="D173" s="330" t="n"/>
      <c r="E173" s="17" t="inlineStr">
        <is>
          <t>Наличие бенчмарков</t>
        </is>
      </c>
      <c r="F173" s="330" t="n"/>
      <c r="G173" s="330" t="n"/>
      <c r="H173" s="330" t="n"/>
      <c r="I173" s="330" t="n"/>
      <c r="K173" s="70">
        <f>IF(A173="","",VLOOKUP(A:A,'[1]Невыполненные метрики'!$A:$B,2,0))</f>
        <v/>
      </c>
    </row>
    <row r="174" hidden="1" s="181">
      <c r="B174" s="330" t="n"/>
      <c r="C174" s="330" t="n"/>
      <c r="D174" s="330" t="n"/>
      <c r="E174" s="17" t="inlineStr">
        <is>
          <t>Текущее значение в дешборде  0%</t>
        </is>
      </c>
      <c r="F174" s="330" t="n"/>
      <c r="G174" s="330" t="n"/>
      <c r="H174" s="330" t="n"/>
      <c r="I174" s="330" t="n"/>
      <c r="K174" s="70">
        <f>IF(A174="","",VLOOKUP(A:A,'[1]Невыполненные метрики'!$A:$B,2,0))</f>
        <v/>
      </c>
    </row>
    <row r="175" hidden="1" s="181">
      <c r="B175" s="330" t="n"/>
      <c r="C175" s="330" t="n"/>
      <c r="D175" s="330" t="n"/>
      <c r="E175" s="19" t="inlineStr">
        <is>
          <t>Мероприятие: синхронизация по логике расчета Штаб УБ, Штаб В2С, СБС</t>
        </is>
      </c>
      <c r="F175" s="330" t="n"/>
      <c r="G175" s="330" t="n"/>
      <c r="H175" s="330" t="n"/>
      <c r="I175" s="330" t="n"/>
      <c r="K175" s="70">
        <f>IF(A175="","",VLOOKUP(A:A,'[1]Невыполненные метрики'!$A:$B,2,0))</f>
        <v/>
      </c>
    </row>
    <row r="176" hidden="1" s="181">
      <c r="B176" s="330" t="n"/>
      <c r="C176" s="330" t="n"/>
      <c r="D176" s="330" t="n"/>
      <c r="E176" s="17" t="n"/>
      <c r="F176" s="330" t="n"/>
      <c r="G176" s="330" t="n"/>
      <c r="H176" s="330" t="n"/>
      <c r="I176" s="330" t="n"/>
      <c r="K176" s="70">
        <f>IF(A176="","",VLOOKUP(A:A,'[1]Невыполненные метрики'!$A:$B,2,0))</f>
        <v/>
      </c>
    </row>
    <row r="177" hidden="1" ht="15.95" customHeight="1" s="181">
      <c r="B177" s="330" t="n"/>
      <c r="C177" s="330" t="n"/>
      <c r="D177" s="330" t="n"/>
      <c r="E177" s="17" t="inlineStr">
        <is>
          <t>Черновики в СБОЛ &gt;=70%</t>
        </is>
      </c>
      <c r="F177" s="330" t="n"/>
      <c r="G177" s="330" t="n"/>
      <c r="H177" s="330" t="n"/>
      <c r="I177" s="330" t="n"/>
      <c r="J177" s="230" t="inlineStr">
        <is>
          <t>В дэшборде по Черновикам в Навигаторе ошибка в расчете доли покрытия - не 77%, а 8,4%
В расчет Index идет все корректно</t>
        </is>
      </c>
      <c r="K177" s="70">
        <f>IF(A177="","",VLOOKUP(A:A,'[1]Невыполненные метрики'!$A:$B,2,0))</f>
        <v/>
      </c>
    </row>
    <row r="178" hidden="1" s="181">
      <c r="B178" s="330" t="n"/>
      <c r="C178" s="330" t="n"/>
      <c r="D178" s="330" t="n"/>
      <c r="E178" s="17" t="inlineStr">
        <is>
          <t>Текущее значение в дешборде  0%</t>
        </is>
      </c>
      <c r="F178" s="330" t="n"/>
      <c r="G178" s="330" t="n"/>
      <c r="H178" s="330" t="n"/>
      <c r="I178" s="330" t="n"/>
      <c r="J178" s="331" t="n"/>
      <c r="K178" s="70">
        <f>IF(A178="","",VLOOKUP(A:A,'[1]Невыполненные метрики'!$A:$B,2,0))</f>
        <v/>
      </c>
    </row>
    <row r="179" hidden="1" ht="45" customHeight="1" s="181">
      <c r="B179" s="332" t="n"/>
      <c r="C179" s="332" t="n"/>
      <c r="D179" s="332" t="n"/>
      <c r="E179" s="27" t="inlineStr">
        <is>
          <t>Текущее покрытие по коммуникациям составляет 77%, ссылка на отчет Навигаторе: https://navigator.sigma.sbrf.ru/gdash/1000003969</t>
        </is>
      </c>
      <c r="F179" s="332" t="n"/>
      <c r="G179" s="332" t="n"/>
      <c r="H179" s="332" t="n"/>
      <c r="I179" s="332" t="n"/>
      <c r="J179" s="333" t="n"/>
      <c r="K179" s="70">
        <f>IF(A179="","",VLOOKUP(A:A,'[1]Невыполненные метрики'!$A:$B,2,0))</f>
        <v/>
      </c>
    </row>
    <row r="180" hidden="1" s="181">
      <c r="A180" t="str">
        <f>CONCATENATE(B180,"_",D180)</f>
        <v>ЗЛС_Алерты</v>
      </c>
      <c r="B180" s="1" t="inlineStr">
        <is>
          <t>ЗЛС</t>
        </is>
      </c>
      <c r="C180" s="1" t="inlineStr">
        <is>
          <t>4Q2026</t>
        </is>
      </c>
      <c r="D180" s="1" t="inlineStr">
        <is>
          <t>Алерты</t>
        </is>
      </c>
      <c r="E180" s="7" t="inlineStr">
        <is>
          <t>Оповещения по бизнес-метрикам</t>
        </is>
      </c>
      <c r="F180" s="1" t="inlineStr">
        <is>
          <t>Проведение встреч со Штабом УБ до 31.08.2026.</t>
        </is>
      </c>
      <c r="G180" s="2" t="n">
        <v>2</v>
      </c>
      <c r="H180" s="12" t="inlineStr">
        <is>
          <t>В работе</t>
        </is>
      </c>
      <c r="I180" s="1" t="inlineStr">
        <is>
          <t>Корпачева Надежда Олеговна, Мелихов Кирилл Сергеевич, Зазуля Екатерина Олеговна</t>
        </is>
      </c>
      <c r="J180" s="226" t="n"/>
      <c r="K180" s="179">
        <f>IF(A180="","",VLOOKUP(A:A,[2]Свод!$A:$B,2,0))</f>
        <v>2</v>
      </c>
    </row>
    <row r="181" hidden="1" s="181">
      <c r="B181" s="330" t="n"/>
      <c r="C181" s="330" t="n"/>
      <c r="D181" s="330" t="n"/>
      <c r="E181" s="17" t="inlineStr">
        <is>
          <t>Текущее значение в дешборде  50%</t>
        </is>
      </c>
      <c r="F181" s="330" t="n"/>
      <c r="G181" s="330" t="n"/>
      <c r="H181" s="330" t="n"/>
      <c r="I181" s="330" t="n"/>
      <c r="J181" s="331" t="n"/>
      <c r="K181" s="70">
        <f>IF(A181="","",VLOOKUP(A:A,'[1]Невыполненные метрики'!$A:$B,2,0))</f>
        <v/>
      </c>
    </row>
    <row r="182" hidden="1" s="181">
      <c r="B182" s="330" t="n"/>
      <c r="C182" s="330" t="n"/>
      <c r="D182" s="330" t="n"/>
      <c r="E182" s="17" t="inlineStr">
        <is>
          <t>Настроены алерты из АС Рефлекса, настроена ежедневная рассылка по витрине ЗЛС.</t>
        </is>
      </c>
      <c r="F182" s="330" t="n"/>
      <c r="G182" s="330" t="n"/>
      <c r="H182" s="330" t="n"/>
      <c r="I182" s="330" t="n"/>
      <c r="J182" s="331" t="n"/>
      <c r="K182" s="70">
        <f>IF(A182="","",VLOOKUP(A:A,'[1]Невыполненные метрики'!$A:$B,2,0))</f>
        <v/>
      </c>
    </row>
    <row r="183" hidden="1" s="181">
      <c r="B183" s="332" t="n"/>
      <c r="C183" s="332" t="n"/>
      <c r="D183" s="332" t="n"/>
      <c r="E183" s="19" t="inlineStr">
        <is>
          <t>Мероприятие: совместно со штабом УБ синхронизировать логику, чтобы довести до 100%</t>
        </is>
      </c>
      <c r="F183" s="332" t="n"/>
      <c r="G183" s="332" t="n"/>
      <c r="H183" s="332" t="n"/>
      <c r="I183" s="332" t="n"/>
      <c r="J183" s="331" t="n"/>
      <c r="K183" s="70">
        <f>IF(A183="","",VLOOKUP(A:A,'[1]Невыполненные метрики'!$A:$B,2,0))</f>
        <v/>
      </c>
    </row>
    <row r="184" hidden="1" ht="15.75" customHeight="1" s="181">
      <c r="A184" t="str">
        <f>CONCATENATE(B184,"_",D184)</f>
        <v>ЗЛС_Гипотезы и инициативы</v>
      </c>
      <c r="B184" s="1" t="inlineStr">
        <is>
          <t>ЗЛС</t>
        </is>
      </c>
      <c r="C184" s="1" t="inlineStr">
        <is>
          <t>4Q2026</t>
        </is>
      </c>
      <c r="D184" s="1" t="inlineStr">
        <is>
          <t>Гипотезы и инициативы</t>
        </is>
      </c>
      <c r="E184" s="7" t="inlineStr">
        <is>
          <t>Discovery &gt;=40% бэклога</t>
        </is>
      </c>
      <c r="F184" s="1" t="inlineStr">
        <is>
          <t>Проведение встреч со Штабом УБ до 31.08.2026.</t>
        </is>
      </c>
      <c r="G184" s="2" t="n">
        <v>12</v>
      </c>
      <c r="H184" s="12" t="inlineStr">
        <is>
          <t>В работе</t>
        </is>
      </c>
      <c r="I184" s="1" t="inlineStr">
        <is>
          <t>Корпачева Надежда Олеговна, Мелихов Кирилл Сергеевич, Зазуля Екатерина Олеговна</t>
        </is>
      </c>
      <c r="J184" s="221" t="inlineStr">
        <is>
          <t>для подтверждения данной метрики требуется направить ссылку на пространство DA продукта в Jira/сбертрек</t>
        </is>
      </c>
      <c r="K184" s="179">
        <f>IF(A184="","",VLOOKUP(A:A,[2]Свод!$A:$B,2,0))</f>
        <v>12</v>
      </c>
    </row>
    <row r="185" hidden="1" ht="15.95" customHeight="1" s="181">
      <c r="B185" s="330" t="n"/>
      <c r="C185" s="330" t="n"/>
      <c r="D185" s="330" t="n"/>
      <c r="E185" s="17" t="inlineStr">
        <is>
          <t>Текущее значение в дешборде  0%</t>
        </is>
      </c>
      <c r="F185" s="330" t="n"/>
      <c r="G185" s="330" t="n"/>
      <c r="H185" s="330" t="n"/>
      <c r="I185" s="330" t="n"/>
      <c r="J185" s="330" t="n"/>
      <c r="K185" s="70">
        <f>IF(A185="","",VLOOKUP(A:A,'[1]Невыполненные метрики'!$A:$B,2,0))</f>
        <v/>
      </c>
    </row>
    <row r="186" hidden="1" ht="15.95" customHeight="1" s="181">
      <c r="B186" s="330" t="n"/>
      <c r="C186" s="330" t="n"/>
      <c r="D186" s="330" t="n"/>
      <c r="E186" s="19" t="inlineStr">
        <is>
          <t>Мероприятие: синхронизация по методологии. Продуктовая команда регулярно проверяет гипотезы</t>
        </is>
      </c>
      <c r="F186" s="330" t="n"/>
      <c r="G186" s="330" t="n"/>
      <c r="H186" s="330" t="n"/>
      <c r="I186" s="330" t="n"/>
      <c r="J186" s="330" t="n"/>
      <c r="K186" s="70">
        <f>IF(A186="","",VLOOKUP(A:A,'[1]Невыполненные метрики'!$A:$B,2,0))</f>
        <v/>
      </c>
    </row>
    <row r="187" hidden="1" ht="15.95" customHeight="1" s="181">
      <c r="B187" s="330" t="n"/>
      <c r="C187" s="330" t="n"/>
      <c r="D187" s="330" t="n"/>
      <c r="E187" s="17" t="n"/>
      <c r="F187" s="330" t="n"/>
      <c r="G187" s="330" t="n"/>
      <c r="H187" s="330" t="n"/>
      <c r="I187" s="330" t="n"/>
      <c r="J187" s="330" t="n"/>
      <c r="K187" s="70">
        <f>IF(A187="","",VLOOKUP(A:A,'[1]Невыполненные метрики'!$A:$B,2,0))</f>
        <v/>
      </c>
    </row>
    <row r="188" hidden="1" ht="15.95" customHeight="1" s="181">
      <c r="B188" s="330" t="n"/>
      <c r="C188" s="330" t="n"/>
      <c r="D188" s="330" t="n"/>
      <c r="E188" s="17" t="inlineStr">
        <is>
          <t>Оценка исследований &gt;=7,5</t>
        </is>
      </c>
      <c r="F188" s="330" t="n"/>
      <c r="G188" s="330" t="n"/>
      <c r="H188" s="330" t="n"/>
      <c r="I188" s="330" t="n"/>
      <c r="J188" s="330" t="n"/>
      <c r="K188" s="70">
        <f>IF(A188="","",VLOOKUP(A:A,'[1]Невыполненные метрики'!$A:$B,2,0))</f>
        <v/>
      </c>
    </row>
    <row r="189" hidden="1" ht="15.95" customHeight="1" s="181">
      <c r="B189" s="330" t="n"/>
      <c r="C189" s="330" t="n"/>
      <c r="D189" s="330" t="n"/>
      <c r="E189" s="17" t="inlineStr">
        <is>
          <t>Текущее значение в дешборде  0%</t>
        </is>
      </c>
      <c r="F189" s="330" t="n"/>
      <c r="G189" s="330" t="n"/>
      <c r="H189" s="330" t="n"/>
      <c r="I189" s="330" t="n"/>
      <c r="J189" s="330" t="n"/>
      <c r="K189" s="70">
        <f>IF(A189="","",VLOOKUP(A:A,'[1]Невыполненные метрики'!$A:$B,2,0))</f>
        <v/>
      </c>
    </row>
    <row r="190" hidden="1" ht="15.95" customHeight="1" s="181">
      <c r="B190" s="330" t="n"/>
      <c r="C190" s="330" t="n"/>
      <c r="D190" s="330" t="n"/>
      <c r="E190" s="17" t="inlineStr">
        <is>
          <t>Запущена регулярная кампания опросов СХ по ЗЛС</t>
        </is>
      </c>
      <c r="F190" s="330" t="n"/>
      <c r="G190" s="330" t="n"/>
      <c r="H190" s="330" t="n"/>
      <c r="I190" s="330" t="n"/>
      <c r="J190" s="330" t="n"/>
      <c r="K190" s="70">
        <f>IF(A190="","",VLOOKUP(A:A,'[1]Невыполненные метрики'!$A:$B,2,0))</f>
        <v/>
      </c>
    </row>
    <row r="191" hidden="1" ht="15.95" customHeight="1" s="181">
      <c r="B191" s="330" t="n"/>
      <c r="C191" s="330" t="n"/>
      <c r="D191" s="330" t="n"/>
      <c r="E191" s="19" t="inlineStr">
        <is>
          <t>Мероприятие: синхронизация по методологии.</t>
        </is>
      </c>
      <c r="F191" s="330" t="n"/>
      <c r="G191" s="330" t="n"/>
      <c r="H191" s="330" t="n"/>
      <c r="I191" s="330" t="n"/>
      <c r="J191" s="330" t="n"/>
      <c r="K191" s="70">
        <f>IF(A191="","",VLOOKUP(A:A,'[1]Невыполненные метрики'!$A:$B,2,0))</f>
        <v/>
      </c>
    </row>
    <row r="192" hidden="1" ht="15.95" customHeight="1" s="181">
      <c r="B192" s="330" t="n"/>
      <c r="C192" s="330" t="n"/>
      <c r="D192" s="330" t="n"/>
      <c r="E192" s="17" t="n"/>
      <c r="F192" s="330" t="n"/>
      <c r="G192" s="330" t="n"/>
      <c r="H192" s="330" t="n"/>
      <c r="I192" s="330" t="n"/>
      <c r="J192" s="330" t="n"/>
      <c r="K192" s="70">
        <f>IF(A192="","",VLOOKUP(A:A,'[1]Невыполненные метрики'!$A:$B,2,0))</f>
        <v/>
      </c>
    </row>
    <row r="193" hidden="1" ht="15.95" customHeight="1" s="181">
      <c r="B193" s="330" t="n"/>
      <c r="C193" s="330" t="n"/>
      <c r="D193" s="330" t="n"/>
      <c r="E193" s="17" t="inlineStr">
        <is>
          <t>A/B-тесты</t>
        </is>
      </c>
      <c r="F193" s="330" t="n"/>
      <c r="G193" s="330" t="n"/>
      <c r="H193" s="330" t="n"/>
      <c r="I193" s="330" t="n"/>
      <c r="J193" s="330" t="n"/>
      <c r="K193" s="70">
        <f>IF(A193="","",VLOOKUP(A:A,'[1]Невыполненные метрики'!$A:$B,2,0))</f>
        <v/>
      </c>
    </row>
    <row r="194" hidden="1" ht="15.95" customHeight="1" s="181">
      <c r="B194" s="330" t="n"/>
      <c r="C194" s="330" t="n"/>
      <c r="D194" s="330" t="n"/>
      <c r="E194" s="17" t="inlineStr">
        <is>
          <t>нет плана по A/B</t>
        </is>
      </c>
      <c r="F194" s="330" t="n"/>
      <c r="G194" s="330" t="n"/>
      <c r="H194" s="330" t="n"/>
      <c r="I194" s="330" t="n"/>
      <c r="J194" s="330" t="n"/>
      <c r="K194" s="70">
        <f>IF(A194="","",VLOOKUP(A:A,'[1]Невыполненные метрики'!$A:$B,2,0))</f>
        <v/>
      </c>
    </row>
    <row r="195" hidden="1" ht="15.95" customHeight="1" s="181">
      <c r="B195" s="330" t="n"/>
      <c r="C195" s="330" t="n"/>
      <c r="D195" s="330" t="n"/>
      <c r="E195" s="17" t="inlineStr">
        <is>
          <t>Регулярное проведение АБ-тестов: за 1 пг 2026 проведено 2 АБ-теста СБОЛ ЗЛС + в рамках КВУБ - 6 АБ-тестов.</t>
        </is>
      </c>
      <c r="F195" s="330" t="n"/>
      <c r="G195" s="330" t="n"/>
      <c r="H195" s="330" t="n"/>
      <c r="I195" s="330" t="n"/>
      <c r="J195" s="330" t="n"/>
      <c r="K195" s="70">
        <f>IF(A195="","",VLOOKUP(A:A,'[1]Невыполненные метрики'!$A:$B,2,0))</f>
        <v/>
      </c>
    </row>
    <row r="196" hidden="1" ht="15.95" customHeight="1" s="181">
      <c r="B196" s="330" t="n"/>
      <c r="C196" s="330" t="n"/>
      <c r="D196" s="330" t="n"/>
      <c r="E196" s="17" t="n"/>
      <c r="F196" s="330" t="n"/>
      <c r="G196" s="330" t="n"/>
      <c r="H196" s="330" t="n"/>
      <c r="I196" s="330" t="n"/>
      <c r="J196" s="330" t="n"/>
      <c r="K196" s="70">
        <f>IF(A196="","",VLOOKUP(A:A,'[1]Невыполненные метрики'!$A:$B,2,0))</f>
        <v/>
      </c>
    </row>
    <row r="197" hidden="1" ht="15.95" customHeight="1" s="181">
      <c r="B197" s="330" t="n"/>
      <c r="C197" s="330" t="n"/>
      <c r="D197" s="330" t="n"/>
      <c r="E197" s="17" t="inlineStr">
        <is>
          <t>Доп. инициативы сверх БП</t>
        </is>
      </c>
      <c r="F197" s="330" t="n"/>
      <c r="G197" s="330" t="n"/>
      <c r="H197" s="330" t="n"/>
      <c r="I197" s="330" t="n"/>
      <c r="J197" s="330" t="n"/>
      <c r="K197" s="70">
        <f>IF(A197="","",VLOOKUP(A:A,'[1]Невыполненные метрики'!$A:$B,2,0))</f>
        <v/>
      </c>
    </row>
    <row r="198" hidden="1" ht="15.95" customHeight="1" s="181">
      <c r="B198" s="330" t="n"/>
      <c r="C198" s="330" t="n"/>
      <c r="D198" s="330" t="n"/>
      <c r="E198" s="17" t="inlineStr">
        <is>
          <t>Текущее значение в дешборде  0%</t>
        </is>
      </c>
      <c r="F198" s="330" t="n"/>
      <c r="G198" s="330" t="n"/>
      <c r="H198" s="330" t="n"/>
      <c r="I198" s="330" t="n"/>
      <c r="J198" s="330" t="n"/>
      <c r="K198" s="70">
        <f>IF(A198="","",VLOOKUP(A:A,'[1]Невыполненные метрики'!$A:$B,2,0))</f>
        <v/>
      </c>
    </row>
    <row r="199" hidden="1" ht="15.95" customHeight="1" s="181">
      <c r="B199" s="332" t="n"/>
      <c r="C199" s="332" t="n"/>
      <c r="D199" s="332" t="n"/>
      <c r="E199" s="19" t="inlineStr">
        <is>
          <t xml:space="preserve">Мероприятие: синхронизация по методологии. </t>
        </is>
      </c>
      <c r="F199" s="332" t="n"/>
      <c r="G199" s="332" t="n"/>
      <c r="H199" s="332" t="n"/>
      <c r="I199" s="332" t="n"/>
      <c r="J199" s="332" t="n"/>
      <c r="K199" s="70">
        <f>IF(A199="","",VLOOKUP(A:A,'[1]Невыполненные метрики'!$A:$B,2,0))</f>
        <v/>
      </c>
    </row>
    <row r="200" hidden="1" ht="15.75" customHeight="1" s="181">
      <c r="A200" t="str">
        <f>CONCATENATE(B200,"_",D200)</f>
        <v>ЗЛС_Цели</v>
      </c>
      <c r="B200" s="1" t="inlineStr">
        <is>
          <t>ЗЛС</t>
        </is>
      </c>
      <c r="C200" s="1" t="inlineStr">
        <is>
          <t>4Q2026</t>
        </is>
      </c>
      <c r="D200" s="1" t="inlineStr">
        <is>
          <t>Цели</t>
        </is>
      </c>
      <c r="E200" s="7" t="inlineStr">
        <is>
          <t>Цели выведены на мониторинг</t>
        </is>
      </c>
      <c r="F200" s="1" t="inlineStr">
        <is>
          <t>Проведение встреч со Штабом УБ до 31.08.2026.</t>
        </is>
      </c>
      <c r="G200" s="2" t="n">
        <v>8</v>
      </c>
      <c r="H200" s="13" t="inlineStr">
        <is>
          <t>Ожидание</t>
        </is>
      </c>
      <c r="I200" s="1" t="inlineStr">
        <is>
          <t>Корпачева Надежда Олеговна, Мелихов Кирилл Сергеевич, Зазуля Екатерина Олеговна</t>
        </is>
      </c>
      <c r="J200" s="226" t="n"/>
      <c r="K200" s="179">
        <f>IF(A200="","",VLOOKUP(A:A,[2]Свод!$A:$B,2,0))</f>
        <v>8</v>
      </c>
    </row>
    <row r="201" hidden="1" s="181">
      <c r="B201" s="330" t="n"/>
      <c r="C201" s="330" t="n"/>
      <c r="D201" s="330" t="n"/>
      <c r="E201" s="17" t="inlineStr">
        <is>
          <t>Текущее значение в дешборде  0%</t>
        </is>
      </c>
      <c r="F201" s="330" t="n"/>
      <c r="G201" s="330" t="n"/>
      <c r="H201" s="330" t="n"/>
      <c r="I201" s="330" t="n"/>
      <c r="J201" s="331" t="n"/>
      <c r="K201" s="70">
        <f>IF(A201="","",VLOOKUP(A:A,'[1]Невыполненные метрики'!$A:$B,2,0))</f>
        <v/>
      </c>
    </row>
    <row r="202" hidden="1" s="181">
      <c r="B202" s="330" t="n"/>
      <c r="C202" s="330" t="n"/>
      <c r="D202" s="330" t="n"/>
      <c r="E202" s="19" t="inlineStr">
        <is>
          <t>Мероприятие: синхронизироваться со Штабом УБ</t>
        </is>
      </c>
      <c r="F202" s="330" t="n"/>
      <c r="G202" s="330" t="n"/>
      <c r="H202" s="330" t="n"/>
      <c r="I202" s="330" t="n"/>
      <c r="J202" s="331" t="n"/>
      <c r="K202" s="70">
        <f>IF(A202="","",VLOOKUP(A:A,'[1]Невыполненные метрики'!$A:$B,2,0))</f>
        <v/>
      </c>
    </row>
    <row r="203" hidden="1" s="181">
      <c r="B203" s="330" t="n"/>
      <c r="C203" s="330" t="n"/>
      <c r="D203" s="330" t="n"/>
      <c r="E203" s="20" t="inlineStr">
        <is>
          <t>Ссылка на отчет в Навигаторе: https://navigator.sigma.sbrf.ru/gdash/1000003899/1000039655?sSetGroup=7</t>
        </is>
      </c>
      <c r="F203" s="330" t="n"/>
      <c r="G203" s="330" t="n"/>
      <c r="H203" s="330" t="n"/>
      <c r="I203" s="330" t="n"/>
      <c r="J203" s="331" t="n"/>
      <c r="K203" s="70">
        <f>IF(A203="","",VLOOKUP(A:A,'[1]Невыполненные метрики'!$A:$B,2,0))</f>
        <v/>
      </c>
    </row>
    <row r="204" hidden="1" s="181">
      <c r="B204" s="330" t="n"/>
      <c r="C204" s="330" t="n"/>
      <c r="D204" s="330" t="n"/>
      <c r="E204" s="21" t="n"/>
      <c r="F204" s="330" t="n"/>
      <c r="G204" s="330" t="n"/>
      <c r="H204" s="330" t="n"/>
      <c r="I204" s="330" t="n"/>
      <c r="J204" s="331" t="n"/>
      <c r="K204" s="70">
        <f>IF(A204="","",VLOOKUP(A:A,'[1]Невыполненные метрики'!$A:$B,2,0))</f>
        <v/>
      </c>
    </row>
    <row r="205" hidden="1" s="181">
      <c r="B205" s="330" t="n"/>
      <c r="C205" s="330" t="n"/>
      <c r="D205" s="330" t="n"/>
      <c r="E205" s="17" t="inlineStr">
        <is>
          <t>Факторный анализ - драйверы 1-2 ур.</t>
        </is>
      </c>
      <c r="F205" s="330" t="n"/>
      <c r="G205" s="330" t="n"/>
      <c r="H205" s="330" t="n"/>
      <c r="I205" s="330" t="n"/>
      <c r="J205" s="331" t="n"/>
      <c r="K205" s="70">
        <f>IF(A205="","",VLOOKUP(A:A,'[1]Невыполненные метрики'!$A:$B,2,0))</f>
        <v/>
      </c>
    </row>
    <row r="206" hidden="1" s="181">
      <c r="B206" s="330" t="n"/>
      <c r="C206" s="330" t="n"/>
      <c r="D206" s="330" t="n"/>
      <c r="E206" s="17" t="inlineStr">
        <is>
          <t>Текущее значение в дешборде  0%</t>
        </is>
      </c>
      <c r="F206" s="330" t="n"/>
      <c r="G206" s="330" t="n"/>
      <c r="H206" s="330" t="n"/>
      <c r="I206" s="330" t="n"/>
      <c r="J206" s="331" t="n"/>
      <c r="K206" s="70">
        <f>IF(A206="","",VLOOKUP(A:A,'[1]Невыполненные метрики'!$A:$B,2,0))</f>
        <v/>
      </c>
    </row>
    <row r="207" hidden="1" s="181">
      <c r="B207" s="330" t="n"/>
      <c r="C207" s="330" t="n"/>
      <c r="D207" s="330" t="n"/>
      <c r="E207" s="19" t="inlineStr">
        <is>
          <t>Мероприятие: синхронизироваться со Штабом УБ</t>
        </is>
      </c>
      <c r="F207" s="330" t="n"/>
      <c r="G207" s="330" t="n"/>
      <c r="H207" s="330" t="n"/>
      <c r="I207" s="330" t="n"/>
      <c r="J207" s="331" t="n"/>
      <c r="K207" s="70">
        <f>IF(A207="","",VLOOKUP(A:A,'[1]Невыполненные метрики'!$A:$B,2,0))</f>
        <v/>
      </c>
    </row>
    <row r="208" hidden="1" s="181">
      <c r="B208" s="330" t="n"/>
      <c r="C208" s="330" t="n"/>
      <c r="D208" s="330" t="n"/>
      <c r="E208" s="17" t="inlineStr">
        <is>
          <t>Ссылки на отчет в Навигаторе:</t>
        </is>
      </c>
      <c r="F208" s="330" t="n"/>
      <c r="G208" s="330" t="n"/>
      <c r="H208" s="330" t="n"/>
      <c r="I208" s="330" t="n"/>
      <c r="J208" s="331" t="n"/>
      <c r="K208" s="70">
        <f>IF(A208="","",VLOOKUP(A:A,'[1]Невыполненные метрики'!$A:$B,2,0))</f>
        <v/>
      </c>
    </row>
    <row r="209" hidden="1" s="181">
      <c r="B209" s="330" t="n"/>
      <c r="C209" s="330" t="n"/>
      <c r="D209" s="330" t="n"/>
      <c r="E209" s="20" t="inlineStr">
        <is>
          <t>Отчет RR: https://navigator.sigma.sbrf.ru/gdash/1000001002/1000010105</t>
        </is>
      </c>
      <c r="F209" s="330" t="n"/>
      <c r="G209" s="330" t="n"/>
      <c r="H209" s="330" t="n"/>
      <c r="I209" s="330" t="n"/>
      <c r="J209" s="331" t="n"/>
      <c r="K209" s="70">
        <f>IF(A209="","",VLOOKUP(A:A,'[1]Невыполненные метрики'!$A:$B,2,0))</f>
        <v/>
      </c>
    </row>
    <row r="210" hidden="1" s="181">
      <c r="B210" s="330" t="n"/>
      <c r="C210" s="330" t="n"/>
      <c r="D210" s="330" t="n"/>
      <c r="E210" s="20" t="inlineStr">
        <is>
          <t>Модуль на клиента (факторный анализ): https://navigator.sigma.sbrf.ru/gdash/1000001002/1000010222</t>
        </is>
      </c>
      <c r="F210" s="330" t="n"/>
      <c r="G210" s="330" t="n"/>
      <c r="H210" s="330" t="n"/>
      <c r="I210" s="330" t="n"/>
      <c r="J210" s="331" t="n"/>
      <c r="K210" s="70">
        <f>IF(A210="","",VLOOKUP(A:A,'[1]Невыполненные метрики'!$A:$B,2,0))</f>
        <v/>
      </c>
    </row>
    <row r="211" hidden="1" s="181">
      <c r="B211" s="332" t="n"/>
      <c r="C211" s="332" t="n"/>
      <c r="D211" s="332" t="n"/>
      <c r="E211" s="20" t="inlineStr">
        <is>
          <t xml:space="preserve">Действующий факторный анализ: https://navigator.sigma.sbrf.ru/gdash/1000000820/1000007927 </t>
        </is>
      </c>
      <c r="F211" s="332" t="n"/>
      <c r="G211" s="332" t="n"/>
      <c r="H211" s="332" t="n"/>
      <c r="I211" s="332" t="n"/>
      <c r="J211" s="331" t="n"/>
      <c r="K211" s="70">
        <f>IF(A211="","",VLOOKUP(A:A,'[1]Невыполненные метрики'!$A:$B,2,0))</f>
        <v/>
      </c>
    </row>
    <row r="212" hidden="1" s="181">
      <c r="A212" t="str">
        <f>CONCATENATE(B212,"_",D212)</f>
        <v>ЗЛС_Воронка оттока</v>
      </c>
      <c r="B212" s="1" t="inlineStr">
        <is>
          <t>ЗЛС</t>
        </is>
      </c>
      <c r="C212" s="1" t="inlineStr">
        <is>
          <t>4Q2026</t>
        </is>
      </c>
      <c r="D212" s="1" t="inlineStr">
        <is>
          <t>Воронка оттока</t>
        </is>
      </c>
      <c r="E212" s="7" t="inlineStr">
        <is>
          <t>Полнота отчета</t>
        </is>
      </c>
      <c r="F212" s="1" t="inlineStr">
        <is>
          <t>Проведение встреч со Штабом УБ до 31.08.2026.</t>
        </is>
      </c>
      <c r="G212" s="2" t="n">
        <v>6</v>
      </c>
      <c r="H212" s="13" t="inlineStr">
        <is>
          <t>Ожидание</t>
        </is>
      </c>
      <c r="I212" s="1" t="inlineStr">
        <is>
          <t>Корпачева Надежда Олеговна, Мелихов Кирилл Сергеевич, Зазуля Екатерина Олеговна</t>
        </is>
      </c>
      <c r="J212" s="222" t="n"/>
      <c r="K212" s="179">
        <f>IF(A212="","",VLOOKUP(A:A,[2]Свод!$A:$B,2,0))</f>
        <v>6</v>
      </c>
    </row>
    <row r="213" hidden="1" s="181">
      <c r="B213" s="330" t="n"/>
      <c r="C213" s="330" t="n"/>
      <c r="D213" s="330" t="n"/>
      <c r="E213" s="17" t="inlineStr">
        <is>
          <t>Текущее значение в дешборде  0%</t>
        </is>
      </c>
      <c r="F213" s="330" t="n"/>
      <c r="G213" s="330" t="n"/>
      <c r="H213" s="330" t="n"/>
      <c r="I213" s="330" t="n"/>
      <c r="J213" s="331" t="n"/>
      <c r="K213" s="70">
        <f>IF(A213="","",VLOOKUP(A:A,'[1]Невыполненные метрики'!$A:$B,2,0))</f>
        <v/>
      </c>
    </row>
    <row r="214" hidden="1" s="181">
      <c r="B214" s="330" t="n"/>
      <c r="C214" s="330" t="n"/>
      <c r="D214" s="330" t="n"/>
      <c r="E214" s="20" t="inlineStr">
        <is>
          <t>Отчет в Навигаторе - CR: https://navigator.sigma.sbrf.ru/gdash/1000000820/1000012918?period=2026-06-01%7C%7C%7C2026-06-30</t>
        </is>
      </c>
      <c r="F214" s="330" t="n"/>
      <c r="G214" s="330" t="n"/>
      <c r="H214" s="330" t="n"/>
      <c r="I214" s="330" t="n"/>
      <c r="J214" s="331" t="n"/>
      <c r="K214" s="70">
        <f>IF(A214="","",VLOOKUP(A:A,'[1]Невыполненные метрики'!$A:$B,2,0))</f>
        <v/>
      </c>
    </row>
    <row r="215" hidden="1" s="181">
      <c r="B215" s="330" t="n"/>
      <c r="C215" s="330" t="n"/>
      <c r="D215" s="330" t="n"/>
      <c r="E215" s="20" t="inlineStr">
        <is>
          <t>Отчет в Навигаторе  - удержание: https://navigator.sigma.sbrf.ru/gdash/1000000826/1000008041</t>
        </is>
      </c>
      <c r="F215" s="330" t="n"/>
      <c r="G215" s="330" t="n"/>
      <c r="H215" s="330" t="n"/>
      <c r="I215" s="330" t="n"/>
      <c r="J215" s="331" t="n"/>
      <c r="K215" s="70">
        <f>IF(A215="","",VLOOKUP(A:A,'[1]Невыполненные метрики'!$A:$B,2,0))</f>
        <v/>
      </c>
    </row>
    <row r="216" hidden="1" s="181">
      <c r="B216" s="330" t="n"/>
      <c r="C216" s="330" t="n"/>
      <c r="D216" s="330" t="n"/>
      <c r="E216" s="21" t="n"/>
      <c r="F216" s="330" t="n"/>
      <c r="G216" s="330" t="n"/>
      <c r="H216" s="330" t="n"/>
      <c r="I216" s="330" t="n"/>
      <c r="J216" s="331" t="n"/>
      <c r="K216" s="70">
        <f>IF(A216="","",VLOOKUP(A:A,'[1]Невыполненные метрики'!$A:$B,2,0))</f>
        <v/>
      </c>
    </row>
    <row r="217" hidden="1" s="181">
      <c r="B217" s="330" t="n"/>
      <c r="C217" s="330" t="n"/>
      <c r="D217" s="330" t="n"/>
      <c r="E217" s="17" t="inlineStr">
        <is>
          <t>Проведение комплексного анализа воронки оттока</t>
        </is>
      </c>
      <c r="F217" s="330" t="n"/>
      <c r="G217" s="330" t="n"/>
      <c r="H217" s="330" t="n"/>
      <c r="I217" s="330" t="n"/>
      <c r="J217" s="331" t="n"/>
      <c r="K217" s="70">
        <f>IF(A217="","",VLOOKUP(A:A,'[1]Невыполненные метрики'!$A:$B,2,0))</f>
        <v/>
      </c>
    </row>
    <row r="218" hidden="1" s="181">
      <c r="B218" s="330" t="n"/>
      <c r="C218" s="330" t="n"/>
      <c r="D218" s="330" t="n"/>
      <c r="E218" s="17" t="inlineStr">
        <is>
          <t>Текущее значение в дешборде  50%</t>
        </is>
      </c>
      <c r="F218" s="330" t="n"/>
      <c r="G218" s="330" t="n"/>
      <c r="H218" s="330" t="n"/>
      <c r="I218" s="330" t="n"/>
      <c r="J218" s="331" t="n"/>
      <c r="K218" s="70">
        <f>IF(A218="","",VLOOKUP(A:A,'[1]Невыполненные метрики'!$A:$B,2,0))</f>
        <v/>
      </c>
    </row>
    <row r="219" hidden="1" s="181">
      <c r="B219" s="330" t="n"/>
      <c r="C219" s="330" t="n"/>
      <c r="D219" s="330" t="n"/>
      <c r="E219" s="17" t="inlineStr">
        <is>
          <t>Мероприятие: синхронизироваться по методолгии со Штабом УБ</t>
        </is>
      </c>
      <c r="F219" s="330" t="n"/>
      <c r="G219" s="330" t="n"/>
      <c r="H219" s="330" t="n"/>
      <c r="I219" s="330" t="n"/>
      <c r="J219" s="331" t="n"/>
      <c r="K219" s="70">
        <f>IF(A219="","",VLOOKUP(A:A,'[1]Невыполненные метрики'!$A:$B,2,0))</f>
        <v/>
      </c>
    </row>
    <row r="220" hidden="1" s="181">
      <c r="B220" s="330" t="n"/>
      <c r="C220" s="330" t="n"/>
      <c r="D220" s="330" t="n"/>
      <c r="E220" s="17" t="n"/>
      <c r="F220" s="330" t="n"/>
      <c r="G220" s="330" t="n"/>
      <c r="H220" s="330" t="n"/>
      <c r="I220" s="330" t="n"/>
      <c r="J220" s="331" t="n"/>
      <c r="K220" s="70">
        <f>IF(A220="","",VLOOKUP(A:A,'[1]Невыполненные метрики'!$A:$B,2,0))</f>
        <v/>
      </c>
    </row>
    <row r="221" hidden="1" s="181">
      <c r="B221" s="330" t="n"/>
      <c r="C221" s="330" t="n"/>
      <c r="D221" s="330" t="n"/>
      <c r="E221" s="17" t="inlineStr">
        <is>
          <t>Наличие бенчмарков</t>
        </is>
      </c>
      <c r="F221" s="330" t="n"/>
      <c r="G221" s="330" t="n"/>
      <c r="H221" s="330" t="n"/>
      <c r="I221" s="330" t="n"/>
      <c r="J221" s="331" t="n"/>
      <c r="K221" s="70">
        <f>IF(A221="","",VLOOKUP(A:A,'[1]Невыполненные метрики'!$A:$B,2,0))</f>
        <v/>
      </c>
    </row>
    <row r="222" hidden="1" s="181">
      <c r="B222" s="330" t="n"/>
      <c r="C222" s="330" t="n"/>
      <c r="D222" s="330" t="n"/>
      <c r="E222" s="17" t="inlineStr">
        <is>
          <t>Текущее значение в дешборде  0%</t>
        </is>
      </c>
      <c r="F222" s="330" t="n"/>
      <c r="G222" s="330" t="n"/>
      <c r="H222" s="330" t="n"/>
      <c r="I222" s="330" t="n"/>
      <c r="J222" s="331" t="n"/>
      <c r="K222" s="70">
        <f>IF(A222="","",VLOOKUP(A:A,'[1]Невыполненные метрики'!$A:$B,2,0))</f>
        <v/>
      </c>
    </row>
    <row r="223" hidden="1" s="181">
      <c r="B223" s="332" t="n"/>
      <c r="C223" s="332" t="n"/>
      <c r="D223" s="332" t="n"/>
      <c r="E223" s="17" t="inlineStr">
        <is>
          <t>Мероприятия: сихронизироваться по методолгии со Штабом УБ, В2С, СБС.</t>
        </is>
      </c>
      <c r="F223" s="332" t="n"/>
      <c r="G223" s="332" t="n"/>
      <c r="H223" s="332" t="n"/>
      <c r="I223" s="332" t="n"/>
      <c r="J223" s="331" t="n"/>
      <c r="K223" s="70">
        <f>IF(A223="","",VLOOKUP(A:A,'[1]Невыполненные метрики'!$A:$B,2,0))</f>
        <v/>
      </c>
    </row>
    <row r="224" hidden="1" ht="27" customHeight="1" s="181">
      <c r="A224" t="str">
        <f>CONCATENATE(B224,"_",D224)</f>
        <v>ЗЛС_Механики</v>
      </c>
      <c r="B224" s="1" t="inlineStr">
        <is>
          <t>ЗЛС</t>
        </is>
      </c>
      <c r="C224" s="1" t="inlineStr">
        <is>
          <t>4Q2026</t>
        </is>
      </c>
      <c r="D224" s="1" t="inlineStr">
        <is>
          <t>Механики</t>
        </is>
      </c>
      <c r="E224" s="7" t="inlineStr">
        <is>
          <t>Возврат клиентов</t>
        </is>
      </c>
      <c r="F224" s="1" t="inlineStr">
        <is>
          <t>Проведение встреч со Штабом УБ до 31.08.2026.</t>
        </is>
      </c>
      <c r="G224" s="2" t="n">
        <v>8</v>
      </c>
      <c r="H224" s="13" t="inlineStr">
        <is>
          <t>Ожидание</t>
        </is>
      </c>
      <c r="I224" s="1" t="inlineStr">
        <is>
          <t>Корпачева Надежда Олеговна, Мелихов Кирилл Сергеевич, Зазуля Екатерина Олеговна</t>
        </is>
      </c>
      <c r="J224" s="201" t="inlineStr">
        <is>
          <t>Не понятно, какие именно механники имеются ввиду</t>
        </is>
      </c>
      <c r="K224" s="179">
        <f>IF(A224="","",VLOOKUP(A:A,[2]Свод!$A:$B,2,0))</f>
        <v>8</v>
      </c>
    </row>
    <row r="225" hidden="1" s="181">
      <c r="B225" s="330" t="n"/>
      <c r="C225" s="330" t="n"/>
      <c r="D225" s="330" t="n"/>
      <c r="E225" s="17" t="inlineStr">
        <is>
          <t>Текущее значение в дешборде  50%</t>
        </is>
      </c>
      <c r="F225" s="330" t="n"/>
      <c r="G225" s="330" t="n"/>
      <c r="H225" s="330" t="n"/>
      <c r="I225" s="330" t="n"/>
      <c r="J225" s="331" t="n"/>
      <c r="K225" s="70">
        <f>IF(A225="","",VLOOKUP(A:A,'[1]Невыполненные метрики'!$A:$B,2,0))</f>
        <v/>
      </c>
    </row>
    <row r="226" hidden="1" s="181">
      <c r="B226" s="330" t="n"/>
      <c r="C226" s="330" t="n"/>
      <c r="D226" s="330" t="n"/>
      <c r="E226" s="17" t="inlineStr">
        <is>
          <t>По продукту существует: подключение АП на карточке продукта, оплата очередного взноса в 1 клик, пролонгация.</t>
        </is>
      </c>
      <c r="F226" s="330" t="n"/>
      <c r="G226" s="330" t="n"/>
      <c r="H226" s="330" t="n"/>
      <c r="I226" s="330" t="n"/>
      <c r="J226" s="331" t="n"/>
      <c r="K226" s="70">
        <f>IF(A226="","",VLOOKUP(A:A,'[1]Невыполненные метрики'!$A:$B,2,0))</f>
        <v/>
      </c>
    </row>
    <row r="227" hidden="1" s="181">
      <c r="B227" s="330" t="n"/>
      <c r="C227" s="330" t="n"/>
      <c r="D227" s="330" t="n"/>
      <c r="E227" s="19" t="inlineStr">
        <is>
          <t>Мероприятие: синхронизироваться по методолгии со Штабом УБ</t>
        </is>
      </c>
      <c r="F227" s="330" t="n"/>
      <c r="G227" s="330" t="n"/>
      <c r="H227" s="330" t="n"/>
      <c r="I227" s="330" t="n"/>
      <c r="J227" s="331" t="n"/>
      <c r="K227" s="70">
        <f>IF(A227="","",VLOOKUP(A:A,'[1]Невыполненные метрики'!$A:$B,2,0))</f>
        <v/>
      </c>
    </row>
    <row r="228" hidden="1" s="181">
      <c r="B228" s="330" t="n"/>
      <c r="C228" s="330" t="n"/>
      <c r="D228" s="330" t="n"/>
      <c r="E228" s="17" t="n"/>
      <c r="F228" s="330" t="n"/>
      <c r="G228" s="330" t="n"/>
      <c r="H228" s="330" t="n"/>
      <c r="I228" s="330" t="n"/>
      <c r="J228" s="331" t="n"/>
      <c r="K228" s="70">
        <f>IF(A228="","",VLOOKUP(A:A,'[1]Невыполненные метрики'!$A:$B,2,0))</f>
        <v/>
      </c>
    </row>
    <row r="229" hidden="1" s="181">
      <c r="B229" s="330" t="n"/>
      <c r="C229" s="330" t="n"/>
      <c r="D229" s="330" t="n"/>
      <c r="E229" s="17" t="inlineStr">
        <is>
          <t>Гибкое изменение условий продукта</t>
        </is>
      </c>
      <c r="F229" s="330" t="n"/>
      <c r="G229" s="330" t="n"/>
      <c r="H229" s="330" t="n"/>
      <c r="I229" s="330" t="n"/>
      <c r="J229" s="331" t="n"/>
      <c r="K229" s="70">
        <f>IF(A229="","",VLOOKUP(A:A,'[1]Невыполненные метрики'!$A:$B,2,0))</f>
        <v/>
      </c>
    </row>
    <row r="230" hidden="1" s="181">
      <c r="B230" s="330" t="n"/>
      <c r="C230" s="330" t="n"/>
      <c r="D230" s="330" t="n"/>
      <c r="E230" s="17" t="inlineStr">
        <is>
          <t>Текущее значение в дешборде  0%</t>
        </is>
      </c>
      <c r="F230" s="330" t="n"/>
      <c r="G230" s="330" t="n"/>
      <c r="H230" s="330" t="n"/>
      <c r="I230" s="330" t="n"/>
      <c r="J230" s="331" t="n"/>
      <c r="K230" s="70">
        <f>IF(A230="","",VLOOKUP(A:A,'[1]Невыполненные метрики'!$A:$B,2,0))</f>
        <v/>
      </c>
    </row>
    <row r="231" hidden="1" s="181">
      <c r="B231" s="330" t="n"/>
      <c r="C231" s="330" t="n"/>
      <c r="D231" s="330" t="n"/>
      <c r="E231" s="17" t="inlineStr">
        <is>
          <t>Продукт 360 и страховой конвейер.</t>
        </is>
      </c>
      <c r="F231" s="330" t="n"/>
      <c r="G231" s="330" t="n"/>
      <c r="H231" s="330" t="n"/>
      <c r="I231" s="330" t="n"/>
      <c r="J231" s="331" t="n"/>
      <c r="K231" s="70">
        <f>IF(A231="","",VLOOKUP(A:A,'[1]Невыполненные метрики'!$A:$B,2,0))</f>
        <v/>
      </c>
    </row>
    <row r="232" hidden="1" s="181">
      <c r="B232" s="330" t="n"/>
      <c r="C232" s="330" t="n"/>
      <c r="D232" s="330" t="n"/>
      <c r="E232" s="17" t="n"/>
      <c r="F232" s="330" t="n"/>
      <c r="G232" s="330" t="n"/>
      <c r="H232" s="330" t="n"/>
      <c r="I232" s="330" t="n"/>
      <c r="J232" s="331" t="n"/>
      <c r="K232" s="70">
        <f>IF(A232="","",VLOOKUP(A:A,'[1]Невыполненные метрики'!$A:$B,2,0))</f>
        <v/>
      </c>
    </row>
    <row r="233" hidden="1" s="181">
      <c r="B233" s="330" t="n"/>
      <c r="C233" s="330" t="n"/>
      <c r="D233" s="330" t="n"/>
      <c r="E233" s="17" t="inlineStr">
        <is>
          <t>Cross-sell</t>
        </is>
      </c>
      <c r="F233" s="330" t="n"/>
      <c r="G233" s="330" t="n"/>
      <c r="H233" s="330" t="n"/>
      <c r="I233" s="330" t="n"/>
      <c r="J233" s="331" t="n"/>
      <c r="K233" s="70">
        <f>IF(A233="","",VLOOKUP(A:A,'[1]Невыполненные метрики'!$A:$B,2,0))</f>
        <v/>
      </c>
    </row>
    <row r="234" hidden="1" s="181">
      <c r="B234" s="330" t="n"/>
      <c r="C234" s="330" t="n"/>
      <c r="D234" s="330" t="n"/>
      <c r="E234" s="17" t="inlineStr">
        <is>
          <t>Текущее значение в дешборде  50%</t>
        </is>
      </c>
      <c r="F234" s="330" t="n"/>
      <c r="G234" s="330" t="n"/>
      <c r="H234" s="330" t="n"/>
      <c r="I234" s="330" t="n"/>
      <c r="J234" s="331" t="n"/>
      <c r="K234" s="70">
        <f>IF(A234="","",VLOOKUP(A:A,'[1]Невыполненные метрики'!$A:$B,2,0))</f>
        <v/>
      </c>
    </row>
    <row r="235" hidden="1" s="181">
      <c r="B235" s="332" t="n"/>
      <c r="C235" s="332" t="n"/>
      <c r="D235" s="332" t="n"/>
      <c r="E235" s="19" t="inlineStr">
        <is>
          <t>Не применимо для продукта ЗЛС.</t>
        </is>
      </c>
      <c r="F235" s="332" t="n"/>
      <c r="G235" s="332" t="n"/>
      <c r="H235" s="332" t="n"/>
      <c r="I235" s="332" t="n"/>
      <c r="J235" s="331" t="n"/>
      <c r="K235" s="70">
        <f>IF(A235="","",VLOOKUP(A:A,'[1]Невыполненные метрики'!$A:$B,2,0))</f>
        <v/>
      </c>
    </row>
    <row r="236" hidden="1" s="181">
      <c r="A236" t="str">
        <f>CONCATENATE(B236,"_",D236)</f>
        <v>ЗПИФ_Знание ключевых метрик</v>
      </c>
      <c r="B236" s="1" t="inlineStr">
        <is>
          <t>ЗПИФ</t>
        </is>
      </c>
      <c r="C236" s="1" t="inlineStr">
        <is>
          <t>3Q2026</t>
        </is>
      </c>
      <c r="D236" s="1" t="inlineStr">
        <is>
          <t>Знание ключевых метрик</t>
        </is>
      </c>
      <c r="E236" s="1" t="inlineStr">
        <is>
          <t>Проработано понимание доступной отчетности и регулярного мониторинга</t>
        </is>
      </c>
      <c r="F236" s="4" t="n">
        <v>46239</v>
      </c>
      <c r="G236" s="2" t="n">
        <v>3.4</v>
      </c>
      <c r="H236" s="14" t="inlineStr">
        <is>
          <t>Выполнен</t>
        </is>
      </c>
      <c r="I236" s="1" t="inlineStr">
        <is>
          <t>Зырянская Валерия Юрьевна</t>
        </is>
      </c>
      <c r="K236" s="179">
        <f>IF(A236="","",VLOOKUP(A:A,[2]Свод!$A:$B,2,0))</f>
        <v>3.4000000000000004</v>
      </c>
    </row>
    <row r="237" hidden="1" s="181">
      <c r="A237" t="str">
        <f>CONCATENATE(B237,"_",D237)</f>
        <v>ЗПИФ_Воронка привлечения</v>
      </c>
      <c r="B237" s="1" t="inlineStr">
        <is>
          <t>ЗПИФ</t>
        </is>
      </c>
      <c r="C237" s="1" t="inlineStr">
        <is>
          <t>3Q2026</t>
        </is>
      </c>
      <c r="D237" s="1" t="inlineStr">
        <is>
          <t>Воронка привлечения</t>
        </is>
      </c>
      <c r="E237" s="1" t="inlineStr">
        <is>
          <t>Настроить отчетность по воронке привлечения</t>
        </is>
      </c>
      <c r="F237" s="4" t="n">
        <v>46265</v>
      </c>
      <c r="G237" s="2" t="n">
        <v>1</v>
      </c>
      <c r="H237" s="12" t="inlineStr">
        <is>
          <t>В работе</t>
        </is>
      </c>
      <c r="I237" s="1" t="inlineStr">
        <is>
          <t>Зырянская Валерия Юрьевна</t>
        </is>
      </c>
      <c r="K237" s="179">
        <f>IF(A237="","",VLOOKUP(A:A,[2]Свод!$A:$B,2,0))</f>
        <v>8</v>
      </c>
    </row>
    <row r="238" hidden="1" ht="27" customHeight="1" s="181">
      <c r="A238" t="str">
        <f>CONCATENATE(B238,"_",D238)</f>
        <v>ЗПИФ_Воронка оттока</v>
      </c>
      <c r="B238" s="1" t="inlineStr">
        <is>
          <t>ЗПИФ</t>
        </is>
      </c>
      <c r="C238" s="1" t="inlineStr">
        <is>
          <t>3Q2026</t>
        </is>
      </c>
      <c r="D238" s="1" t="inlineStr">
        <is>
          <t>Воронка оттока</t>
        </is>
      </c>
      <c r="E238" s="1" t="inlineStr">
        <is>
          <t>Провести комплексный анализ воронки оттока (пошаговая воронка, CTR, объёмы, сегментный или когортный разрез, retention, механики удержания, UX/UI).</t>
        </is>
      </c>
      <c r="F238" s="4" t="n">
        <v>46295</v>
      </c>
      <c r="G238" s="2" t="n">
        <v>2</v>
      </c>
      <c r="H238" s="12" t="inlineStr">
        <is>
          <t>В работе</t>
        </is>
      </c>
      <c r="I238" s="1" t="inlineStr">
        <is>
          <t>Зырянская Валерия Юрьевна</t>
        </is>
      </c>
      <c r="K238" s="179">
        <f>IF(A238="","",VLOOKUP(A:A,[2]Свод!$A:$B,2,0))</f>
        <v>2</v>
      </c>
    </row>
    <row r="239" hidden="1" ht="30.75" customHeight="1" s="181">
      <c r="A239" t="str">
        <f>CONCATENATE(B239,"_",D239)</f>
        <v>ЗПИФ_Цели</v>
      </c>
      <c r="B239" s="1" t="inlineStr">
        <is>
          <t>ЗПИФ</t>
        </is>
      </c>
      <c r="C239" s="1" t="inlineStr">
        <is>
          <t>4Q2026</t>
        </is>
      </c>
      <c r="D239" s="1" t="inlineStr">
        <is>
          <t>Цели</t>
        </is>
      </c>
      <c r="E239" s="1" t="inlineStr">
        <is>
          <t>Совместно со штабом вывести в навигатор драйверы согласно модели бизнес-планирования</t>
        </is>
      </c>
      <c r="F239" s="4" t="n">
        <v>46325</v>
      </c>
      <c r="G239" s="2" t="n">
        <v>3.9</v>
      </c>
      <c r="H239" s="13" t="inlineStr">
        <is>
          <t>Ожидание</t>
        </is>
      </c>
      <c r="I239" s="1" t="inlineStr">
        <is>
          <t>Зырянская Валерия Юрьевна</t>
        </is>
      </c>
      <c r="K239" s="179">
        <f>IF(A239="","",VLOOKUP(A:A,[2]Свод!$A:$B,2,0))</f>
        <v>4</v>
      </c>
    </row>
    <row r="240" hidden="1" s="181">
      <c r="A240" t="str">
        <f>CONCATENATE(B240,"_",D240)</f>
        <v>ЗПИФ_Гипотезы и инициативы</v>
      </c>
      <c r="B240" s="1" t="inlineStr">
        <is>
          <t>ЗПИФ</t>
        </is>
      </c>
      <c r="C240" s="1" t="inlineStr">
        <is>
          <t>4Q2026</t>
        </is>
      </c>
      <c r="D240" s="1" t="inlineStr">
        <is>
          <t>Гипотезы и инициативы</t>
        </is>
      </c>
      <c r="E240" s="1" t="inlineStr">
        <is>
          <t>Повысить качество проведенных исследований</t>
        </is>
      </c>
      <c r="F240" s="4" t="n">
        <v>46341</v>
      </c>
      <c r="G240" s="2" t="n">
        <v>3.9</v>
      </c>
      <c r="H240" s="12" t="inlineStr">
        <is>
          <t>В работе</t>
        </is>
      </c>
      <c r="I240" s="1" t="inlineStr">
        <is>
          <t>Зырянская Валерия Юрьевна</t>
        </is>
      </c>
      <c r="K240" s="179">
        <f>IF(A240="","",VLOOKUP(A:A,[2]Свод!$A:$B,2,0))</f>
        <v>8</v>
      </c>
    </row>
    <row r="241" hidden="1" s="181">
      <c r="A241" t="str">
        <f>CONCATENATE(B241,"_",D241)</f>
        <v>ЗПИФ_Механики</v>
      </c>
      <c r="B241" s="1" t="inlineStr">
        <is>
          <t>ЗПИФ</t>
        </is>
      </c>
      <c r="C241" s="1" t="inlineStr">
        <is>
          <t>3Q2026</t>
        </is>
      </c>
      <c r="D241" s="1" t="inlineStr">
        <is>
          <t>Механики</t>
        </is>
      </c>
      <c r="E241" s="1" t="inlineStr">
        <is>
          <t>Изменим условия с персонализацией до клиентских подсегментов</t>
        </is>
      </c>
      <c r="F241" s="4" t="n">
        <v>46295</v>
      </c>
      <c r="G241" s="6" t="n">
        <v>2</v>
      </c>
      <c r="H241" s="12" t="inlineStr">
        <is>
          <t>В работе</t>
        </is>
      </c>
      <c r="I241" s="1" t="inlineStr">
        <is>
          <t>Зырянская Валерия Юрьевна</t>
        </is>
      </c>
      <c r="K241" s="179">
        <f>IF(A241="","",VLOOKUP(A:A,[2]Свод!$A:$B,2,0))</f>
        <v>4</v>
      </c>
    </row>
    <row r="242" hidden="1" s="181">
      <c r="A242" t="str">
        <f>CONCATENATE(B242,"_",D242)</f>
        <v>ЗПИФ_Механики</v>
      </c>
      <c r="B242" s="1" t="inlineStr">
        <is>
          <t>ЗПИФ</t>
        </is>
      </c>
      <c r="C242" s="1" t="inlineStr">
        <is>
          <t>3Q2026</t>
        </is>
      </c>
      <c r="D242" s="1" t="inlineStr">
        <is>
          <t>Механики</t>
        </is>
      </c>
      <c r="E242" s="1" t="inlineStr">
        <is>
          <t>Настроенны механики  возврата клиентов через создание ценности продукта</t>
        </is>
      </c>
      <c r="F242" s="4" t="n">
        <v>46239</v>
      </c>
      <c r="G242" s="6" t="n">
        <v>2</v>
      </c>
      <c r="H242" s="14" t="inlineStr">
        <is>
          <t>Выполнен</t>
        </is>
      </c>
      <c r="I242" s="1" t="inlineStr">
        <is>
          <t>Зырянская Валерия Юрьевна</t>
        </is>
      </c>
      <c r="K242" s="179">
        <f>IF(A242="","",VLOOKUP(A:A,[2]Свод!$A:$B,2,0))</f>
        <v>4</v>
      </c>
    </row>
    <row r="243" hidden="1" ht="27" customHeight="1" s="181">
      <c r="A243" t="str">
        <f>CONCATENATE(B243,"_",D243)</f>
        <v>ИнвестКопилка_Знание ключевых метрик</v>
      </c>
      <c r="B243" s="1" t="inlineStr">
        <is>
          <t>ИнвестКопилка</t>
        </is>
      </c>
      <c r="C243" s="1" t="inlineStr">
        <is>
          <t>3Q2026</t>
        </is>
      </c>
      <c r="D243" s="1" t="inlineStr">
        <is>
          <t>Знание ключевых метрик</t>
        </is>
      </c>
      <c r="E243" s="294" t="inlineStr">
        <is>
          <t>Объем целевого рынка в Сбере + Клиенты с продуктом. Задача: Свести статистику потенциала сервиса ИнвестКопилки и пересчитать показатели дешборда DD. На стороне ИнвестКопилки.</t>
        </is>
      </c>
      <c r="F243" s="4" t="n">
        <v>46295</v>
      </c>
      <c r="G243" s="6" t="n">
        <v>3</v>
      </c>
      <c r="H243" s="12" t="inlineStr">
        <is>
          <t>В работе</t>
        </is>
      </c>
      <c r="I243" s="294" t="inlineStr">
        <is>
          <t>Коробова Екатерина Вадимовна</t>
        </is>
      </c>
      <c r="K243" s="179">
        <f>IF(A243="","",VLOOKUP(A:A,[2]Свод!$A:$B,2,0))</f>
        <v>3</v>
      </c>
    </row>
    <row r="244" hidden="1" ht="76.5" customHeight="1" s="181">
      <c r="A244" t="str">
        <f>CONCATENATE(B244,"_",D244)</f>
        <v>ИнвестКопилка_Цели</v>
      </c>
      <c r="B244" s="1" t="inlineStr">
        <is>
          <t>ИнвестКопилка</t>
        </is>
      </c>
      <c r="C244" s="1" t="inlineStr">
        <is>
          <t>3Q2026</t>
        </is>
      </c>
      <c r="D244" s="1" t="inlineStr">
        <is>
          <t>Цели</t>
        </is>
      </c>
      <c r="E244" s="294" t="inlineStr">
        <is>
          <t>Факторный анализ = драйверы 1-2 ур. Задача: В мастер-дэше нет целей продукта - выведены цели ЛЮ/ЛТ, ссылку на детальный дашборд добавляем в 3м квартале (цели ЛТ), надо синхронизировать методологию учета по вопросу. На стороне Штаба УБ + ИнвестКопика</t>
        </is>
      </c>
      <c r="F244" s="4" t="n">
        <v>46295</v>
      </c>
      <c r="G244" s="218" t="n">
        <v>4.7</v>
      </c>
      <c r="H244" s="12" t="inlineStr">
        <is>
          <t>В работе</t>
        </is>
      </c>
      <c r="I244" s="294" t="inlineStr">
        <is>
          <t>Коробова Екатерина Вадимовна</t>
        </is>
      </c>
      <c r="K244" s="179">
        <f>IF(A244="","",VLOOKUP(A:A,[2]Свод!$A:$B,2,0))</f>
        <v>7.1</v>
      </c>
    </row>
    <row r="245" hidden="1" ht="57.75" customHeight="1" s="181">
      <c r="A245" t="str">
        <f>CONCATENATE(B245,"_",D245)</f>
        <v>ИнвестКопилка_Воронка оттока</v>
      </c>
      <c r="B245" s="1" t="inlineStr">
        <is>
          <t>ИнвестКопилка</t>
        </is>
      </c>
      <c r="C245" s="1" t="inlineStr">
        <is>
          <t>3Q2026</t>
        </is>
      </c>
      <c r="D245" s="1" t="inlineStr">
        <is>
          <t>Воронка оттока</t>
        </is>
      </c>
      <c r="E245" s="294" t="inlineStr">
        <is>
          <t>Полнота отчетности + Проведение комплексного анализа воронок оттока. Задача: завести в Навигатор дэшборды анализа Retention, CR, удержание + подробная аналитика оттока. На стороне ИнвестКопилки</t>
        </is>
      </c>
      <c r="F245" s="4" t="n">
        <v>46295</v>
      </c>
      <c r="G245" s="218" t="n">
        <v>4.8</v>
      </c>
      <c r="H245" s="12" t="inlineStr">
        <is>
          <t>В работе</t>
        </is>
      </c>
      <c r="I245" s="294" t="inlineStr">
        <is>
          <t>Коробова Екатерина Вадимовна</t>
        </is>
      </c>
      <c r="K245" s="179">
        <f>IF(A245="","",VLOOKUP(A:A,[2]Свод!$A:$B,2,0))</f>
        <v>4.8</v>
      </c>
    </row>
    <row r="246" hidden="1" ht="33" customHeight="1" s="181">
      <c r="A246" t="str">
        <f>CONCATENATE(B246,"_",D246)</f>
        <v>ИнвестКопилка_Алерты</v>
      </c>
      <c r="B246" s="1" t="inlineStr">
        <is>
          <t>ИнвестКопилка</t>
        </is>
      </c>
      <c r="C246" s="1" t="inlineStr">
        <is>
          <t>3Q2026</t>
        </is>
      </c>
      <c r="D246" s="1" t="inlineStr">
        <is>
          <t>Алерты</t>
        </is>
      </c>
      <c r="E246" s="294" t="inlineStr">
        <is>
          <t>Оповещение по бизнес-метрикам. Нерелевантно для нашего сервиса. Просим убрать метрику с нашего дэшборда.</t>
        </is>
      </c>
      <c r="F246" s="4" t="n">
        <v>46295</v>
      </c>
      <c r="G246" s="218" t="n">
        <v>4.7</v>
      </c>
      <c r="H246" s="12" t="inlineStr">
        <is>
          <t>В работе</t>
        </is>
      </c>
      <c r="I246" s="294" t="inlineStr">
        <is>
          <t>Коробова Екатерина Вадимовна</t>
        </is>
      </c>
      <c r="J246" s="294" t="inlineStr">
        <is>
          <t>Не понятна причина- прошу Штаб УБ прокомментировать</t>
        </is>
      </c>
      <c r="K246" s="179">
        <f>IF(A246="","",VLOOKUP(A:A,[2]Свод!$A:$B,2,0))</f>
        <v>4.7</v>
      </c>
    </row>
    <row r="247" hidden="1" ht="49.5" customHeight="1" s="181">
      <c r="A247" t="str">
        <f>CONCATENATE(B247,"_",D247)</f>
        <v>ИнвестКопилка_Механики</v>
      </c>
      <c r="B247" s="1" t="inlineStr">
        <is>
          <t>ИнвестКопилка</t>
        </is>
      </c>
      <c r="C247" s="1" t="inlineStr">
        <is>
          <t>3Q2026</t>
        </is>
      </c>
      <c r="D247" s="201" t="inlineStr">
        <is>
          <t>Механики</t>
        </is>
      </c>
      <c r="E247" s="84" t="inlineStr">
        <is>
          <t>Гибкое изменение условий продукта. Нерелевантно для нашего сервиса. Просим убрать метрику с нашего дешборда. Изменение условий рассматриваем как простройку суб-проектов в рамках Микроинвестирования. Потребуется отдельный мониторинг этих проектов в будущем.</t>
        </is>
      </c>
      <c r="F247" s="4" t="n">
        <v>46295</v>
      </c>
      <c r="G247" s="218" t="n">
        <v>4.7</v>
      </c>
      <c r="H247" s="12" t="inlineStr">
        <is>
          <t>В работе</t>
        </is>
      </c>
      <c r="I247" s="294" t="inlineStr">
        <is>
          <t>Коробова Екатерина Вадимовна</t>
        </is>
      </c>
      <c r="K247" s="179">
        <f>IF(A247="","",VLOOKUP(A:A,[2]Свод!$A:$B,2,0))</f>
        <v>9.4</v>
      </c>
    </row>
    <row r="248" hidden="1" ht="148.5" customHeight="1" s="181">
      <c r="A248" t="str">
        <f>CONCATENATE(B248,"_",D248)</f>
        <v>ИнвестКопилка_Механики</v>
      </c>
      <c r="B248" s="1" t="inlineStr">
        <is>
          <t>ИнвестКопилка</t>
        </is>
      </c>
      <c r="C248" s="1" t="inlineStr">
        <is>
          <t>3Q2026</t>
        </is>
      </c>
      <c r="D248" s="201" t="inlineStr">
        <is>
          <t>Механики</t>
        </is>
      </c>
      <c r="E248" s="84" t="inlineStr">
        <is>
          <t>Допродажи (upsell). Просим скорректировать параметр, так как у нас есть и переход из сервиса в Сбер Сову. И мы тестировали функционал «О развитии в инвестициях» с переходом в открытие брокерского счета. А таже проводим А/Б тесты на стороне продаж для развития когорты клиентов: перевод в другие продукты и/или повышение чеков Автонакоплений. С нашей стороны upsell выполнен.</t>
        </is>
      </c>
      <c r="F248" s="4" t="n">
        <v>46295</v>
      </c>
      <c r="G248" s="218" t="n">
        <v>4.7</v>
      </c>
      <c r="H248" s="12" t="inlineStr">
        <is>
          <t>В работе</t>
        </is>
      </c>
      <c r="I248" s="294" t="inlineStr">
        <is>
          <t>Коробова Екатерина Вадимовна</t>
        </is>
      </c>
      <c r="J248" s="294" t="inlineStr">
        <is>
          <t>upsell=0 на оснве ответа РО в опроссе. 
Для учета Upsell РО требуется направить видео CJ по наличию Upsell - мы загрузим его в losshunter. https://losshunter.ru/showcase/crosssell/#product=%D0%B8%D0%BD%D0%B2%D0%B5%D1%81%D1%82%D0%BA%D0%BE%D0%BF%D0%B8%D0%BB%D0%BA%D0%B0</t>
        </is>
      </c>
      <c r="K248" s="179">
        <f>IF(A248="","",VLOOKUP(A:A,[2]Свод!$A:$B,2,0))</f>
        <v>9.4</v>
      </c>
    </row>
    <row r="249" hidden="1" ht="15" customHeight="1" s="181">
      <c r="A249" t="str">
        <f>CONCATENATE(B249,"_",D249)</f>
        <v>ИнвестКопилка_Гипотезы и инициативы</v>
      </c>
      <c r="B249" s="293" t="inlineStr">
        <is>
          <t>ИнвестКопилка</t>
        </is>
      </c>
      <c r="C249" s="293" t="inlineStr">
        <is>
          <t>3Q2026</t>
        </is>
      </c>
      <c r="D249" s="294" t="inlineStr">
        <is>
          <t>Гипотезы и инициативы</t>
        </is>
      </c>
      <c r="E249" s="294" t="inlineStr">
        <is>
          <t>Discovery &gt;=40% бэклога. Ссылка на доску Дата-аналитика:</t>
        </is>
      </c>
      <c r="F249" s="204" t="n">
        <v>46295</v>
      </c>
      <c r="G249" s="218" t="n">
        <v>4.7</v>
      </c>
      <c r="H249" s="206" t="inlineStr">
        <is>
          <t>В работе</t>
        </is>
      </c>
      <c r="I249" s="294" t="inlineStr">
        <is>
          <t>Коробова Екатерина Вадимовна</t>
        </is>
      </c>
      <c r="J249" s="294" t="inlineStr">
        <is>
          <t>Добавим анализ по ЦС в части бэклога для расчета 3 кв</t>
        </is>
      </c>
      <c r="K249" s="179">
        <f>IF(A249="","",VLOOKUP(A:A,[2]Свод!$A:$B,2,0))</f>
        <v>9.4</v>
      </c>
    </row>
    <row r="250" hidden="1" ht="47.25" customHeight="1" s="181">
      <c r="E250" s="11" t="inlineStr">
        <is>
          <t>https://sbertrack.sberbank.ru/swtr/board/fc08e852-22a0-41c4-bd30-416aade9a5b2?space=INVESTMB&amp;tenant=default&amp;spaces=%5B%7B%22label%22%3A%22InvestMoneyBox%22%2C%22value%22%3A%22INVESTMB%22%7D%5D</t>
        </is>
      </c>
      <c r="K250" s="70">
        <f>IF(A250="","",VLOOKUP(A:A,'[1]Невыполненные метрики'!$A:$B,2,0))</f>
        <v/>
      </c>
    </row>
    <row r="251" hidden="1" ht="54" customHeight="1" s="181">
      <c r="E251" s="294" t="inlineStr">
        <is>
          <t>Если имеется в виду Discovery не только по анализу данных, то у нас есть несколько выделенных ролей в команде на исследования разного уровня. Включая работу Discovery в смежных командах (например продажи). Прошу скорректировать параметр на 100%.</t>
        </is>
      </c>
      <c r="J251" s="221" t="inlineStr">
        <is>
          <t>Корректировка прошлых периодов не проводится. Аналитик появился недавно - результат учтется в расчет 3го кв-ла</t>
        </is>
      </c>
      <c r="K251" s="70">
        <f>IF(A251="","",VLOOKUP(A:A,'[1]Невыполненные метрики'!$A:$B,2,0))</f>
        <v/>
      </c>
    </row>
    <row r="252" hidden="1" ht="57.75" customHeight="1" s="181">
      <c r="E252" s="85" t="inlineStr">
        <is>
          <t>Оценка исследований &gt;=7,5 Задача: Проработать вопрос со Штабом УБ, так как у нас нет запросов в Штаб, мы все делаем сами. Может поэтому не попадаем в отчетность. На стороне ИнвестКопилки.</t>
        </is>
      </c>
      <c r="G252" s="218" t="n">
        <v>4.7</v>
      </c>
      <c r="K252" s="70">
        <f>IF(A252="","",VLOOKUP(A:A,'[1]Невыполненные метрики'!$A:$B,2,0))</f>
        <v/>
      </c>
    </row>
    <row r="253" hidden="1" ht="31.5" customHeight="1" s="181">
      <c r="A253" t="str">
        <f>CONCATENATE(B253,"_",D253)</f>
        <v>ИнвестКопилка_Воронка привлечения</v>
      </c>
      <c r="B253" s="338" t="inlineStr">
        <is>
          <t>ИнвестКопилка</t>
        </is>
      </c>
      <c r="C253" s="338" t="inlineStr">
        <is>
          <t>3Q2026</t>
        </is>
      </c>
      <c r="D253" s="294" t="inlineStr">
        <is>
          <t>Воронка привлечения</t>
        </is>
      </c>
      <c r="E253" s="294" t="inlineStr">
        <is>
          <t>Настроена отчетность. Воронка у нас автоматическая в Кликстрим. Прошу скорректировать параметр на 100%.</t>
        </is>
      </c>
      <c r="F253" s="204" t="n">
        <v>46295</v>
      </c>
      <c r="G253" s="218" t="n">
        <v>1.2</v>
      </c>
      <c r="H253" s="206" t="inlineStr">
        <is>
          <t>В работе</t>
        </is>
      </c>
      <c r="I253" s="294" t="inlineStr">
        <is>
          <t>Коробова Екатерина Вадимовна</t>
        </is>
      </c>
      <c r="J253" s="294" t="str">
        <f>J255</f>
        <v>Ранее Ответили в Oprosso, что формирование по запросу. Не приложили ссылки на воронку. Требуется напрвить ссылки - для верификации</v>
      </c>
      <c r="K253" s="179">
        <f>IF(A253="","",VLOOKUP(A:A,[2]Свод!$A:$B,2,0))</f>
        <v>12</v>
      </c>
    </row>
    <row r="254" hidden="1" ht="45" customHeight="1" s="181">
      <c r="E254" s="294" t="inlineStr">
        <is>
          <t>Полнота отчета. Объемы, сегменты, когорты у нас автоматически выставляются фильтрами в Навигатор. Прошу скорректировать параметр на 100%</t>
        </is>
      </c>
      <c r="G254" s="218" t="n">
        <v>1.2</v>
      </c>
      <c r="I254" s="18" t="n"/>
      <c r="K254" s="70">
        <f>IF(A254="","",VLOOKUP(A:A,'[1]Невыполненные метрики'!$A:$B,2,0))</f>
        <v/>
      </c>
    </row>
    <row r="255" hidden="1" ht="72" customHeight="1" s="181">
      <c r="B255" s="339" t="n"/>
      <c r="C255" s="339" t="n"/>
      <c r="E255" s="1" t="inlineStr">
        <is>
          <t>Регулярность. Мы регулярно отслеживаем воронки привлечения, в период акции на ежедневной основе, в остальное несколько раз в неделю. Кликстрим автоматический, Навигатор автоматический. Прошу скорректировать параметр на 100%.</t>
        </is>
      </c>
      <c r="I255" s="18" t="n"/>
      <c r="J255" s="294" t="inlineStr">
        <is>
          <t>Ранее Ответили в Oprosso, что формирование по запросу. Не приложили ссылки на воронку. Требуется напрвить ссылки - для верификации</t>
        </is>
      </c>
      <c r="K255" s="70">
        <f>IF(A255="","",VLOOKUP(A:A,'[1]Невыполненные метрики'!$A:$B,2,0))</f>
        <v/>
      </c>
    </row>
    <row r="256" hidden="1" ht="134.1" customHeight="1" s="181">
      <c r="A256" t="str">
        <f>CONCATENATE(B256,"_",D256)</f>
        <v>ИнвестКопилка_Воронка привлечения</v>
      </c>
      <c r="B256" s="293" t="inlineStr">
        <is>
          <t>ИнвестКопилка</t>
        </is>
      </c>
      <c r="C256" s="293" t="inlineStr">
        <is>
          <t>3Q2026</t>
        </is>
      </c>
      <c r="D256" s="294" t="inlineStr">
        <is>
          <t>Воронка привлечения</t>
        </is>
      </c>
      <c r="E256" s="84" t="inlineStr">
        <is>
          <t>Черновики. С понедельника этой недели черновики не только уходят по ПУШ, но и через Баннеры. Прошу скорректировать параметр на 100%.</t>
        </is>
      </c>
      <c r="F256" s="340" t="n">
        <v>46295</v>
      </c>
      <c r="G256" s="218" t="n">
        <v>2.4</v>
      </c>
      <c r="H256" s="341" t="inlineStr">
        <is>
          <t>В работе</t>
        </is>
      </c>
      <c r="I256" s="208" t="inlineStr">
        <is>
          <t>Коробова Екатерина Вадимовна</t>
        </is>
      </c>
      <c r="J256" s="294" t="inlineStr">
        <is>
          <t>Корректировки не будет. Сейчас стоит 50% так как максимально покрытие Черновиками продукта за 2й составило 19% при целевом уровене 70%
 -50% выполнения начинается от 15% покрытия черновиками продукта</t>
        </is>
      </c>
      <c r="K256" s="179">
        <f>IF(A256="","",VLOOKUP(A:A,[2]Свод!$A:$B,2,0))</f>
        <v>12</v>
      </c>
    </row>
    <row r="257" hidden="1" ht="87" customHeight="1" s="181">
      <c r="E257" s="84" t="inlineStr">
        <is>
          <t>Наличие Self-servcie + Наличие успешных бизнес-запусков. Задача: Разобраться что за Self-servcie, потому что каждый месяц запускаются пилоты и коммуникации и акции. Есть успешные, даже проводилась отчетность по А/Б на уровень Р.Н.Вестеровского. На стороне ИнвестКопилки разобраться.</t>
        </is>
      </c>
      <c r="F257" s="339" t="n"/>
      <c r="G257" s="218" t="n">
        <v>2.4</v>
      </c>
      <c r="H257" s="339" t="n"/>
      <c r="I257" s="339" t="n"/>
      <c r="J257" s="294" t="inlineStr">
        <is>
          <t>Для анализа можно использовать данный исчтоник (https://navigator.sigma.sbrf.ru/gdash/1000003057)- при выявлении не точностей-сообщить</t>
        </is>
      </c>
      <c r="K257" s="70">
        <f>IF(A257="","",VLOOKUP(A:A,'[1]Невыполненные метрики'!$A:$B,2,0))</f>
        <v/>
      </c>
    </row>
    <row r="258" hidden="1" s="181">
      <c r="A258" t="str">
        <f>CONCATENATE(B258,"_",D258)</f>
        <v>ИСЖ_Цели</v>
      </c>
      <c r="B258" s="1" t="inlineStr">
        <is>
          <t>ИСЖ</t>
        </is>
      </c>
      <c r="C258" s="1" t="inlineStr">
        <is>
          <t>4Q2026</t>
        </is>
      </c>
      <c r="D258" s="1" t="inlineStr">
        <is>
          <t>Цели</t>
        </is>
      </c>
      <c r="E258" s="1" t="inlineStr">
        <is>
          <t>Совместно со штабом декомпозировать значения целей на драйверы, вывести в Навигатор</t>
        </is>
      </c>
      <c r="F258" s="4" t="n">
        <v>46325</v>
      </c>
      <c r="G258" s="2" t="n">
        <v>4.0999999999999996</v>
      </c>
      <c r="H258" s="13" t="inlineStr">
        <is>
          <t>Ожидание</t>
        </is>
      </c>
      <c r="I258" s="1" t="inlineStr">
        <is>
          <t>Клычева Олеся Олеговна</t>
        </is>
      </c>
      <c r="K258" s="179">
        <f>IF(A258="","",VLOOKUP(A:A,[2]Свод!$A:$B,2,0))</f>
        <v>4.0999999999999996</v>
      </c>
    </row>
    <row r="259" hidden="1" s="181">
      <c r="A259" t="str">
        <f>CONCATENATE(B259,"_",D259)</f>
        <v>ИСЖ_Знание ключевых метрик</v>
      </c>
      <c r="B259" s="1" t="inlineStr">
        <is>
          <t>ИСЖ</t>
        </is>
      </c>
      <c r="C259" s="1" t="inlineStr">
        <is>
          <t>3Q2026</t>
        </is>
      </c>
      <c r="D259" s="1" t="inlineStr">
        <is>
          <t>Знание ключевых метрик</t>
        </is>
      </c>
      <c r="E259" s="1" t="inlineStr">
        <is>
          <t xml:space="preserve">Проработка понимания доступной отчетности и регулярного мониторинга в Navigator. </t>
        </is>
      </c>
      <c r="F259" s="4" t="n">
        <v>46265</v>
      </c>
      <c r="G259" s="2" t="n">
        <v>1</v>
      </c>
      <c r="H259" s="12" t="inlineStr">
        <is>
          <t>В работе</t>
        </is>
      </c>
      <c r="I259" s="1" t="inlineStr">
        <is>
          <t>Клычева Олеся Олеговна</t>
        </is>
      </c>
      <c r="K259" s="179">
        <f>IF(A259="","",VLOOKUP(A:A,[2]Свод!$A:$B,2,0))</f>
        <v>1</v>
      </c>
    </row>
    <row r="260" hidden="1" s="181">
      <c r="A260" t="str">
        <f>CONCATENATE(B260,"_",D260)</f>
        <v>ИСЖ_Воронка привлечения</v>
      </c>
      <c r="B260" s="1" t="inlineStr">
        <is>
          <t>ИСЖ</t>
        </is>
      </c>
      <c r="C260" s="1" t="inlineStr">
        <is>
          <t>3Q2026</t>
        </is>
      </c>
      <c r="D260" s="1" t="inlineStr">
        <is>
          <t>Воронка привлечения</t>
        </is>
      </c>
      <c r="E260" s="1" t="inlineStr">
        <is>
          <t>Настроить метрики и мониторинг по воронке привлечения</t>
        </is>
      </c>
      <c r="F260" s="4" t="n">
        <v>46295</v>
      </c>
      <c r="G260" s="2" t="n">
        <v>3.1</v>
      </c>
      <c r="H260" s="12" t="inlineStr">
        <is>
          <t>В работе</t>
        </is>
      </c>
      <c r="I260" s="1" t="inlineStr">
        <is>
          <t>Клычева Олеся Олеговна</t>
        </is>
      </c>
      <c r="K260" s="179">
        <f>IF(A260="","",VLOOKUP(A:A,[2]Свод!$A:$B,2,0))</f>
        <v>15.6</v>
      </c>
    </row>
    <row r="261" hidden="1" s="181">
      <c r="A261" t="str">
        <f>CONCATENATE(B261,"_",D261)</f>
        <v>ИСЖ_Воронка оттока</v>
      </c>
      <c r="B261" s="1" t="inlineStr">
        <is>
          <t>ИСЖ</t>
        </is>
      </c>
      <c r="C261" s="1" t="inlineStr">
        <is>
          <t>3Q2026</t>
        </is>
      </c>
      <c r="D261" s="1" t="inlineStr">
        <is>
          <t>Воронка оттока</t>
        </is>
      </c>
      <c r="E261" s="1" t="inlineStr">
        <is>
          <t>Настроить метрики и мониторинг по воронке оттоков</t>
        </is>
      </c>
      <c r="F261" s="4" t="n">
        <v>46295</v>
      </c>
      <c r="G261" s="2" t="n">
        <v>4.2</v>
      </c>
      <c r="H261" s="12" t="inlineStr">
        <is>
          <t>В работе</t>
        </is>
      </c>
      <c r="I261" s="1" t="inlineStr">
        <is>
          <t>Клычева Олеся Олеговна</t>
        </is>
      </c>
      <c r="K261" s="179">
        <f>IF(A261="","",VLOOKUP(A:A,[2]Свод!$A:$B,2,0))</f>
        <v>8.4</v>
      </c>
    </row>
    <row r="262" hidden="1" s="181">
      <c r="A262" t="str">
        <f>CONCATENATE(B262,"_",D262)</f>
        <v>ИСЖ_Гипотезы и инициативы</v>
      </c>
      <c r="B262" s="1" t="inlineStr">
        <is>
          <t>ИСЖ</t>
        </is>
      </c>
      <c r="C262" s="1" t="inlineStr">
        <is>
          <t>4Q2026</t>
        </is>
      </c>
      <c r="D262" s="1" t="inlineStr">
        <is>
          <t>Гипотезы и инициативы</t>
        </is>
      </c>
      <c r="E262" s="1" t="inlineStr">
        <is>
          <t>Провести АВ тестирование карточек. Повысить качество проведенных исследований</t>
        </is>
      </c>
      <c r="F262" s="4" t="n">
        <v>46325</v>
      </c>
      <c r="G262" s="2" t="n">
        <v>4.0999999999999996</v>
      </c>
      <c r="H262" s="12" t="inlineStr">
        <is>
          <t>В работе</t>
        </is>
      </c>
      <c r="I262" s="1" t="inlineStr">
        <is>
          <t>Клычева Олеся Олеговна</t>
        </is>
      </c>
      <c r="K262" s="179">
        <f>IF(A262="","",VLOOKUP(A:A,[2]Свод!$A:$B,2,0))</f>
        <v>8.1999999999999993</v>
      </c>
    </row>
    <row r="263" hidden="1" s="181">
      <c r="A263" t="str">
        <f>CONCATENATE(B263,"_",D263)</f>
        <v>ИСЖ_Воронка привлечения</v>
      </c>
      <c r="B263" s="1" t="inlineStr">
        <is>
          <t>ИСЖ</t>
        </is>
      </c>
      <c r="C263" s="1" t="inlineStr">
        <is>
          <t>3Q2026</t>
        </is>
      </c>
      <c r="D263" s="1" t="inlineStr">
        <is>
          <t>Воронка привлечения</t>
        </is>
      </c>
      <c r="E263" s="1" t="inlineStr">
        <is>
          <t>Проведение анализа привлечения, выявление точек роста</t>
        </is>
      </c>
      <c r="F263" s="4" t="n">
        <v>46295</v>
      </c>
      <c r="G263" s="2" t="n">
        <v>2.1</v>
      </c>
      <c r="H263" s="12" t="inlineStr">
        <is>
          <t>В работе</t>
        </is>
      </c>
      <c r="I263" s="1" t="inlineStr">
        <is>
          <t>Клычева Олеся Олеговна</t>
        </is>
      </c>
      <c r="K263" s="179">
        <f>IF(A263="","",VLOOKUP(A:A,[2]Свод!$A:$B,2,0))</f>
        <v>15.6</v>
      </c>
    </row>
    <row r="264" hidden="1" s="181">
      <c r="A264" t="str">
        <f>CONCATENATE(B264,"_",D264)</f>
        <v>ИСЖ_Воронка оттока</v>
      </c>
      <c r="B264" s="1" t="inlineStr">
        <is>
          <t>ИСЖ</t>
        </is>
      </c>
      <c r="C264" s="1" t="inlineStr">
        <is>
          <t>3Q2026</t>
        </is>
      </c>
      <c r="D264" s="1" t="inlineStr">
        <is>
          <t>Воронка оттока</t>
        </is>
      </c>
      <c r="E264" s="1" t="inlineStr">
        <is>
          <t>Проведение анализа оттоков, выявление точек роста</t>
        </is>
      </c>
      <c r="F264" s="4" t="n">
        <v>46295</v>
      </c>
      <c r="G264" s="2" t="n">
        <v>2.1</v>
      </c>
      <c r="H264" s="12" t="inlineStr">
        <is>
          <t>В работе</t>
        </is>
      </c>
      <c r="I264" s="1" t="inlineStr">
        <is>
          <t>Клычева Олеся Олеговна</t>
        </is>
      </c>
      <c r="K264" s="179">
        <f>IF(A264="","",VLOOKUP(A:A,[2]Свод!$A:$B,2,0))</f>
        <v>8.4</v>
      </c>
    </row>
    <row r="265" hidden="1" ht="27" customHeight="1" s="181">
      <c r="A265" t="str">
        <f>CONCATENATE(B265,"_",D265)</f>
        <v>КАСКО_Знание ключевых метрик</v>
      </c>
      <c r="B265" s="1" t="inlineStr">
        <is>
          <t>КАСКО</t>
        </is>
      </c>
      <c r="C265" s="1" t="inlineStr">
        <is>
          <t>3Q2026</t>
        </is>
      </c>
      <c r="D265" s="1" t="inlineStr">
        <is>
          <t>Знание ключевых метрик</t>
        </is>
      </c>
      <c r="E265" s="1" t="inlineStr">
        <is>
          <t>Совместно со штабом синхронизация методологии расчетов, актуализация текущей методики по определению метрик</t>
        </is>
      </c>
      <c r="F265" s="4" t="n">
        <v>46265</v>
      </c>
      <c r="G265" s="2" t="n">
        <v>3.7</v>
      </c>
      <c r="H265" s="13" t="inlineStr">
        <is>
          <t>Ожидание</t>
        </is>
      </c>
      <c r="I265" s="1" t="inlineStr">
        <is>
          <t>Герасименко Я.В.</t>
        </is>
      </c>
      <c r="K265" s="179">
        <f>IF(A265="","",VLOOKUP(A:A,[2]Свод!$A:$B,2,0))</f>
        <v>3.8000000000000003</v>
      </c>
    </row>
    <row r="266" hidden="1" ht="33.75" customHeight="1" s="181">
      <c r="A266" t="str">
        <f>CONCATENATE(B266,"_",D266)</f>
        <v>КАСКО_Цели</v>
      </c>
      <c r="B266" s="1" t="inlineStr">
        <is>
          <t>КАСКО</t>
        </is>
      </c>
      <c r="C266" s="1" t="inlineStr">
        <is>
          <t>3Q2026</t>
        </is>
      </c>
      <c r="D266" s="1" t="inlineStr">
        <is>
          <t>Цели</t>
        </is>
      </c>
      <c r="E266" s="1" t="inlineStr">
        <is>
          <t>Скорректировать ответ в опросе в соответствии с фактическим наличием отчетов в Навигаторе</t>
        </is>
      </c>
      <c r="F266" s="4" t="n">
        <v>46295</v>
      </c>
      <c r="G266" s="2" t="n">
        <v>5.8</v>
      </c>
      <c r="H266" s="14" t="inlineStr">
        <is>
          <t>Выполнен</t>
        </is>
      </c>
      <c r="I266" s="1" t="inlineStr">
        <is>
          <t>Герасименко Я.В.</t>
        </is>
      </c>
      <c r="K266" s="179">
        <f>IF(A266="","",VLOOKUP(A:A,[2]Свод!$A:$B,2,0))</f>
        <v>6</v>
      </c>
    </row>
    <row r="267" hidden="1" ht="45" customHeight="1" s="181">
      <c r="A267" t="str">
        <f>CONCATENATE(B267,"_",D267)</f>
        <v>КАСКО_Воронка привлечения</v>
      </c>
      <c r="B267" s="1" t="inlineStr">
        <is>
          <t>КАСКО</t>
        </is>
      </c>
      <c r="C267" s="1" t="inlineStr">
        <is>
          <t>4Q2026</t>
        </is>
      </c>
      <c r="D267" s="1" t="inlineStr">
        <is>
          <t>Воронка привлечения</t>
        </is>
      </c>
      <c r="E267" s="1" t="inlineStr">
        <is>
          <t xml:space="preserve">Пересмотр методологии для скорринговых продуктов. Нам необходимо отправлять черновики только тем, кому готовы дать предложение, а не всем </t>
        </is>
      </c>
      <c r="F267" s="4" t="n">
        <v>46356</v>
      </c>
      <c r="G267" s="2" t="n">
        <v>2</v>
      </c>
      <c r="H267" s="12" t="inlineStr">
        <is>
          <t>В работе</t>
        </is>
      </c>
      <c r="I267" s="1" t="inlineStr">
        <is>
          <t>Герасименко Я.В.</t>
        </is>
      </c>
      <c r="K267" s="179">
        <f>IF(A267="","",VLOOKUP(A:A,[2]Свод!$A:$B,2,0))</f>
        <v>4</v>
      </c>
    </row>
    <row r="268" hidden="1" ht="47.25" customHeight="1" s="181">
      <c r="A268" t="str">
        <f>CONCATENATE(B268,"_",D268)</f>
        <v>КАСКО_Гипотезы и инициативы</v>
      </c>
      <c r="B268" s="1" t="inlineStr">
        <is>
          <t>КАСКО</t>
        </is>
      </c>
      <c r="C268" s="1" t="inlineStr">
        <is>
          <t>3Q2026</t>
        </is>
      </c>
      <c r="D268" s="1" t="inlineStr">
        <is>
          <t>Гипотезы и инициативы</t>
        </is>
      </c>
      <c r="E268" s="1" t="inlineStr">
        <is>
          <t>По оценке исследований изучить методику оценки, заполнять запрашиваемый файл ворд в соответствии с требованиями, проверять самостоятельно в потоке</t>
        </is>
      </c>
      <c r="F268" s="4" t="n">
        <v>46295</v>
      </c>
      <c r="G268" s="2" t="n">
        <v>1</v>
      </c>
      <c r="H268" s="12" t="inlineStr">
        <is>
          <t>В работе</t>
        </is>
      </c>
      <c r="I268" s="1" t="inlineStr">
        <is>
          <t>Семеняк И.П</t>
        </is>
      </c>
      <c r="K268" s="179">
        <f>IF(A268="","",VLOOKUP(A:A,[2]Свод!$A:$B,2,0))</f>
        <v>10</v>
      </c>
    </row>
    <row r="269" hidden="1" ht="45" customHeight="1" s="181">
      <c r="A269" t="str">
        <f>CONCATENATE(B269,"_",D269)</f>
        <v>КАСКО_Гипотезы и инициативы</v>
      </c>
      <c r="B269" s="1" t="inlineStr">
        <is>
          <t>КАСКО</t>
        </is>
      </c>
      <c r="C269" s="1" t="inlineStr">
        <is>
          <t>3Q2026</t>
        </is>
      </c>
      <c r="D269" s="1" t="inlineStr">
        <is>
          <t>Гипотезы и инициативы</t>
        </is>
      </c>
      <c r="E269" s="1" t="inlineStr">
        <is>
          <t>Доп инициативы сверх бизнес плана не применима для продукта, так как на 2026г была зашита амбиция Х2 к факту 2025года, а не плавный рост</t>
        </is>
      </c>
      <c r="F269" s="4" t="n">
        <v>46295</v>
      </c>
      <c r="G269" s="2" t="n">
        <v>1</v>
      </c>
      <c r="H269" s="13" t="inlineStr">
        <is>
          <t>Ожидание</t>
        </is>
      </c>
      <c r="I269" s="1" t="inlineStr">
        <is>
          <t>Герасименко Я.В.</t>
        </is>
      </c>
      <c r="J269" s="221" t="inlineStr">
        <is>
          <t>Нужно подтверждение со стороны Планирования B2C- направим самостоятельно</t>
        </is>
      </c>
      <c r="K269" s="179">
        <f>IF(A269="","",VLOOKUP(A:A,[2]Свод!$A:$B,2,0))</f>
        <v>10</v>
      </c>
    </row>
    <row r="270" hidden="1" ht="27" customHeight="1" s="181">
      <c r="A270" t="str">
        <f>CONCATENATE(B270,"_",D270)</f>
        <v>КАСКО_Механики</v>
      </c>
      <c r="B270" s="1" t="inlineStr">
        <is>
          <t>КАСКО</t>
        </is>
      </c>
      <c r="C270" s="1" t="inlineStr">
        <is>
          <t>3Q2026</t>
        </is>
      </c>
      <c r="D270" s="1" t="inlineStr">
        <is>
          <t>Механики</t>
        </is>
      </c>
      <c r="E270" s="10" t="inlineStr">
        <is>
          <t>Допродажи, Переход клиента на более ценный продукт или расширенный пакет услуг - в каско реализовано. Отправила видео Марии Черковой для синхронизации понимания наличия опции</t>
        </is>
      </c>
      <c r="F270" s="4" t="n">
        <v>46265</v>
      </c>
      <c r="G270" s="2" t="n">
        <v>1</v>
      </c>
      <c r="H270" s="13" t="inlineStr">
        <is>
          <t>Ожидание</t>
        </is>
      </c>
      <c r="I270" s="1" t="inlineStr">
        <is>
          <t>Герасименко Я.В.</t>
        </is>
      </c>
      <c r="K270" s="179">
        <f>IF(A270="","",VLOOKUP(A:A,[2]Свод!$A:$B,2,0))</f>
        <v>10</v>
      </c>
    </row>
    <row r="271" hidden="1" ht="47.25" customHeight="1" s="181">
      <c r="A271" t="str">
        <f>CONCATENATE(B271,"_",D271)</f>
        <v>КАСКО_Механики</v>
      </c>
      <c r="B271" s="1" t="inlineStr">
        <is>
          <t>КАСКО</t>
        </is>
      </c>
      <c r="C271" s="1" t="inlineStr">
        <is>
          <t>3Q2026</t>
        </is>
      </c>
      <c r="D271" s="1" t="inlineStr">
        <is>
          <t>Механики</t>
        </is>
      </c>
      <c r="E271" s="1" t="inlineStr">
        <is>
          <t>Гибкое изменение условий продукта - сбиться по методологии для каско, часть условий выведено в бизнес-параметры для оперативного изменения</t>
        </is>
      </c>
      <c r="F271" s="4" t="n">
        <v>46265</v>
      </c>
      <c r="G271" s="2" t="n">
        <v>0.5</v>
      </c>
      <c r="H271" s="13" t="inlineStr">
        <is>
          <t>Ожидание</t>
        </is>
      </c>
      <c r="I271" s="1" t="inlineStr">
        <is>
          <t>Герасименко Я.В.</t>
        </is>
      </c>
      <c r="K271" s="179">
        <f>IF(A271="","",VLOOKUP(A:A,[2]Свод!$A:$B,2,0))</f>
        <v>10</v>
      </c>
    </row>
    <row r="272" hidden="1" s="181">
      <c r="A272" t="str">
        <f>CONCATENATE(B272,"_",D272)</f>
        <v>НСЖ_Цели</v>
      </c>
      <c r="B272" s="1" t="inlineStr">
        <is>
          <t>НСЖ</t>
        </is>
      </c>
      <c r="C272" s="1" t="inlineStr">
        <is>
          <t>4Q2026</t>
        </is>
      </c>
      <c r="D272" s="1" t="inlineStr">
        <is>
          <t>Цели</t>
        </is>
      </c>
      <c r="E272" s="1" t="inlineStr">
        <is>
          <t>Совместно со штабом вывести в навигатор драйверы согласно модели бизнес-планирования</t>
        </is>
      </c>
      <c r="F272" s="4" t="n">
        <v>46356</v>
      </c>
      <c r="G272" s="2" t="n">
        <v>2</v>
      </c>
      <c r="H272" s="13" t="inlineStr">
        <is>
          <t>Ожидание</t>
        </is>
      </c>
      <c r="I272" s="1" t="inlineStr">
        <is>
          <t>Волобуев Андрей Николаевич</t>
        </is>
      </c>
      <c r="K272" s="179">
        <f>IF(A272="","",VLOOKUP(A:A,[2]Свод!$A:$B,2,0))</f>
        <v>2.2000000000000002</v>
      </c>
    </row>
    <row r="273" hidden="1" s="181">
      <c r="A273" t="str">
        <f>CONCATENATE(B273,"_",D273)</f>
        <v>НСЖ_Знание ключевых метрик</v>
      </c>
      <c r="B273" s="1" t="inlineStr">
        <is>
          <t>НСЖ</t>
        </is>
      </c>
      <c r="C273" s="1" t="inlineStr">
        <is>
          <t>3Q2026</t>
        </is>
      </c>
      <c r="D273" s="1" t="inlineStr">
        <is>
          <t>Знание ключевых метрик</t>
        </is>
      </c>
      <c r="E273" s="1" t="inlineStr">
        <is>
          <t>Проработано понимание доступной отчетности и регулярного мониторинга</t>
        </is>
      </c>
      <c r="F273" s="4" t="n">
        <v>46265</v>
      </c>
      <c r="G273" s="2" t="n">
        <v>3.6</v>
      </c>
      <c r="H273" s="12" t="inlineStr">
        <is>
          <t>В работе</t>
        </is>
      </c>
      <c r="I273" s="1" t="inlineStr">
        <is>
          <t>Волобуев Андрей Николаевич</t>
        </is>
      </c>
      <c r="K273" s="179">
        <f>IF(A273="","",VLOOKUP(A:A,[2]Свод!$A:$B,2,0))</f>
        <v>3.8000000000000003</v>
      </c>
    </row>
    <row r="274" hidden="1" ht="54" customHeight="1" s="181">
      <c r="A274" t="str">
        <f>CONCATENATE(B274,"_",D274)</f>
        <v>НСЖ_Гипотезы и инициативы</v>
      </c>
      <c r="B274" s="1" t="inlineStr">
        <is>
          <t>НСЖ</t>
        </is>
      </c>
      <c r="C274" s="1" t="inlineStr">
        <is>
          <t>3Q2026</t>
        </is>
      </c>
      <c r="D274" s="1" t="inlineStr">
        <is>
          <t>Гипотезы и инициативы</t>
        </is>
      </c>
      <c r="E274" s="1" t="inlineStr">
        <is>
          <t>Сфокусировать бэклог аналитиков на research-задачи</t>
        </is>
      </c>
      <c r="F274" s="4" t="n">
        <v>46295</v>
      </c>
      <c r="G274" s="2" t="n">
        <v>4.3</v>
      </c>
      <c r="H274" s="12" t="inlineStr">
        <is>
          <t>В работе</t>
        </is>
      </c>
      <c r="I274" s="1" t="inlineStr">
        <is>
          <t>Волобуев Андрей Николаевич</t>
        </is>
      </c>
      <c r="J274" s="221" t="inlineStr">
        <is>
          <t>для подтверждения данной метрики требуется направить ссылку на пространство DA продукта в Jira/сбертрек</t>
        </is>
      </c>
      <c r="K274" s="179">
        <f>IF(A274="","",VLOOKUP(A:A,[2]Свод!$A:$B,2,0))</f>
        <v>8.6</v>
      </c>
    </row>
    <row r="275" hidden="1" s="181">
      <c r="A275" t="str">
        <f>CONCATENATE(B275,"_",D275)</f>
        <v>НСЖ_Воронка оттока</v>
      </c>
      <c r="B275" s="1" t="inlineStr">
        <is>
          <t>НСЖ</t>
        </is>
      </c>
      <c r="C275" s="1" t="inlineStr">
        <is>
          <t>3Q2026</t>
        </is>
      </c>
      <c r="D275" s="1" t="inlineStr">
        <is>
          <t>Воронка оттока</t>
        </is>
      </c>
      <c r="E275" s="1" t="inlineStr">
        <is>
          <t>Провести анализ оттока, выявить точки роста</t>
        </is>
      </c>
      <c r="F275" s="4" t="n">
        <v>46295</v>
      </c>
      <c r="G275" s="2" t="n">
        <v>2.1</v>
      </c>
      <c r="H275" s="12" t="inlineStr">
        <is>
          <t>В работе</t>
        </is>
      </c>
      <c r="I275" s="1" t="inlineStr">
        <is>
          <t>Волобуев Андрей Николаевич</t>
        </is>
      </c>
      <c r="K275" s="179">
        <f>IF(A275="","",VLOOKUP(A:A,[2]Свод!$A:$B,2,0))</f>
        <v>6.6000000000000005</v>
      </c>
    </row>
    <row r="276" hidden="1" s="181">
      <c r="A276" t="str">
        <f>CONCATENATE(B276,"_",D276)</f>
        <v>НСЖ_Гипотезы и инициативы</v>
      </c>
      <c r="B276" s="1" t="inlineStr">
        <is>
          <t>НСЖ</t>
        </is>
      </c>
      <c r="C276" s="1" t="inlineStr">
        <is>
          <t>4Q2026</t>
        </is>
      </c>
      <c r="D276" s="1" t="inlineStr">
        <is>
          <t>Гипотезы и инициативы</t>
        </is>
      </c>
      <c r="E276" s="1" t="inlineStr">
        <is>
          <t>Повысить качество проведенных исследований</t>
        </is>
      </c>
      <c r="F276" s="4" t="n">
        <v>46356</v>
      </c>
      <c r="G276" s="2" t="n">
        <v>4.3</v>
      </c>
      <c r="H276" s="13" t="inlineStr">
        <is>
          <t>Ожидание</t>
        </is>
      </c>
      <c r="I276" s="1" t="inlineStr">
        <is>
          <t>Волобуев Андрей Николаевич</t>
        </is>
      </c>
      <c r="K276" s="179">
        <f>IF(A276="","",VLOOKUP(A:A,[2]Свод!$A:$B,2,0))</f>
        <v>8.6</v>
      </c>
    </row>
    <row r="277" hidden="1" s="181">
      <c r="A277" t="str">
        <f>CONCATENATE(B277,"_",D277)</f>
        <v>НСЖ_Воронка привлечения</v>
      </c>
      <c r="B277" s="1" t="inlineStr">
        <is>
          <t>НСЖ</t>
        </is>
      </c>
      <c r="C277" s="1" t="inlineStr">
        <is>
          <t>4Q2026</t>
        </is>
      </c>
      <c r="D277" s="1" t="inlineStr">
        <is>
          <t>Воронка привлечения</t>
        </is>
      </c>
      <c r="E277" s="16" t="inlineStr">
        <is>
          <t>Развитие кампейнинга</t>
        </is>
      </c>
      <c r="F277" s="4" t="n">
        <v>46356</v>
      </c>
      <c r="G277" s="2" t="n">
        <v>4.3</v>
      </c>
      <c r="H277" s="13" t="inlineStr">
        <is>
          <t>Ожидание</t>
        </is>
      </c>
      <c r="I277" s="1" t="inlineStr">
        <is>
          <t>Волобуев Андрей Николаевич</t>
        </is>
      </c>
      <c r="J277" s="220" t="inlineStr">
        <is>
          <t>?</t>
        </is>
      </c>
      <c r="K277" s="179">
        <f>IF(A277="","",VLOOKUP(A:A,[2]Свод!$A:$B,2,0))</f>
        <v>15.3</v>
      </c>
    </row>
    <row r="278" hidden="1" s="181">
      <c r="A278" t="str">
        <f>CONCATENATE(B278,"_",D278)</f>
        <v>ОПИФ_Знание ключевых метрик</v>
      </c>
      <c r="B278" s="1" t="inlineStr">
        <is>
          <t>ОПИФ</t>
        </is>
      </c>
      <c r="C278" s="1" t="inlineStr">
        <is>
          <t>3Q2026</t>
        </is>
      </c>
      <c r="D278" s="1" t="inlineStr">
        <is>
          <t>Знание ключевых метрик</t>
        </is>
      </c>
      <c r="E278" s="1" t="inlineStr">
        <is>
          <t>Проработано понимание доступной отчетности и регулярного мониторинга</t>
        </is>
      </c>
      <c r="F278" s="4" t="n">
        <v>46239</v>
      </c>
      <c r="G278" s="2" t="n">
        <v>3.3</v>
      </c>
      <c r="H278" s="14" t="inlineStr">
        <is>
          <t>Выполнен</t>
        </is>
      </c>
      <c r="I278" s="1" t="inlineStr">
        <is>
          <t>Клочкова Ольга Владимировна</t>
        </is>
      </c>
      <c r="K278" s="179">
        <f>IF(A278="","",VLOOKUP(A:A,[2]Свод!$A:$B,2,0))</f>
        <v>3.4000000000000004</v>
      </c>
    </row>
    <row r="279" hidden="1" s="181">
      <c r="A279" t="str">
        <f>CONCATENATE(B279,"_",D279)</f>
        <v>ОПИФ_Воронка привлечения</v>
      </c>
      <c r="B279" s="1" t="inlineStr">
        <is>
          <t>ОПИФ</t>
        </is>
      </c>
      <c r="C279" s="1" t="inlineStr">
        <is>
          <t>3Q2026</t>
        </is>
      </c>
      <c r="D279" s="1" t="inlineStr">
        <is>
          <t>Воронка привлечения</t>
        </is>
      </c>
      <c r="E279" s="1" t="inlineStr">
        <is>
          <t>Настроить отчетность по воронке привлечения</t>
        </is>
      </c>
      <c r="F279" s="4" t="n">
        <v>46265</v>
      </c>
      <c r="G279" s="2" t="n">
        <v>1</v>
      </c>
      <c r="H279" s="12" t="inlineStr">
        <is>
          <t>В работе</t>
        </is>
      </c>
      <c r="I279" s="1" t="inlineStr">
        <is>
          <t>Клочкова Ольга Владимировна</t>
        </is>
      </c>
      <c r="K279" s="179">
        <f>IF(A279="","",VLOOKUP(A:A,[2]Свод!$A:$B,2,0))</f>
        <v>7.6999999999999993</v>
      </c>
    </row>
    <row r="280" hidden="1" s="181">
      <c r="A280" t="str">
        <f>CONCATENATE(B280,"_",D280)</f>
        <v>ОПИФ_Воронка привлечения</v>
      </c>
      <c r="B280" s="1" t="inlineStr">
        <is>
          <t>ОПИФ</t>
        </is>
      </c>
      <c r="C280" s="1" t="inlineStr">
        <is>
          <t>3Q2026</t>
        </is>
      </c>
      <c r="D280" s="1" t="inlineStr">
        <is>
          <t>Воронка привлечения</t>
        </is>
      </c>
      <c r="E280" s="1" t="inlineStr">
        <is>
          <t>Обогатить метриками мониторинг по воронке привлечения</t>
        </is>
      </c>
      <c r="F280" s="4" t="n">
        <v>46265</v>
      </c>
      <c r="G280" s="2" t="n">
        <v>1</v>
      </c>
      <c r="H280" s="12" t="inlineStr">
        <is>
          <t>В работе</t>
        </is>
      </c>
      <c r="I280" s="1" t="inlineStr">
        <is>
          <t>Клочкова Ольга Владимировна</t>
        </is>
      </c>
      <c r="K280" s="179">
        <f>IF(A280="","",VLOOKUP(A:A,[2]Свод!$A:$B,2,0))</f>
        <v>7.6999999999999993</v>
      </c>
    </row>
    <row r="281" hidden="1" s="181">
      <c r="A281" t="str">
        <f>CONCATENATE(B281,"_",D281)</f>
        <v>ОПИФ_Цели</v>
      </c>
      <c r="B281" s="1" t="inlineStr">
        <is>
          <t>ОПИФ</t>
        </is>
      </c>
      <c r="C281" s="1" t="inlineStr">
        <is>
          <t>4Q2026</t>
        </is>
      </c>
      <c r="D281" s="1" t="inlineStr">
        <is>
          <t>Цели</t>
        </is>
      </c>
      <c r="E281" s="1" t="inlineStr">
        <is>
          <t>Совместно со штабом вывести в навигатор драйверы согласно модели бизнес-планирования</t>
        </is>
      </c>
      <c r="F281" s="4" t="n">
        <v>46325</v>
      </c>
      <c r="G281" s="2" t="n">
        <v>3.8</v>
      </c>
      <c r="H281" s="13" t="inlineStr">
        <is>
          <t>Ожидание</t>
        </is>
      </c>
      <c r="I281" s="1" t="inlineStr">
        <is>
          <t>Клочкова Ольга Владимировна</t>
        </is>
      </c>
      <c r="K281" s="179">
        <f>IF(A281="","",VLOOKUP(A:A,[2]Свод!$A:$B,2,0))</f>
        <v>3.8</v>
      </c>
    </row>
    <row r="282" hidden="1" s="181">
      <c r="A282" t="str">
        <f>CONCATENATE(B282,"_",D282)</f>
        <v>ОПИФ_Воронка оттока</v>
      </c>
      <c r="B282" s="1" t="inlineStr">
        <is>
          <t>ОПИФ</t>
        </is>
      </c>
      <c r="C282" s="1" t="inlineStr">
        <is>
          <t>4Q2026</t>
        </is>
      </c>
      <c r="D282" s="1" t="inlineStr">
        <is>
          <t>Воронка оттока</t>
        </is>
      </c>
      <c r="E282" s="1" t="inlineStr">
        <is>
          <t>Совместно со штабом обогатить метриками мониторинг по воронке оттока</t>
        </is>
      </c>
      <c r="F282" s="4" t="n">
        <v>46325</v>
      </c>
      <c r="G282" s="2" t="n">
        <v>1.9</v>
      </c>
      <c r="H282" s="13" t="inlineStr">
        <is>
          <t>Ожидание</t>
        </is>
      </c>
      <c r="I282" s="1" t="inlineStr">
        <is>
          <t>Клочкова Ольга Владимировна</t>
        </is>
      </c>
      <c r="K282" s="179">
        <f>IF(A282="","",VLOOKUP(A:A,[2]Свод!$A:$B,2,0))</f>
        <v>3.8</v>
      </c>
    </row>
    <row r="283" hidden="1" s="181">
      <c r="A283" t="str">
        <f>CONCATENATE(B283,"_",D283)</f>
        <v>ОПИФ_Механики</v>
      </c>
      <c r="B283" s="1" t="inlineStr">
        <is>
          <t>ОПИФ</t>
        </is>
      </c>
      <c r="C283" s="1" t="inlineStr">
        <is>
          <t>3Q2026</t>
        </is>
      </c>
      <c r="D283" s="1" t="inlineStr">
        <is>
          <t>Механики</t>
        </is>
      </c>
      <c r="E283" s="1" t="inlineStr">
        <is>
          <t>Добавить условия с персонализацией до клиентских подсегментов</t>
        </is>
      </c>
      <c r="F283" s="4" t="n">
        <v>46239</v>
      </c>
      <c r="G283" s="2" t="n">
        <v>1.9</v>
      </c>
      <c r="H283" s="14" t="inlineStr">
        <is>
          <t>Выполнен</t>
        </is>
      </c>
      <c r="I283" s="1" t="inlineStr">
        <is>
          <t>Клочкова Ольга Владимировна</t>
        </is>
      </c>
      <c r="K283" s="179">
        <f>IF(A283="","",VLOOKUP(A:A,[2]Свод!$A:$B,2,0))</f>
        <v>1.9</v>
      </c>
    </row>
    <row r="284" hidden="1" ht="18.75" customHeight="1" s="181">
      <c r="A284" t="str">
        <f>CONCATENATE(B284,"_",D284)</f>
        <v>ОПИФ_Гипотезы и инициативы</v>
      </c>
      <c r="B284" s="1" t="inlineStr">
        <is>
          <t>ОПИФ</t>
        </is>
      </c>
      <c r="C284" s="1" t="inlineStr">
        <is>
          <t>4Q2026</t>
        </is>
      </c>
      <c r="D284" s="1" t="inlineStr">
        <is>
          <t>Гипотезы и инициативы</t>
        </is>
      </c>
      <c r="E284" s="1" t="inlineStr">
        <is>
          <t>Повысить качество проведенных исследований</t>
        </is>
      </c>
      <c r="F284" s="4" t="n">
        <v>46341</v>
      </c>
      <c r="G284" s="2" t="n">
        <v>3.9</v>
      </c>
      <c r="H284" s="12" t="inlineStr">
        <is>
          <t>В работе</t>
        </is>
      </c>
      <c r="I284" s="1" t="inlineStr">
        <is>
          <t>Клочкова Ольга Владимировна</t>
        </is>
      </c>
      <c r="K284" s="179">
        <f>IF(A284="","",VLOOKUP(A:A,[2]Свод!$A:$B,2,0))</f>
        <v>7.6</v>
      </c>
    </row>
    <row r="285" hidden="1" ht="18" customHeight="1" s="181">
      <c r="A285" t="str">
        <f>CONCATENATE(B285,"_",D285)</f>
        <v>ОПИФ_Воронка оттока</v>
      </c>
      <c r="B285" s="1" t="inlineStr">
        <is>
          <t>ОПИФ</t>
        </is>
      </c>
      <c r="C285" s="1" t="inlineStr">
        <is>
          <t>3Q2026</t>
        </is>
      </c>
      <c r="D285" s="1" t="inlineStr">
        <is>
          <t>Воронка оттока</t>
        </is>
      </c>
      <c r="E285" s="1" t="inlineStr">
        <is>
          <t>Провести анализ оттока, выявить точки роста</t>
        </is>
      </c>
      <c r="F285" s="4" t="n">
        <v>46265</v>
      </c>
      <c r="G285" s="2" t="n">
        <v>1.9</v>
      </c>
      <c r="H285" s="12" t="inlineStr">
        <is>
          <t>В работе</t>
        </is>
      </c>
      <c r="I285" s="1" t="inlineStr">
        <is>
          <t>Клочкова Ольга Владимировна</t>
        </is>
      </c>
      <c r="K285" s="179">
        <f>IF(A285="","",VLOOKUP(A:A,[2]Свод!$A:$B,2,0))</f>
        <v>3.8</v>
      </c>
    </row>
    <row r="286" hidden="1" s="181">
      <c r="A286" t="str">
        <f>CONCATENATE(B286,"_",D286)</f>
        <v>ОСАГО_Знание ключевых метрик</v>
      </c>
      <c r="B286" s="1" t="inlineStr">
        <is>
          <t>ОСАГО</t>
        </is>
      </c>
      <c r="C286" s="1" t="inlineStr">
        <is>
          <t>3Q2026</t>
        </is>
      </c>
      <c r="D286" s="1" t="inlineStr">
        <is>
          <t>Знание ключевых метрик</t>
        </is>
      </c>
      <c r="E286" s="1" t="inlineStr">
        <is>
          <t>Синхронизация методологии расчетов, актуализация текущей методики по определению метрик.</t>
        </is>
      </c>
      <c r="F286" s="4" t="n">
        <v>46265</v>
      </c>
      <c r="G286" s="2" t="n">
        <v>3.7</v>
      </c>
      <c r="H286" s="13" t="inlineStr">
        <is>
          <t>Ожидание</t>
        </is>
      </c>
      <c r="I286" s="1" t="inlineStr">
        <is>
          <t>Можак М.И.</t>
        </is>
      </c>
      <c r="K286" s="179">
        <f>IF(A286="","",VLOOKUP(A:A,[2]Свод!$A:$B,2,0))</f>
        <v>3.8000000000000003</v>
      </c>
    </row>
    <row r="287" hidden="1" s="181">
      <c r="A287" t="str">
        <f>CONCATENATE(B287,"_",D287)</f>
        <v>ОСАГО_Цели</v>
      </c>
      <c r="B287" s="1" t="inlineStr">
        <is>
          <t>ОСАГО</t>
        </is>
      </c>
      <c r="C287" s="1" t="inlineStr">
        <is>
          <t>3Q2026</t>
        </is>
      </c>
      <c r="D287" s="1" t="inlineStr">
        <is>
          <t>Цели</t>
        </is>
      </c>
      <c r="E287" s="1" t="inlineStr">
        <is>
          <t>Скорректировать ответ в опросе в соответствии с фактическим наличием отчетов в навигаторе.</t>
        </is>
      </c>
      <c r="F287" s="1" t="inlineStr">
        <is>
          <t>31.09.2026</t>
        </is>
      </c>
      <c r="G287" s="2" t="n">
        <v>5.8</v>
      </c>
      <c r="H287" s="14" t="inlineStr">
        <is>
          <t>Выполнен</t>
        </is>
      </c>
      <c r="I287" s="1" t="inlineStr">
        <is>
          <t>Можак М.И.</t>
        </is>
      </c>
      <c r="K287" s="179">
        <f>IF(A287="","",VLOOKUP(A:A,[2]Свод!$A:$B,2,0))</f>
        <v>8</v>
      </c>
    </row>
    <row r="288" hidden="1" ht="42.75" customHeight="1" s="181">
      <c r="A288" t="str">
        <f>CONCATENATE(B288,"_",D288)</f>
        <v>ОСАГО_Гипотезы и инициативы</v>
      </c>
      <c r="B288" s="1" t="inlineStr">
        <is>
          <t>ОСАГО</t>
        </is>
      </c>
      <c r="C288" s="1" t="inlineStr">
        <is>
          <t>3Q2026</t>
        </is>
      </c>
      <c r="D288" s="1" t="inlineStr">
        <is>
          <t>Гипотезы и инициативы</t>
        </is>
      </c>
      <c r="E288" s="1" t="inlineStr">
        <is>
          <t>По оценке исследований изучить методику оценки, заполнять запрашиваемый файл ворд в соответствии с требованиями, проверять самостоятельно в потоке.</t>
        </is>
      </c>
      <c r="F288" s="1" t="inlineStr">
        <is>
          <t>31.09.2026</t>
        </is>
      </c>
      <c r="G288" s="2" t="n">
        <v>1</v>
      </c>
      <c r="H288" s="12" t="inlineStr">
        <is>
          <t>В работе</t>
        </is>
      </c>
      <c r="I288" s="1" t="inlineStr">
        <is>
          <t>Семеняк И.П.</t>
        </is>
      </c>
      <c r="K288" s="179">
        <f>IF(A288="","",VLOOKUP(A:A,[2]Свод!$A:$B,2,0))</f>
        <v>10</v>
      </c>
    </row>
    <row r="289" hidden="1" ht="40.5" customHeight="1" s="181">
      <c r="A289" t="str">
        <f>CONCATENATE(B289,"_",D289)</f>
        <v>ОСАГО_Гипотезы и инициативы</v>
      </c>
      <c r="B289" s="1" t="inlineStr">
        <is>
          <t>ОСАГО</t>
        </is>
      </c>
      <c r="C289" s="1" t="inlineStr">
        <is>
          <t>3Q2026</t>
        </is>
      </c>
      <c r="D289" s="1" t="inlineStr">
        <is>
          <t>Гипотезы и инициативы</t>
        </is>
      </c>
      <c r="E289" s="160" t="inlineStr">
        <is>
          <t>Доп инициативы сверх бизнес плана не применимы для продукта, так как на 2026г была зашита амбиция +60% к плану 2025года, а не плавный рост.</t>
        </is>
      </c>
      <c r="F289" s="1" t="inlineStr">
        <is>
          <t>31.09.2026</t>
        </is>
      </c>
      <c r="G289" s="2" t="n">
        <v>1</v>
      </c>
      <c r="H289" s="13" t="inlineStr">
        <is>
          <t>Ожидание</t>
        </is>
      </c>
      <c r="I289" s="1" t="inlineStr">
        <is>
          <t>Можак М.И.</t>
        </is>
      </c>
      <c r="J289" s="159" t="inlineStr">
        <is>
          <t>Нужно подтверждение со стороны Планирования B2C - направим самостоятельно</t>
        </is>
      </c>
      <c r="K289" s="179">
        <f>IF(A289="","",VLOOKUP(A:A,[2]Свод!$A:$B,2,0))</f>
        <v>10</v>
      </c>
    </row>
    <row r="290" hidden="1" ht="69" customHeight="1" s="181">
      <c r="A290" t="str">
        <f>CONCATENATE(B290,"_",D290)</f>
        <v>ОСАГО_Механики</v>
      </c>
      <c r="B290" s="1" t="inlineStr">
        <is>
          <t>ОСАГО</t>
        </is>
      </c>
      <c r="C290" s="1" t="inlineStr">
        <is>
          <t>3Q2026</t>
        </is>
      </c>
      <c r="D290" s="1" t="inlineStr">
        <is>
          <t>Механики</t>
        </is>
      </c>
      <c r="E290" s="1" t="inlineStr">
        <is>
          <t xml:space="preserve">Допродажи, изменение методологии под ОСАГО не применимы, т.к. допродажи запрещены законом. </t>
        </is>
      </c>
      <c r="F290" s="4" t="n">
        <v>46265</v>
      </c>
      <c r="G290" s="2" t="n">
        <v>1</v>
      </c>
      <c r="H290" s="13" t="inlineStr">
        <is>
          <t>Ожидание</t>
        </is>
      </c>
      <c r="I290" s="1" t="inlineStr">
        <is>
          <t>Можак М.И.</t>
        </is>
      </c>
      <c r="J290" s="221" t="inlineStr">
        <is>
          <t>up-sell (предложение более дорогого или расширенного продукта) для ОСАГО возможен, но он должен быть строго добровольным. Предложение купить дополнительную страховку или услугу — это разрешенный up-sell, а вот принуждение к ней — это уже незаконное навязывание.</t>
        </is>
      </c>
      <c r="K290" s="179">
        <f>IF(A290="","",VLOOKUP(A:A,[2]Свод!$A:$B,2,0))</f>
        <v>10</v>
      </c>
    </row>
    <row r="291" hidden="1" ht="27" customHeight="1" s="181">
      <c r="A291" t="str">
        <f>CONCATENATE(B291,"_",D291)</f>
        <v>ОСАГО_Механики</v>
      </c>
      <c r="B291" s="1" t="inlineStr">
        <is>
          <t>ОСАГО</t>
        </is>
      </c>
      <c r="C291" s="1" t="inlineStr">
        <is>
          <t>3Q2026</t>
        </is>
      </c>
      <c r="D291" s="1" t="inlineStr">
        <is>
          <t>Механики</t>
        </is>
      </c>
      <c r="E291" s="1" t="inlineStr">
        <is>
          <t>Гибкое изменение условий продукта - сбиться по методологии для ОСАГО, часть условий выведено в бизнес-параметры для оперативного изменения.</t>
        </is>
      </c>
      <c r="F291" s="4" t="n">
        <v>46265</v>
      </c>
      <c r="G291" s="2" t="n">
        <v>0.5</v>
      </c>
      <c r="H291" s="13" t="inlineStr">
        <is>
          <t>Ожидание</t>
        </is>
      </c>
      <c r="I291" s="1" t="inlineStr">
        <is>
          <t>Можак М.И.</t>
        </is>
      </c>
      <c r="K291" s="179">
        <f>IF(A291="","",VLOOKUP(A:A,[2]Свод!$A:$B,2,0))</f>
        <v>10</v>
      </c>
    </row>
    <row r="292" hidden="1" ht="27" customHeight="1" s="181">
      <c r="A292" t="str">
        <f>CONCATENATE(B292,"_",D292)</f>
        <v>ПДС_Знание ключевых метрик</v>
      </c>
      <c r="B292" s="1" t="inlineStr">
        <is>
          <t>ПДС</t>
        </is>
      </c>
      <c r="C292" s="1" t="inlineStr">
        <is>
          <t>3Q2026</t>
        </is>
      </c>
      <c r="D292" s="1" t="inlineStr">
        <is>
          <t>Знание ключевых метрик</t>
        </is>
      </c>
      <c r="E292" s="1" t="inlineStr">
        <is>
          <t>Совместно со Штабом УБ проведена синхронизация отчетности и знаний продукта</t>
        </is>
      </c>
      <c r="F292" s="4" t="n">
        <v>46295</v>
      </c>
      <c r="G292" s="2" t="n">
        <v>3.4</v>
      </c>
      <c r="H292" s="13" t="inlineStr">
        <is>
          <t>Ожидание</t>
        </is>
      </c>
      <c r="I292" s="1" t="inlineStr">
        <is>
          <t>Норенко Александра Викторовна</t>
        </is>
      </c>
      <c r="K292" s="179">
        <f>IF(A292="","",VLOOKUP(A:A,[2]Свод!$A:$B,2,0))</f>
        <v>3.4000000000000004</v>
      </c>
    </row>
    <row r="293" hidden="1" ht="27" customHeight="1" s="181">
      <c r="A293" t="str">
        <f>CONCATENATE(B293,"_",D293)</f>
        <v>ПДС_Цели</v>
      </c>
      <c r="B293" s="1" t="inlineStr">
        <is>
          <t>ПДС</t>
        </is>
      </c>
      <c r="C293" s="1" t="inlineStr">
        <is>
          <t>3Q2026</t>
        </is>
      </c>
      <c r="D293" s="1" t="inlineStr">
        <is>
          <t>Цели</t>
        </is>
      </c>
      <c r="E293" s="1" t="inlineStr">
        <is>
          <t>Совместно со Штабом УБ проведена синхронизация и вывод драйверов целей ЛТ/ЛЮ</t>
        </is>
      </c>
      <c r="F293" s="4" t="n">
        <v>46295</v>
      </c>
      <c r="G293" s="2" t="n">
        <v>4.0999999999999996</v>
      </c>
      <c r="H293" s="13" t="inlineStr">
        <is>
          <t>Ожидание</t>
        </is>
      </c>
      <c r="I293" s="1" t="inlineStr">
        <is>
          <t>Норенко Александра Викторовна</t>
        </is>
      </c>
      <c r="K293" s="179">
        <f>IF(A293="","",VLOOKUP(A:A,[2]Свод!$A:$B,2,0))</f>
        <v>4.0999999999999996</v>
      </c>
    </row>
    <row r="294" hidden="1" ht="27" customHeight="1" s="181">
      <c r="A294" t="str">
        <f>CONCATENATE(B294,"_",D294)</f>
        <v>ПДС_Воронка оттока</v>
      </c>
      <c r="B294" s="1" t="inlineStr">
        <is>
          <t>ПДС</t>
        </is>
      </c>
      <c r="C294" s="1" t="inlineStr">
        <is>
          <t>3Q2026</t>
        </is>
      </c>
      <c r="D294" s="1" t="inlineStr">
        <is>
          <t>Воронка оттока</t>
        </is>
      </c>
      <c r="E294" s="1" t="inlineStr">
        <is>
          <t>Настроить мониторинг по воронке оттока</t>
        </is>
      </c>
      <c r="F294" s="4" t="n">
        <v>46295</v>
      </c>
      <c r="G294" s="2" t="n">
        <v>2.1</v>
      </c>
      <c r="H294" s="13" t="inlineStr">
        <is>
          <t>Ожидание</t>
        </is>
      </c>
      <c r="I294" s="1" t="inlineStr">
        <is>
          <t>Норенко Александра Викторовна</t>
        </is>
      </c>
      <c r="K294" s="179">
        <f>IF(A294="","",VLOOKUP(A:A,[2]Свод!$A:$B,2,0))</f>
        <v>14.5</v>
      </c>
    </row>
    <row r="295" hidden="1" ht="27" customHeight="1" s="181">
      <c r="A295" t="str">
        <f>CONCATENATE(B295,"_",D295)</f>
        <v>ПДС_Воронка оттока</v>
      </c>
      <c r="B295" s="1" t="inlineStr">
        <is>
          <t>ПДС</t>
        </is>
      </c>
      <c r="C295" s="1" t="inlineStr">
        <is>
          <t>3Q2026</t>
        </is>
      </c>
      <c r="D295" s="1" t="inlineStr">
        <is>
          <t>Воронка оттока</t>
        </is>
      </c>
      <c r="E295" s="1" t="inlineStr">
        <is>
          <t>Обогатить метриками мониторинг по воронке оттока</t>
        </is>
      </c>
      <c r="F295" s="4" t="n">
        <v>46295</v>
      </c>
      <c r="G295" s="2" t="n">
        <v>2.1</v>
      </c>
      <c r="H295" s="13" t="inlineStr">
        <is>
          <t>Ожидание</t>
        </is>
      </c>
      <c r="I295" s="1" t="inlineStr">
        <is>
          <t>Норенко Александра Викторовна</t>
        </is>
      </c>
      <c r="K295" s="179">
        <f>IF(A295="","",VLOOKUP(A:A,[2]Свод!$A:$B,2,0))</f>
        <v>14.5</v>
      </c>
    </row>
    <row r="296" hidden="1" ht="27" customHeight="1" s="181">
      <c r="A296" t="str">
        <f>CONCATENATE(B296,"_",D296)</f>
        <v>ПДС_Воронка привлечения</v>
      </c>
      <c r="B296" s="1" t="inlineStr">
        <is>
          <t>ПДС</t>
        </is>
      </c>
      <c r="C296" s="1" t="inlineStr">
        <is>
          <t>3Q2026</t>
        </is>
      </c>
      <c r="D296" s="1" t="inlineStr">
        <is>
          <t>Воронка привлечения</t>
        </is>
      </c>
      <c r="E296" s="1" t="inlineStr">
        <is>
          <t>Увеличить покрытие черновиков</t>
        </is>
      </c>
      <c r="F296" s="4" t="n">
        <v>46295</v>
      </c>
      <c r="G296" s="2" t="n">
        <v>4.2</v>
      </c>
      <c r="H296" s="13" t="inlineStr">
        <is>
          <t>Ожидание</t>
        </is>
      </c>
      <c r="I296" s="1" t="inlineStr">
        <is>
          <t>Норенко Александра Викторовна</t>
        </is>
      </c>
      <c r="K296" s="179">
        <f>IF(A296="","",VLOOKUP(A:A,[2]Свод!$A:$B,2,0))</f>
        <v>6.1999999999999993</v>
      </c>
    </row>
    <row r="297" hidden="1" ht="27" customHeight="1" s="181">
      <c r="A297" t="str">
        <f>CONCATENATE(B297,"_",D297)</f>
        <v>ПДС_Воронка оттока</v>
      </c>
      <c r="B297" s="1" t="inlineStr">
        <is>
          <t>ПДС</t>
        </is>
      </c>
      <c r="C297" s="1" t="inlineStr">
        <is>
          <t>3Q2026</t>
        </is>
      </c>
      <c r="D297" s="1" t="inlineStr">
        <is>
          <t>Воронка оттока</t>
        </is>
      </c>
      <c r="E297" s="1" t="inlineStr">
        <is>
          <t>Провести анализ оттока, выявить точки роста</t>
        </is>
      </c>
      <c r="F297" s="4" t="n">
        <v>46295</v>
      </c>
      <c r="G297" s="2" t="n">
        <v>4.0999999999999996</v>
      </c>
      <c r="H297" s="13" t="inlineStr">
        <is>
          <t>Ожидание</t>
        </is>
      </c>
      <c r="I297" s="1" t="inlineStr">
        <is>
          <t>Норенко Александра Викторовна</t>
        </is>
      </c>
      <c r="K297" s="179">
        <f>IF(A297="","",VLOOKUP(A:A,[2]Свод!$A:$B,2,0))</f>
        <v>14.5</v>
      </c>
    </row>
    <row r="298" hidden="1" ht="40.5" customHeight="1" s="181">
      <c r="A298" t="str">
        <f>CONCATENATE(B298,"_",D298)</f>
        <v>Страхование залога_Знание ключевых метрик</v>
      </c>
      <c r="B298" s="1" t="inlineStr">
        <is>
          <t>Страхование залога</t>
        </is>
      </c>
      <c r="C298" s="1" t="inlineStr">
        <is>
          <t>4Q2026</t>
        </is>
      </c>
      <c r="D298" s="1" t="inlineStr">
        <is>
          <t>Знание ключевых метрик</t>
        </is>
      </c>
      <c r="E298" s="16" t="inlineStr">
        <is>
          <t>(Совместно со Штабом УБ синхронизация) Знание об отчетности в Навигаторе</t>
        </is>
      </c>
      <c r="F298" s="4" t="n">
        <v>46387</v>
      </c>
      <c r="G298" s="2" t="n">
        <v>1</v>
      </c>
      <c r="H298" s="12" t="inlineStr">
        <is>
          <t>В работе</t>
        </is>
      </c>
      <c r="I298" s="1" t="inlineStr">
        <is>
          <t>Клевалин Михаил Александрович, Казакова Кристина Юрьевна</t>
        </is>
      </c>
      <c r="J298" s="201" t="n"/>
      <c r="K298" s="179">
        <f>IF(A298="","",VLOOKUP(A:A,[2]Свод!$A:$B,2,0))</f>
        <v>1</v>
      </c>
    </row>
    <row r="299" hidden="1" ht="40.5" customHeight="1" s="181">
      <c r="A299" t="str">
        <f>CONCATENATE(B299,"_",D299)</f>
        <v>Страхование залога_Цели</v>
      </c>
      <c r="B299" s="1" t="inlineStr">
        <is>
          <t>Страхование залога</t>
        </is>
      </c>
      <c r="C299" s="1" t="inlineStr">
        <is>
          <t>4Q2026</t>
        </is>
      </c>
      <c r="D299" s="1" t="inlineStr">
        <is>
          <t>Цели</t>
        </is>
      </c>
      <c r="E299" s="16" t="inlineStr">
        <is>
          <t>(Совместно со Штабом УБ синхронизация)  Факторный анализ - драйверы 1-2 ур.</t>
        </is>
      </c>
      <c r="F299" s="4" t="n">
        <v>46387</v>
      </c>
      <c r="G299" s="2" t="n">
        <v>2.9</v>
      </c>
      <c r="H299" s="12" t="inlineStr">
        <is>
          <t>В работе</t>
        </is>
      </c>
      <c r="I299" s="1" t="inlineStr">
        <is>
          <t>Клевалин Михаил Александрович, Казакова Кристина Юрьевна</t>
        </is>
      </c>
      <c r="J299" s="331" t="n"/>
      <c r="K299" s="179">
        <f>IF(A299="","",VLOOKUP(A:A,[2]Свод!$A:$B,2,0))</f>
        <v>4.0999999999999996</v>
      </c>
    </row>
    <row r="300" hidden="1" ht="40.5" customHeight="1" s="181">
      <c r="A300" t="str">
        <f>CONCATENATE(B300,"_",D300)</f>
        <v>Страхование залога_Воронка привлечения</v>
      </c>
      <c r="B300" s="1" t="inlineStr">
        <is>
          <t>Страхование залога</t>
        </is>
      </c>
      <c r="C300" s="1" t="inlineStr">
        <is>
          <t>4Q2026</t>
        </is>
      </c>
      <c r="D300" s="1" t="inlineStr">
        <is>
          <t>Воронка привлечения</t>
        </is>
      </c>
      <c r="E300" s="16" t="inlineStr">
        <is>
          <t>(Требуется синхронизация) Настроена отчетность по воронке привлечения</t>
        </is>
      </c>
      <c r="F300" s="122" t="n">
        <v>46387</v>
      </c>
      <c r="G300" s="2" t="n">
        <v>4.2</v>
      </c>
      <c r="H300" s="12" t="inlineStr">
        <is>
          <t>В работе</t>
        </is>
      </c>
      <c r="I300" s="1" t="inlineStr">
        <is>
          <t>Клевалин Михаил Александрович, Казакова Кристина Юрьевна</t>
        </is>
      </c>
      <c r="J300" s="331" t="n"/>
      <c r="K300" s="179">
        <f>IF(A300="","",VLOOKUP(A:A,[2]Свод!$A:$B,2,0))</f>
        <v>12.6</v>
      </c>
    </row>
    <row r="301" hidden="1" ht="40.5" customHeight="1" s="181">
      <c r="A301" t="str">
        <f>CONCATENATE(B301,"_",D301)</f>
        <v>Страхование залога_Воронка привлечения</v>
      </c>
      <c r="B301" s="1" t="inlineStr">
        <is>
          <t>Страхование залога</t>
        </is>
      </c>
      <c r="C301" s="1" t="inlineStr">
        <is>
          <t>4Q2026</t>
        </is>
      </c>
      <c r="D301" s="1" t="inlineStr">
        <is>
          <t>Воронка привлечения</t>
        </is>
      </c>
      <c r="E301" s="16" t="inlineStr">
        <is>
          <t>(Требуется синхронизация) Полнота отчета - Источники/CR/CTR/CPC</t>
        </is>
      </c>
      <c r="F301" s="330" t="n"/>
      <c r="G301" s="330" t="n"/>
      <c r="H301" s="12" t="inlineStr">
        <is>
          <t>В работе</t>
        </is>
      </c>
      <c r="I301" s="1" t="inlineStr">
        <is>
          <t>Клевалин Михаил Александрович, Казакова Кристина Юрьевна</t>
        </is>
      </c>
      <c r="J301" s="331" t="n"/>
      <c r="K301" s="179">
        <f>IF(A301="","",VLOOKUP(A:A,[2]Свод!$A:$B,2,0))</f>
        <v>12.6</v>
      </c>
    </row>
    <row r="302" hidden="1" ht="40.5" customHeight="1" s="181">
      <c r="A302" t="str">
        <f>CONCATENATE(B302,"_",D302)</f>
        <v>Страхование залога_Воронка привлечения</v>
      </c>
      <c r="B302" s="1" t="inlineStr">
        <is>
          <t>Страхование залога</t>
        </is>
      </c>
      <c r="C302" s="1" t="inlineStr">
        <is>
          <t>4Q2026</t>
        </is>
      </c>
      <c r="D302" s="1" t="inlineStr">
        <is>
          <t>Воронка привлечения</t>
        </is>
      </c>
      <c r="E302" s="16" t="inlineStr">
        <is>
          <t>(Требуется синхронизация)  Регулярность автоматически (daily / weekly)</t>
        </is>
      </c>
      <c r="F302" s="332" t="n"/>
      <c r="G302" s="332" t="n"/>
      <c r="H302" s="12" t="inlineStr">
        <is>
          <t>В работе</t>
        </is>
      </c>
      <c r="I302" s="1" t="inlineStr">
        <is>
          <t>Клевалин Михаил Александрович, Казакова Кристина Юрьевна</t>
        </is>
      </c>
      <c r="J302" s="331" t="n"/>
      <c r="K302" s="179">
        <f>IF(A302="","",VLOOKUP(A:A,[2]Свод!$A:$B,2,0))</f>
        <v>12.6</v>
      </c>
    </row>
    <row r="303" hidden="1" ht="15.75" customHeight="1" s="181">
      <c r="A303" t="str">
        <f>CONCATENATE(B303,"_",D303)</f>
        <v>Страхование залога_Воронка привлечения</v>
      </c>
      <c r="B303" s="219" t="inlineStr">
        <is>
          <t>Страхование залога</t>
        </is>
      </c>
      <c r="C303" s="219" t="inlineStr">
        <is>
          <t>4Q2026</t>
        </is>
      </c>
      <c r="D303" s="219" t="inlineStr">
        <is>
          <t>Воронка привлечения</t>
        </is>
      </c>
      <c r="E303" s="16" t="inlineStr">
        <is>
          <t>Анализ - Проведение комплексного анализа воронки привлечения. Оценка эффективности, поиск точек роста</t>
        </is>
      </c>
      <c r="F303" s="232" t="n">
        <v>46387</v>
      </c>
      <c r="G303" s="2" t="n">
        <v>2.1</v>
      </c>
      <c r="H303" s="227" t="inlineStr">
        <is>
          <t>В работе</t>
        </is>
      </c>
      <c r="I303" s="8" t="inlineStr">
        <is>
          <t>Казакова Кристина Юрьевна</t>
        </is>
      </c>
      <c r="J303" s="331" t="n"/>
      <c r="K303" s="179">
        <f>IF(A303="","",VLOOKUP(A:A,[2]Свод!$A:$B,2,0))</f>
        <v>12.6</v>
      </c>
    </row>
    <row r="304" hidden="1" ht="27" customHeight="1" s="181">
      <c r="A304" t="str">
        <f>CONCATENATE(B304,"_",D304)</f>
        <v>Страхование залога_Воронка привлечения</v>
      </c>
      <c r="B304" s="1" t="inlineStr">
        <is>
          <t>Страхование залога</t>
        </is>
      </c>
      <c r="C304" s="1" t="inlineStr">
        <is>
          <t>4Q2026</t>
        </is>
      </c>
      <c r="D304" s="1" t="inlineStr">
        <is>
          <t>Воронка привлечения</t>
        </is>
      </c>
      <c r="E304" s="16" t="inlineStr">
        <is>
          <t>Кампейнинг - Черновик в СБОЛ &gt;70%</t>
        </is>
      </c>
      <c r="F304" s="4" t="n">
        <v>46387</v>
      </c>
      <c r="G304" s="2" t="n">
        <v>2.1</v>
      </c>
      <c r="H304" s="12" t="inlineStr">
        <is>
          <t>В работе</t>
        </is>
      </c>
      <c r="I304" s="1" t="inlineStr">
        <is>
          <t>Казакова Кристина Юрьевна</t>
        </is>
      </c>
      <c r="J304" s="331" t="n"/>
      <c r="K304" s="179">
        <f>IF(A304="","",VLOOKUP(A:A,[2]Свод!$A:$B,2,0))</f>
        <v>12.6</v>
      </c>
    </row>
    <row r="305" hidden="1" ht="27" customHeight="1" s="181">
      <c r="A305" t="str">
        <f>CONCATENATE(B305,"_",D305)</f>
        <v>Страхование залога_Воронка привлечения</v>
      </c>
      <c r="B305" s="1" t="inlineStr">
        <is>
          <t>Страхование залога</t>
        </is>
      </c>
      <c r="C305" s="1" t="inlineStr">
        <is>
          <t>4Q2026</t>
        </is>
      </c>
      <c r="D305" s="1" t="inlineStr">
        <is>
          <t>Воронка привлечения</t>
        </is>
      </c>
      <c r="E305" s="16" t="inlineStr">
        <is>
          <t>Кампейнинг - Наличие Self-Service</t>
        </is>
      </c>
      <c r="F305" s="4" t="n">
        <v>46266</v>
      </c>
      <c r="G305" s="2" t="n">
        <v>2.1</v>
      </c>
      <c r="H305" s="12" t="inlineStr">
        <is>
          <t>В работе</t>
        </is>
      </c>
      <c r="I305" s="1" t="inlineStr">
        <is>
          <t>Клевалин Михаил Александрович</t>
        </is>
      </c>
      <c r="J305" s="331" t="n"/>
      <c r="K305" s="179">
        <f>IF(A305="","",VLOOKUP(A:A,[2]Свод!$A:$B,2,0))</f>
        <v>12.6</v>
      </c>
    </row>
    <row r="306" hidden="1" ht="27" customHeight="1" s="181">
      <c r="A306" t="str">
        <f>CONCATENATE(B306,"_",D306)</f>
        <v>Страхование залога_Воронка привлечения</v>
      </c>
      <c r="B306" s="1" t="inlineStr">
        <is>
          <t>Страхование залога</t>
        </is>
      </c>
      <c r="C306" s="1" t="inlineStr">
        <is>
          <t>4Q2026</t>
        </is>
      </c>
      <c r="D306" s="1" t="inlineStr">
        <is>
          <t>Воронка привлечения</t>
        </is>
      </c>
      <c r="E306" s="16" t="inlineStr">
        <is>
          <t>Кампейнинг - Наличие успешных бизнес-запусков  Self-Service</t>
        </is>
      </c>
      <c r="F306" s="4" t="n">
        <v>46387</v>
      </c>
      <c r="G306" s="2" t="n">
        <v>2.1</v>
      </c>
      <c r="H306" s="12" t="inlineStr">
        <is>
          <t>В работе</t>
        </is>
      </c>
      <c r="I306" s="1" t="inlineStr">
        <is>
          <t>Клевалин Михаил Александрович</t>
        </is>
      </c>
      <c r="J306" s="331" t="n"/>
      <c r="K306" s="179">
        <f>IF(A306="","",VLOOKUP(A:A,[2]Свод!$A:$B,2,0))</f>
        <v>12.6</v>
      </c>
    </row>
    <row r="307" hidden="1" ht="27" customHeight="1" s="181">
      <c r="A307" t="str">
        <f>CONCATENATE(B307,"_",D307)</f>
        <v>Страхование залога_Воронка оттока</v>
      </c>
      <c r="B307" s="1" t="inlineStr">
        <is>
          <t>Страхование залога</t>
        </is>
      </c>
      <c r="C307" s="1" t="inlineStr">
        <is>
          <t>4Q2026</t>
        </is>
      </c>
      <c r="D307" s="1" t="inlineStr">
        <is>
          <t>Воронка оттока</t>
        </is>
      </c>
      <c r="E307" s="16" t="inlineStr">
        <is>
          <t>Отчетность - Полнота отчета</t>
        </is>
      </c>
      <c r="F307" s="4" t="n">
        <v>46387</v>
      </c>
      <c r="G307" s="2" t="n">
        <v>2.1</v>
      </c>
      <c r="H307" s="13" t="inlineStr">
        <is>
          <t>Ожидание</t>
        </is>
      </c>
      <c r="I307" s="1" t="inlineStr">
        <is>
          <t>Казакова Кристина Юрьевна</t>
        </is>
      </c>
      <c r="J307" s="331" t="n"/>
      <c r="K307" s="179">
        <f>IF(A307="","",VLOOKUP(A:A,[2]Свод!$A:$B,2,0))</f>
        <v>4.2</v>
      </c>
    </row>
    <row r="308" hidden="1" ht="27" customHeight="1" s="181">
      <c r="A308" t="str">
        <f>CONCATENATE(B308,"_",D308)</f>
        <v>Страхование залога_Воронка оттока</v>
      </c>
      <c r="B308" s="1" t="inlineStr">
        <is>
          <t>Страхование залога</t>
        </is>
      </c>
      <c r="C308" s="1" t="inlineStr">
        <is>
          <t>4Q2026</t>
        </is>
      </c>
      <c r="D308" s="1" t="inlineStr">
        <is>
          <t>Воронка оттока</t>
        </is>
      </c>
      <c r="E308" s="16" t="inlineStr">
        <is>
          <t>Отчетность - Проведение комплексного анализа воронки оттока</t>
        </is>
      </c>
      <c r="F308" s="4" t="n">
        <v>46387</v>
      </c>
      <c r="G308" s="2" t="n">
        <v>2.1</v>
      </c>
      <c r="H308" s="13" t="inlineStr">
        <is>
          <t>Ожидание</t>
        </is>
      </c>
      <c r="I308" s="1" t="inlineStr">
        <is>
          <t>Казакова Кристина Юрьевна</t>
        </is>
      </c>
      <c r="J308" s="331" t="n"/>
      <c r="K308" s="179">
        <f>IF(A308="","",VLOOKUP(A:A,[2]Свод!$A:$B,2,0))</f>
        <v>4.2</v>
      </c>
    </row>
    <row r="309" hidden="1" s="181">
      <c r="A309" t="str">
        <f>CONCATENATE(B309,"_",D309)</f>
        <v>ЦФА_Механики</v>
      </c>
      <c r="B309" s="1" t="inlineStr">
        <is>
          <t>ЦФА</t>
        </is>
      </c>
      <c r="C309" s="1" t="inlineStr">
        <is>
          <t>3Q2026</t>
        </is>
      </c>
      <c r="D309" s="1" t="inlineStr">
        <is>
          <t>Механики</t>
        </is>
      </c>
      <c r="E309" s="1" t="inlineStr">
        <is>
          <t>Гибкое изменение условий продукта</t>
        </is>
      </c>
      <c r="F309" s="4" t="n">
        <v>46295</v>
      </c>
      <c r="G309" s="2" t="n">
        <v>5.2</v>
      </c>
      <c r="H309" s="12" t="inlineStr">
        <is>
          <t>В работе</t>
        </is>
      </c>
      <c r="I309" s="1" t="inlineStr">
        <is>
          <t>Илларионов Артем</t>
        </is>
      </c>
      <c r="K309" s="179">
        <f>IF(A309="","",VLOOKUP(A:A,[2]Свод!$A:$B,2,0))</f>
        <v>5.2</v>
      </c>
    </row>
    <row r="310" hidden="1" ht="27" customHeight="1" s="181">
      <c r="A310" t="str">
        <f>CONCATENATE(B310,"_",D310)</f>
        <v>ЦФА_Знание ключевых метрик</v>
      </c>
      <c r="B310" s="1" t="inlineStr">
        <is>
          <t>ЦФА</t>
        </is>
      </c>
      <c r="C310" s="1" t="inlineStr">
        <is>
          <t>4Q2026</t>
        </is>
      </c>
      <c r="D310" s="1" t="inlineStr">
        <is>
          <t>Знание ключевых метрик</t>
        </is>
      </c>
      <c r="E310" s="1" t="inlineStr">
        <is>
          <t>Определить объем целевого рынка России и Сбера совместно со Штабом УБ</t>
        </is>
      </c>
      <c r="F310" s="4" t="n">
        <v>46387</v>
      </c>
      <c r="G310" s="2" t="n">
        <v>4.3</v>
      </c>
      <c r="H310" s="12" t="inlineStr">
        <is>
          <t>В работе</t>
        </is>
      </c>
      <c r="I310" s="1" t="inlineStr">
        <is>
          <t>Илларионов Артем, Тихонов Сергей, Лесин Никита</t>
        </is>
      </c>
      <c r="K310" s="179">
        <f>IF(A310="","",VLOOKUP(A:A,[2]Свод!$A:$B,2,0))</f>
        <v>4.3</v>
      </c>
    </row>
    <row r="311" hidden="1" ht="58.5" customHeight="1" s="181">
      <c r="A311" t="str">
        <f>CONCATENATE(B311,"_",D311)</f>
        <v>ЦФА_Гипотезы и инициативы</v>
      </c>
      <c r="B311" s="1" t="inlineStr">
        <is>
          <t>ЦФА</t>
        </is>
      </c>
      <c r="C311" s="1" t="inlineStr">
        <is>
          <t>4Q2026</t>
        </is>
      </c>
      <c r="D311" s="1" t="inlineStr">
        <is>
          <t>Гипотезы и инициативы</t>
        </is>
      </c>
      <c r="E311" s="1" t="inlineStr">
        <is>
          <t>Сфокусировать бэклог аналитиков на research-задачи</t>
        </is>
      </c>
      <c r="F311" s="4" t="n">
        <v>46387</v>
      </c>
      <c r="G311" s="2" t="n">
        <v>5.2</v>
      </c>
      <c r="H311" s="12" t="inlineStr">
        <is>
          <t>В работе</t>
        </is>
      </c>
      <c r="I311" s="1" t="inlineStr">
        <is>
          <t>Илларионов Артем</t>
        </is>
      </c>
      <c r="J311" s="221" t="inlineStr">
        <is>
          <t>для подтверждения данной метрики требуется направить ссылку на пространство DA продукта в Jira/сбертрек</t>
        </is>
      </c>
      <c r="K311" s="179">
        <f>IF(A311="","",VLOOKUP(A:A,[2]Свод!$A:$B,2,0))</f>
        <v>10.4</v>
      </c>
    </row>
    <row r="312" hidden="1" s="181">
      <c r="A312" t="str">
        <f>CONCATENATE(B312,"_",D312)</f>
        <v>ЦФА_Воронка оттока</v>
      </c>
      <c r="B312" s="1" t="inlineStr">
        <is>
          <t>ЦФА</t>
        </is>
      </c>
      <c r="C312" s="1" t="inlineStr">
        <is>
          <t>4Q2026</t>
        </is>
      </c>
      <c r="D312" s="1" t="inlineStr">
        <is>
          <t>Воронка оттока</t>
        </is>
      </c>
      <c r="E312" s="1" t="inlineStr">
        <is>
          <t>Настроить мониторинг по воронке оттока совместно со Штабом УБ</t>
        </is>
      </c>
      <c r="F312" s="4" t="n">
        <v>46387</v>
      </c>
      <c r="G312" s="2" t="n">
        <v>2.6</v>
      </c>
      <c r="H312" s="12" t="inlineStr">
        <is>
          <t>В работе</t>
        </is>
      </c>
      <c r="I312" s="1" t="inlineStr">
        <is>
          <t>Илларионов Артем</t>
        </is>
      </c>
      <c r="K312" s="179">
        <f>IF(A312="","",VLOOKUP(A:A,[2]Свод!$A:$B,2,0))</f>
        <v>13</v>
      </c>
    </row>
    <row r="313" hidden="1" s="181">
      <c r="A313" t="str">
        <f>CONCATENATE(B313,"_",D313)</f>
        <v>ЦФА_Гипотезы и инициативы</v>
      </c>
      <c r="B313" s="1" t="inlineStr">
        <is>
          <t>ЦФА</t>
        </is>
      </c>
      <c r="C313" s="1" t="inlineStr">
        <is>
          <t>4Q2026</t>
        </is>
      </c>
      <c r="D313" s="1" t="inlineStr">
        <is>
          <t>Гипотезы и инициативы</t>
        </is>
      </c>
      <c r="E313" s="1" t="inlineStr">
        <is>
          <t>Повысить качество проведенных исследований</t>
        </is>
      </c>
      <c r="F313" s="4" t="n">
        <v>46387</v>
      </c>
      <c r="G313" s="2" t="n">
        <v>5.2</v>
      </c>
      <c r="H313" s="12" t="inlineStr">
        <is>
          <t>В работе</t>
        </is>
      </c>
      <c r="I313" s="1" t="inlineStr">
        <is>
          <t>Илларионов Артем</t>
        </is>
      </c>
      <c r="K313" s="179">
        <f>IF(A313="","",VLOOKUP(A:A,[2]Свод!$A:$B,2,0))</f>
        <v>10.4</v>
      </c>
    </row>
    <row r="314">
      <c r="B314" s="294" t="n"/>
      <c r="C314" s="294" t="n"/>
      <c r="D314" s="294" t="n"/>
      <c r="E314" s="294" t="n"/>
      <c r="F314" s="210" t="n"/>
      <c r="G314" s="158" t="n"/>
      <c r="I314" s="294" t="n"/>
    </row>
    <row r="315">
      <c r="B315" s="294" t="n"/>
      <c r="C315" s="294" t="n"/>
      <c r="D315" s="294" t="n"/>
      <c r="E315" s="294" t="n"/>
      <c r="F315" s="210" t="n"/>
      <c r="G315" s="158" t="n"/>
      <c r="I315" s="294" t="n"/>
    </row>
    <row r="317" ht="27" customHeight="1" s="181">
      <c r="B317" s="88" t="inlineStr">
        <is>
          <t>Продукт</t>
        </is>
      </c>
      <c r="C317" s="88" t="inlineStr">
        <is>
          <t>Наличие ДК</t>
        </is>
      </c>
      <c r="D317" s="88" t="inlineStr">
        <is>
          <t>Текущий индекс DD</t>
        </is>
      </c>
      <c r="E317" s="88" t="inlineStr">
        <is>
          <t>Ожидание прироста индекса DD, п.п</t>
        </is>
      </c>
      <c r="F317" s="88" t="inlineStr">
        <is>
          <t>Прогноз индекса DD</t>
        </is>
      </c>
    </row>
    <row r="318">
      <c r="B318" s="89" t="inlineStr">
        <is>
          <t>СберСова</t>
        </is>
      </c>
      <c r="C318" s="90" t="inlineStr">
        <is>
          <t>есть</t>
        </is>
      </c>
      <c r="D318" s="28" t="n">
        <v>0.47</v>
      </c>
      <c r="E318" s="29">
        <f>SUMIF($B$2:$B$313,B318,$G$2:$G$313)/100</f>
        <v>0.29799999999999999</v>
      </c>
      <c r="F318" s="35">
        <f>D318+E318</f>
        <v>0.76800000000000002</v>
      </c>
    </row>
    <row r="319">
      <c r="B319" s="89" t="inlineStr">
        <is>
          <t>БПИФ</t>
        </is>
      </c>
      <c r="C319" s="90" t="inlineStr">
        <is>
          <t>есть</t>
        </is>
      </c>
      <c r="D319" s="30" t="n">
        <v>0.52</v>
      </c>
      <c r="E319" s="29">
        <f>SUMIF($B$2:$B$313,B319,$G$2:$G$313)/100</f>
        <v>0.20300000000000001</v>
      </c>
      <c r="F319" s="36">
        <f>D319+E319</f>
        <v>0.72300000000000009</v>
      </c>
    </row>
    <row r="320" ht="33" customHeight="1" s="181">
      <c r="B320" s="89" t="inlineStr">
        <is>
          <t>Брокерский счет</t>
        </is>
      </c>
      <c r="C320" s="90" t="inlineStr">
        <is>
          <t>есть, но недостаточно</t>
        </is>
      </c>
      <c r="D320" s="30" t="n">
        <v>0.42</v>
      </c>
      <c r="E320" s="31">
        <f>SUMIF($B$2:$B$313,B320,$G$2:$G$313)/100</f>
        <v>8.5999999999999993E-2</v>
      </c>
      <c r="F320" s="36">
        <f>D320+E320</f>
        <v>0.50600000000000001</v>
      </c>
    </row>
    <row r="321" ht="100.5" customHeight="1" s="181">
      <c r="B321" s="89" t="inlineStr">
        <is>
          <t>ВЗР</t>
        </is>
      </c>
      <c r="C321" s="90" t="inlineStr">
        <is>
          <t>формально есть, но мероприятия непонятны и не конкретны, ожидания прироста нереалистичны</t>
        </is>
      </c>
      <c r="D321" s="30" t="n">
        <v>0.56000000000000005</v>
      </c>
      <c r="E321" s="31">
        <f>SUMIF($B$2:$B$313,B321,$G$2:$G$313)/100</f>
        <v>0.36199999999999993</v>
      </c>
      <c r="F321" s="37">
        <f>D321+E321</f>
        <v>0.92199999999999993</v>
      </c>
    </row>
    <row r="322" ht="30.75" customHeight="1" s="181">
      <c r="B322" s="89" t="inlineStr">
        <is>
          <t>ДСЖ ПК</t>
        </is>
      </c>
      <c r="C322" s="90" t="inlineStr">
        <is>
          <t>не хватает конкретики</t>
        </is>
      </c>
      <c r="D322" s="30" t="n">
        <v>0.55000000000000004</v>
      </c>
      <c r="E322" s="31">
        <f>SUMIF($B$2:$B$313,B322,$G$2:$G$313)/100</f>
        <v>0</v>
      </c>
      <c r="F322" s="36">
        <f>D322+E322</f>
        <v>0.55000000000000004</v>
      </c>
    </row>
    <row r="323">
      <c r="B323" s="89" t="inlineStr">
        <is>
          <t>ДСЖ КК</t>
        </is>
      </c>
      <c r="C323" s="90" t="inlineStr">
        <is>
          <t>есть</t>
        </is>
      </c>
      <c r="D323" s="28" t="n">
        <v>0.56000000000000005</v>
      </c>
      <c r="E323" s="31">
        <f>SUMIF($B$2:$B$313,B323,$G$2:$G$313)/100</f>
        <v>0.43300000000000005</v>
      </c>
      <c r="F323" s="37">
        <f>D323+E323</f>
        <v>0.9930000000000001</v>
      </c>
    </row>
    <row r="324" ht="59.25" customHeight="1" s="181">
      <c r="B324" s="89" t="inlineStr">
        <is>
          <t>Залоговое страхование (корпоративное страхование)</t>
        </is>
      </c>
      <c r="C324" s="89" t="inlineStr">
        <is>
          <t>есть</t>
        </is>
      </c>
      <c r="D324" s="30" t="n">
        <v>0.4</v>
      </c>
      <c r="E324" s="31">
        <f>SUMIF($B$2:$B$313,B324,$G$2:$G$313)/100</f>
        <v>0.21400000000000002</v>
      </c>
      <c r="F324" s="36">
        <f>D324+E324</f>
        <v>0.6140000000000001</v>
      </c>
    </row>
    <row r="325" ht="113.25" customHeight="1" s="181">
      <c r="B325" s="89" t="inlineStr">
        <is>
          <t>ЗЛС</t>
        </is>
      </c>
      <c r="C325" s="90" t="inlineStr">
        <is>
          <t>мероприятия в основном - синхронизация по логике расчета, ожидания прироста нереалистичны</t>
        </is>
      </c>
      <c r="D325" s="30" t="n">
        <v>0.54</v>
      </c>
      <c r="E325" s="31">
        <f>SUMIF($B$2:$B$313,B325,$G$2:$G$313)/100</f>
        <v>0.45600000000000002</v>
      </c>
      <c r="F325" s="37">
        <f>D325+E325</f>
        <v>0.996</v>
      </c>
    </row>
    <row r="326">
      <c r="B326" s="89" t="inlineStr">
        <is>
          <t>ЗПИФ</t>
        </is>
      </c>
      <c r="C326" s="32" t="n"/>
      <c r="D326" s="33" t="n">
        <v>0.65</v>
      </c>
      <c r="E326" s="31">
        <f>SUMIF($B$2:$B$313,B326,$G$2:$G$313)/100</f>
        <v>0.18200000000000002</v>
      </c>
      <c r="F326" s="36">
        <f>D326+E326</f>
        <v>0.83200000000000007</v>
      </c>
    </row>
    <row r="327" ht="27" customHeight="1" s="181">
      <c r="B327" s="89" t="inlineStr">
        <is>
          <t>ИнвестКопилка</t>
        </is>
      </c>
      <c r="C327" s="32" t="n"/>
      <c r="D327" s="28" t="n">
        <v>0.5</v>
      </c>
      <c r="E327" s="31">
        <f>SUMIF($B$2:$B$313,B327,$G$2:$G$313)/100</f>
        <v>0.34899999999999998</v>
      </c>
      <c r="F327" s="36">
        <f>D327+E327</f>
        <v>0.84899999999999998</v>
      </c>
    </row>
    <row r="328">
      <c r="B328" s="89" t="inlineStr">
        <is>
          <t>ИСЖ</t>
        </is>
      </c>
      <c r="C328" s="32" t="n"/>
      <c r="D328" s="28" t="n">
        <v>0.46</v>
      </c>
      <c r="E328" s="31">
        <f>SUMIF($B$2:$B$313,B328,$G$2:$G$313)/100</f>
        <v>0.20700000000000002</v>
      </c>
      <c r="F328" s="36">
        <f>D328+E328</f>
        <v>0.66700000000000004</v>
      </c>
    </row>
    <row r="329">
      <c r="B329" s="89" t="inlineStr">
        <is>
          <t>КАСКО</t>
        </is>
      </c>
      <c r="C329" s="32" t="n"/>
      <c r="D329" s="33" t="n">
        <v>0.63</v>
      </c>
      <c r="E329" s="31">
        <f>SUMIF($B$2:$B$313,B329,$G$2:$G$313)/100</f>
        <v>0.15</v>
      </c>
      <c r="F329" s="36">
        <f>D329+E329</f>
        <v>0.78</v>
      </c>
    </row>
    <row r="330">
      <c r="B330" s="89" t="inlineStr">
        <is>
          <t>НСЖ</t>
        </is>
      </c>
      <c r="C330" s="32" t="n"/>
      <c r="D330" s="28" t="n">
        <v>0.43</v>
      </c>
      <c r="E330" s="31">
        <f>SUMIF($B$2:$B$313,B330,$G$2:$G$313)/100</f>
        <v>0.20599999999999999</v>
      </c>
      <c r="F330" s="36">
        <f>D330+E330</f>
        <v>0.63600000000000001</v>
      </c>
    </row>
    <row r="331">
      <c r="B331" s="89" t="inlineStr">
        <is>
          <t>ОПИФ</t>
        </is>
      </c>
      <c r="C331" s="32" t="n"/>
      <c r="D331" s="33" t="n">
        <v>0.62</v>
      </c>
      <c r="E331" s="31">
        <f>SUMIF($B$2:$B$313,B331,$G$2:$G$313)/100</f>
        <v>0.187</v>
      </c>
      <c r="F331" s="36">
        <f>D331+E331</f>
        <v>0.80699999999999994</v>
      </c>
    </row>
    <row r="332">
      <c r="B332" s="89" t="inlineStr">
        <is>
          <t>ОСАГО</t>
        </is>
      </c>
      <c r="C332" s="90" t="inlineStr">
        <is>
          <t>есть</t>
        </is>
      </c>
      <c r="D332" s="33" t="n">
        <v>0.61</v>
      </c>
      <c r="E332" s="31">
        <f>SUMIF($B$2:$B$313,B332,$G$2:$G$313)/100</f>
        <v>0.13</v>
      </c>
      <c r="F332" s="36">
        <f>D332+E332</f>
        <v>0.74</v>
      </c>
    </row>
    <row r="333">
      <c r="B333" s="89" t="inlineStr">
        <is>
          <t>ПДС</t>
        </is>
      </c>
      <c r="C333" s="90" t="inlineStr">
        <is>
          <t>есть</t>
        </is>
      </c>
      <c r="D333" s="28" t="n">
        <v>0.53</v>
      </c>
      <c r="E333" s="31">
        <f>SUMIF($B$2:$B$313,B333,$G$2:$G$313)/100</f>
        <v>0.2</v>
      </c>
      <c r="F333" s="36">
        <f>D333+E333</f>
        <v>0.73</v>
      </c>
    </row>
    <row r="334" ht="67.5" customHeight="1" s="181">
      <c r="B334" s="89" t="inlineStr">
        <is>
          <t>Страхование залога</t>
        </is>
      </c>
      <c r="C334" s="90" t="inlineStr">
        <is>
          <t>Формально есть, но непонятны мероприятия, нет конкретики</t>
        </is>
      </c>
      <c r="D334" s="30" t="n">
        <v>0.54</v>
      </c>
      <c r="E334" s="31">
        <f>SUMIF($B$2:$B$313,B334,$G$2:$G$313)/100</f>
        <v>0.20700000000000002</v>
      </c>
      <c r="F334" s="36">
        <f>D334+E334</f>
        <v>0.74700000000000011</v>
      </c>
    </row>
    <row r="335" ht="138" customHeight="1" s="181">
      <c r="B335" s="89" t="inlineStr">
        <is>
          <t>ЦФА</t>
        </is>
      </c>
      <c r="C335" s="90" t="inlineStr">
        <is>
          <t>Нет конкретных мероприятий, взяли рекомендации из дэшборда по DD. Ожидаемого прироста недостаточно для цели</t>
        </is>
      </c>
      <c r="D335" s="30" t="n">
        <v>0.27</v>
      </c>
      <c r="E335" s="31">
        <f>SUMIF($B$2:$B$313,B335,$G$2:$G$313)/100</f>
        <v>0.22500000000000001</v>
      </c>
      <c r="F335" s="37">
        <f>D335+E335</f>
        <v>0.495</v>
      </c>
    </row>
    <row r="336" ht="27" customHeight="1" s="181">
      <c r="B336" s="89" t="inlineStr">
        <is>
          <t>Личная защита Плюс</t>
        </is>
      </c>
      <c r="C336" s="91" t="inlineStr">
        <is>
          <t>нет</t>
        </is>
      </c>
      <c r="D336" s="34" t="n">
        <v>0.61</v>
      </c>
      <c r="E336" s="31">
        <f>SUMIF($B$2:$B$313,B336,$G$2:$G$313)/100</f>
        <v>0</v>
      </c>
      <c r="F336" s="36">
        <f>D336+E336</f>
        <v>0.61</v>
      </c>
    </row>
    <row r="337" ht="28.5" customHeight="1" s="181">
      <c r="B337" s="89" t="inlineStr">
        <is>
          <t>Страхование жизни</t>
        </is>
      </c>
      <c r="C337" s="91" t="inlineStr">
        <is>
          <t>нет</t>
        </is>
      </c>
      <c r="D337" s="28" t="n">
        <v>0.44</v>
      </c>
      <c r="E337" s="31">
        <f>SUMIF($B$2:$B$313,B337,$G$2:$G$313)/100</f>
        <v>0</v>
      </c>
      <c r="F337" s="37">
        <f>D337+E337</f>
        <v>0.44</v>
      </c>
    </row>
    <row r="338" ht="17.25" customHeight="1" s="181">
      <c r="B338" s="89" t="inlineStr">
        <is>
          <t>ДУ</t>
        </is>
      </c>
      <c r="C338" s="91" t="inlineStr">
        <is>
          <t>нет</t>
        </is>
      </c>
      <c r="D338" s="28" t="n">
        <v>0.36</v>
      </c>
      <c r="E338" s="31">
        <f>SUMIF($B$2:$B$313,B338,$G$2:$G$313)/100</f>
        <v>0</v>
      </c>
      <c r="F338" s="37">
        <f>D338+E338</f>
        <v>0.36</v>
      </c>
    </row>
  </sheetData>
  <autoFilter ref="B1:J313">
    <filterColumn colId="0" hiddenButton="0" showButton="1">
      <filters>
        <filter val="ВЗР"/>
      </filters>
    </filterColumn>
  </autoFilter>
  <mergeCells count="152">
    <mergeCell ref="C128:C129"/>
    <mergeCell ref="F253:F255"/>
    <mergeCell ref="H253:H255"/>
    <mergeCell ref="B117:B127"/>
    <mergeCell ref="B102:B116"/>
    <mergeCell ref="H200:H211"/>
    <mergeCell ref="J200:J211"/>
    <mergeCell ref="H180:H183"/>
    <mergeCell ref="J180:J183"/>
    <mergeCell ref="B212:B223"/>
    <mergeCell ref="B88:B98"/>
    <mergeCell ref="C117:C127"/>
    <mergeCell ref="G59:G83"/>
    <mergeCell ref="B151:B167"/>
    <mergeCell ref="H128:H129"/>
    <mergeCell ref="I59:I83"/>
    <mergeCell ref="D151:D167"/>
    <mergeCell ref="J128:J129"/>
    <mergeCell ref="B128:B129"/>
    <mergeCell ref="B84:B87"/>
    <mergeCell ref="I117:I127"/>
    <mergeCell ref="F136:F137"/>
    <mergeCell ref="J298:J308"/>
    <mergeCell ref="B249:B252"/>
    <mergeCell ref="H136:H137"/>
    <mergeCell ref="I200:I211"/>
    <mergeCell ref="C168:C179"/>
    <mergeCell ref="G23:G58"/>
    <mergeCell ref="G224:G235"/>
    <mergeCell ref="C99:C101"/>
    <mergeCell ref="J212:J223"/>
    <mergeCell ref="J117:J127"/>
    <mergeCell ref="C256:C257"/>
    <mergeCell ref="G102:G116"/>
    <mergeCell ref="G136:G137"/>
    <mergeCell ref="C88:C98"/>
    <mergeCell ref="I136:I137"/>
    <mergeCell ref="G212:G223"/>
    <mergeCell ref="D249:D252"/>
    <mergeCell ref="H99:H101"/>
    <mergeCell ref="H117:H127"/>
    <mergeCell ref="B99:B101"/>
    <mergeCell ref="H102:H116"/>
    <mergeCell ref="G151:G167"/>
    <mergeCell ref="J102:J116"/>
    <mergeCell ref="I151:I167"/>
    <mergeCell ref="C84:C87"/>
    <mergeCell ref="D23:D58"/>
    <mergeCell ref="G128:G129"/>
    <mergeCell ref="F300:F302"/>
    <mergeCell ref="H88:H98"/>
    <mergeCell ref="B200:B211"/>
    <mergeCell ref="F168:F179"/>
    <mergeCell ref="H23:H58"/>
    <mergeCell ref="H168:H179"/>
    <mergeCell ref="J23:J58"/>
    <mergeCell ref="H224:H235"/>
    <mergeCell ref="J224:J235"/>
    <mergeCell ref="G300:G302"/>
    <mergeCell ref="B224:B235"/>
    <mergeCell ref="H84:H87"/>
    <mergeCell ref="J99:J101"/>
    <mergeCell ref="D200:D211"/>
    <mergeCell ref="F200:F211"/>
    <mergeCell ref="D180:D183"/>
    <mergeCell ref="F180:F183"/>
    <mergeCell ref="G184:G199"/>
    <mergeCell ref="I184:I199"/>
    <mergeCell ref="D253:D255"/>
    <mergeCell ref="J88:J98"/>
    <mergeCell ref="J20:J22"/>
    <mergeCell ref="C59:C83"/>
    <mergeCell ref="H151:H167"/>
    <mergeCell ref="G200:G211"/>
    <mergeCell ref="C102:C116"/>
    <mergeCell ref="I256:I257"/>
    <mergeCell ref="G117:G127"/>
    <mergeCell ref="D136:D137"/>
    <mergeCell ref="D184:D199"/>
    <mergeCell ref="F184:F199"/>
    <mergeCell ref="C253:C255"/>
    <mergeCell ref="C151:C167"/>
    <mergeCell ref="C23:C58"/>
    <mergeCell ref="I168:I179"/>
    <mergeCell ref="C224:C235"/>
    <mergeCell ref="C180:C183"/>
    <mergeCell ref="F212:F223"/>
    <mergeCell ref="G180:G183"/>
    <mergeCell ref="I180:I183"/>
    <mergeCell ref="C212:C223"/>
    <mergeCell ref="D99:D101"/>
    <mergeCell ref="D117:D127"/>
    <mergeCell ref="F99:F101"/>
    <mergeCell ref="F59:F83"/>
    <mergeCell ref="J130:J131"/>
    <mergeCell ref="I212:I223"/>
    <mergeCell ref="H59:H83"/>
    <mergeCell ref="D102:D116"/>
    <mergeCell ref="J59:J83"/>
    <mergeCell ref="F102:F116"/>
    <mergeCell ref="I128:I129"/>
    <mergeCell ref="B256:B257"/>
    <mergeCell ref="D256:D257"/>
    <mergeCell ref="D88:D98"/>
    <mergeCell ref="F88:F98"/>
    <mergeCell ref="B253:B255"/>
    <mergeCell ref="C249:C252"/>
    <mergeCell ref="F256:F257"/>
    <mergeCell ref="H256:H257"/>
    <mergeCell ref="B168:B179"/>
    <mergeCell ref="F151:F167"/>
    <mergeCell ref="D168:D179"/>
    <mergeCell ref="F23:F58"/>
    <mergeCell ref="D224:D235"/>
    <mergeCell ref="D128:D129"/>
    <mergeCell ref="F224:F235"/>
    <mergeCell ref="F128:F129"/>
    <mergeCell ref="D84:D87"/>
    <mergeCell ref="J177:J179"/>
    <mergeCell ref="F84:F87"/>
    <mergeCell ref="J136:J137"/>
    <mergeCell ref="J249:J250"/>
    <mergeCell ref="B136:B137"/>
    <mergeCell ref="G168:G179"/>
    <mergeCell ref="I23:I58"/>
    <mergeCell ref="J84:J87"/>
    <mergeCell ref="B180:B183"/>
    <mergeCell ref="H212:H223"/>
    <mergeCell ref="G254:G255"/>
    <mergeCell ref="G99:G101"/>
    <mergeCell ref="I99:I101"/>
    <mergeCell ref="C200:C211"/>
    <mergeCell ref="I102:I116"/>
    <mergeCell ref="F117:F127"/>
    <mergeCell ref="H184:H199"/>
    <mergeCell ref="G88:G98"/>
    <mergeCell ref="J184:J199"/>
    <mergeCell ref="I88:I98"/>
    <mergeCell ref="B184:B199"/>
    <mergeCell ref="F249:F252"/>
    <mergeCell ref="H249:H252"/>
    <mergeCell ref="B59:B83"/>
    <mergeCell ref="D59:D83"/>
    <mergeCell ref="G249:G251"/>
    <mergeCell ref="I224:I235"/>
    <mergeCell ref="G84:G87"/>
    <mergeCell ref="C136:C137"/>
    <mergeCell ref="I84:I87"/>
    <mergeCell ref="C184:C199"/>
    <mergeCell ref="I249:I252"/>
    <mergeCell ref="B23:B58"/>
    <mergeCell ref="D212:D223"/>
  </mergeCells>
  <hyperlinks>
    <hyperlink ref="E27" r:id="rId1"/>
    <hyperlink ref="E78" r:id="rId2"/>
    <hyperlink ref="E83" r:id="rId3"/>
    <hyperlink ref="E163" r:id="rId4"/>
    <hyperlink ref="E203" r:id="rId5"/>
    <hyperlink ref="E209" r:id="rId6"/>
    <hyperlink ref="E210" r:id="rId7"/>
    <hyperlink ref="E211" r:id="rId8"/>
    <hyperlink ref="E214" r:id="rId9"/>
    <hyperlink ref="E215" r:id="rId10"/>
    <hyperlink ref="E250" r:id="rId1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  <outlinePr summaryBelow="1" summaryRight="1"/>
    <pageSetUpPr/>
  </sheetPr>
  <dimension ref="A1:K146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1" sqref="D31"/>
    </sheetView>
  </sheetViews>
  <sheetFormatPr baseColWidth="8" defaultRowHeight="15.75"/>
  <cols>
    <col width="8.375" customWidth="1" style="181" min="1" max="1"/>
    <col width="11.625" customWidth="1" style="181" min="2" max="2"/>
    <col width="13.25" customWidth="1" style="181" min="3" max="3"/>
    <col width="108.875" customWidth="1" style="181" min="4" max="4"/>
    <col width="11.5" customWidth="1" style="181" min="5" max="5"/>
    <col width="14.125" customWidth="1" style="181" min="6" max="6"/>
    <col width="10.125" customWidth="1" style="181" min="7" max="7"/>
    <col width="30.5" customWidth="1" style="181" min="8" max="8"/>
    <col width="17.625" customWidth="1" style="181" min="9" max="9"/>
    <col width="10.5" customWidth="1" style="181" min="10" max="10"/>
    <col width="12" customWidth="1" style="181" min="11" max="11"/>
  </cols>
  <sheetData>
    <row r="1" ht="54.75" customHeight="1" s="181" thickBot="1">
      <c r="A1" s="139" t="inlineStr">
        <is>
          <t>Продукт</t>
        </is>
      </c>
      <c r="B1" s="140" t="inlineStr">
        <is>
          <t>Квартал</t>
        </is>
      </c>
      <c r="C1" s="140" t="inlineStr">
        <is>
          <t>Блок для развития</t>
        </is>
      </c>
      <c r="D1" s="140" t="inlineStr">
        <is>
          <t>Планируемое мероприятие</t>
        </is>
      </c>
      <c r="E1" s="140" t="inlineStr">
        <is>
          <t>Срок исполнения</t>
        </is>
      </c>
      <c r="F1" s="140" t="inlineStr">
        <is>
          <t>Ожидание прироста индекса DD, п.п.</t>
        </is>
      </c>
      <c r="G1" s="140" t="inlineStr">
        <is>
          <t>Статус</t>
        </is>
      </c>
      <c r="H1" s="183" t="inlineStr">
        <is>
          <t>Контактное лицо (ФИО)</t>
        </is>
      </c>
      <c r="I1" s="9" t="inlineStr">
        <is>
          <t>Верификация мероприятий Штабом B2C</t>
        </is>
      </c>
      <c r="J1" s="9" t="inlineStr">
        <is>
          <t>Текущий индекс DD</t>
        </is>
      </c>
      <c r="K1" s="9" t="inlineStr">
        <is>
          <t>Прогноз индекса DD</t>
        </is>
      </c>
    </row>
    <row r="2">
      <c r="A2" s="342" t="inlineStr">
        <is>
          <t>ВЗР</t>
        </is>
      </c>
      <c r="B2" s="342" t="inlineStr">
        <is>
          <t>3Q2026</t>
        </is>
      </c>
      <c r="C2" s="342" t="inlineStr">
        <is>
          <t>Знание ключевых метрик</t>
        </is>
      </c>
      <c r="D2" s="142" t="inlineStr">
        <is>
          <t>Объем целевого рынка в России (+0,8 п.п.)</t>
        </is>
      </c>
      <c r="E2" s="342" t="inlineStr">
        <is>
          <t>Данные уже имеются</t>
        </is>
      </c>
      <c r="F2" s="342" t="inlineStr">
        <is>
          <t>+4,48 п.п.</t>
        </is>
      </c>
      <c r="G2" s="343" t="inlineStr">
        <is>
          <t>Ожидание</t>
        </is>
      </c>
      <c r="H2" s="189" t="inlineStr">
        <is>
          <t>Мартусенко Игорь Викторович</t>
        </is>
      </c>
      <c r="I2" s="161" t="n"/>
      <c r="J2" s="184" t="n"/>
      <c r="K2" s="185" t="n">
        <v>8.0000000000000002E-3</v>
      </c>
    </row>
    <row r="3">
      <c r="A3" s="344" t="n"/>
      <c r="B3" s="344" t="n"/>
      <c r="C3" s="344" t="n"/>
      <c r="D3" s="141" t="inlineStr">
        <is>
          <t>Текущее значение в дешборде  0%</t>
        </is>
      </c>
      <c r="E3" s="344" t="n"/>
      <c r="F3" s="344" t="n"/>
      <c r="G3" s="345" t="n"/>
      <c r="H3" s="190" t="inlineStr">
        <is>
          <t>Архипова Марина Алексеевна</t>
        </is>
      </c>
      <c r="I3" s="166" t="n"/>
      <c r="K3" s="176" t="n"/>
    </row>
    <row r="4">
      <c r="A4" s="344" t="n"/>
      <c r="B4" s="344" t="n"/>
      <c r="C4" s="344" t="n"/>
      <c r="D4" s="143" t="inlineStr">
        <is>
          <t>Просьба применить значения, из расчета описанного ниже.</t>
        </is>
      </c>
      <c r="E4" s="344" t="n"/>
      <c r="F4" s="344" t="n"/>
      <c r="G4" s="345" t="n"/>
      <c r="H4" s="191" t="n"/>
      <c r="I4" s="241" t="n"/>
      <c r="K4" s="176" t="n"/>
    </row>
    <row r="5">
      <c r="A5" s="344" t="n"/>
      <c r="B5" s="344" t="n"/>
      <c r="C5" s="344" t="n"/>
      <c r="D5" s="141" t="inlineStr">
        <is>
          <t>Продукт "Страхование путешественников" не может быть применим абсолютно к каждому клиенту.</t>
        </is>
      </c>
      <c r="E5" s="344" t="n"/>
      <c r="F5" s="344" t="n"/>
      <c r="G5" s="345" t="n"/>
      <c r="H5" s="191" t="n"/>
      <c r="I5" s="166" t="n"/>
      <c r="K5" s="176" t="n"/>
    </row>
    <row r="6">
      <c r="A6" s="344" t="n"/>
      <c r="B6" s="344" t="n"/>
      <c r="C6" s="344" t="n"/>
      <c r="D6" s="141" t="inlineStr">
        <is>
          <t>Продукт применим только к клиенту, который отправляется в путешествие.</t>
        </is>
      </c>
      <c r="E6" s="344" t="n"/>
      <c r="F6" s="344" t="n"/>
      <c r="G6" s="345" t="n"/>
      <c r="H6" s="191" t="n"/>
      <c r="I6" s="166" t="n"/>
      <c r="K6" s="176" t="n"/>
    </row>
    <row r="7">
      <c r="A7" s="344" t="n"/>
      <c r="B7" s="344" t="n"/>
      <c r="C7" s="344" t="n"/>
      <c r="D7" s="141" t="inlineStr">
        <is>
          <t>Как считаем:</t>
        </is>
      </c>
      <c r="E7" s="344" t="n"/>
      <c r="F7" s="344" t="n"/>
      <c r="G7" s="345" t="n"/>
      <c r="H7" s="191" t="n"/>
      <c r="I7" s="166" t="n"/>
      <c r="K7" s="176" t="n"/>
    </row>
    <row r="8">
      <c r="A8" s="344" t="n"/>
      <c r="B8" s="344" t="n"/>
      <c r="C8" s="344" t="n"/>
      <c r="D8" s="144" t="inlineStr">
        <is>
          <t>1. Согласно оф.данным Росстата (https://rosstat.gov.ru/statistics/turizm)</t>
        </is>
      </c>
      <c r="E8" s="344" t="n"/>
      <c r="F8" s="344" t="n"/>
      <c r="G8" s="345" t="n"/>
      <c r="H8" s="191" t="n"/>
      <c r="I8" s="166" t="n"/>
      <c r="K8" s="176" t="n"/>
    </row>
    <row r="9" ht="27" customHeight="1" s="181">
      <c r="A9" s="344" t="n"/>
      <c r="B9" s="344" t="n"/>
      <c r="C9" s="344" t="n"/>
      <c r="D9" s="141" t="inlineStr">
        <is>
          <t xml:space="preserve"> число выездных туристских поездок граждан России в зарубежные страны за 1q26 = 5,63 млн. Т.о в год : 5,63*4 = 22,5 млн. поездок.</t>
        </is>
      </c>
      <c r="E9" s="344" t="n"/>
      <c r="F9" s="344" t="n"/>
      <c r="G9" s="345" t="n"/>
      <c r="H9" s="191" t="n"/>
      <c r="I9" s="166" t="n"/>
      <c r="K9" s="176" t="n"/>
    </row>
    <row r="10">
      <c r="A10" s="344" t="n"/>
      <c r="B10" s="344" t="n"/>
      <c r="C10" s="344" t="n"/>
      <c r="D10" s="141" t="inlineStr">
        <is>
          <t>2. Рынок страхования:</t>
        </is>
      </c>
      <c r="E10" s="344" t="n"/>
      <c r="F10" s="344" t="n"/>
      <c r="G10" s="345" t="n"/>
      <c r="H10" s="191" t="n"/>
      <c r="I10" s="166" t="n"/>
      <c r="K10" s="176" t="n"/>
    </row>
    <row r="11" ht="22.5" customHeight="1" s="181">
      <c r="A11" s="344" t="n"/>
      <c r="B11" s="344" t="n"/>
      <c r="C11" s="344" t="n"/>
      <c r="D11" s="141" t="inlineStr">
        <is>
          <t>Согласно данным от ЦБ (информации из страховой компании) , Общий объем рынка страховых премий = 5,6 млрд. за 3 мес. 2026г.</t>
        </is>
      </c>
      <c r="E11" s="344" t="n"/>
      <c r="F11" s="344" t="n"/>
      <c r="G11" s="345" t="n"/>
      <c r="H11" s="191" t="n"/>
      <c r="I11" s="166" t="n"/>
      <c r="K11" s="176" t="n"/>
    </row>
    <row r="12" ht="27" customHeight="1" s="181">
      <c r="A12" s="344" t="n"/>
      <c r="B12" s="344" t="n"/>
      <c r="C12" s="344" t="n"/>
      <c r="D12" s="141" t="inlineStr">
        <is>
          <t>Таким образом за год общий объем рынка в России = (5,6 млрд. * 4) / ср.чек (2 900р.) = 7,7 млн. полисов (не клиентов). Доля Сбербанка в рынке ВЗР = 20%</t>
        </is>
      </c>
      <c r="E12" s="344" t="n"/>
      <c r="F12" s="344" t="n"/>
      <c r="G12" s="345" t="n"/>
      <c r="H12" s="191" t="n"/>
      <c r="I12" s="166" t="n"/>
      <c r="K12" s="176" t="n"/>
    </row>
    <row r="13" ht="16.5" customHeight="1" s="181" thickBot="1">
      <c r="A13" s="344" t="n"/>
      <c r="B13" s="344" t="n"/>
      <c r="C13" s="344" t="n"/>
      <c r="D13" s="145" t="n"/>
      <c r="E13" s="344" t="n"/>
      <c r="F13" s="344" t="n"/>
      <c r="G13" s="345" t="n"/>
      <c r="H13" s="192" t="n"/>
      <c r="I13" s="167" t="n"/>
      <c r="J13" s="188" t="n"/>
      <c r="K13" s="177" t="n"/>
    </row>
    <row r="14">
      <c r="A14" s="344" t="n"/>
      <c r="B14" s="344" t="n"/>
      <c r="C14" s="344" t="n"/>
      <c r="D14" s="142" t="inlineStr">
        <is>
          <t>Объем целевого рынка в Сбере  (+0,8 п.п.)</t>
        </is>
      </c>
      <c r="E14" s="344" t="n"/>
      <c r="F14" s="344" t="n"/>
      <c r="G14" s="345" t="n"/>
      <c r="H14" s="193" t="n"/>
      <c r="I14" s="184" t="n"/>
      <c r="J14" s="184" t="n"/>
      <c r="K14" s="185" t="n">
        <v>8.0000000000000002E-3</v>
      </c>
    </row>
    <row r="15">
      <c r="A15" s="344" t="n"/>
      <c r="B15" s="344" t="n"/>
      <c r="C15" s="344" t="n"/>
      <c r="D15" s="141" t="inlineStr">
        <is>
          <t>Текущее значение в дешборде  0%</t>
        </is>
      </c>
      <c r="E15" s="344" t="n"/>
      <c r="F15" s="344" t="n"/>
      <c r="G15" s="345" t="n"/>
      <c r="H15" s="186" t="n"/>
      <c r="K15" s="176" t="n"/>
    </row>
    <row r="16">
      <c r="A16" s="344" t="n"/>
      <c r="B16" s="344" t="n"/>
      <c r="C16" s="344" t="n"/>
      <c r="D16" s="143" t="inlineStr">
        <is>
          <t>Просьба применить значения, из расчета описанного ниже.</t>
        </is>
      </c>
      <c r="E16" s="344" t="n"/>
      <c r="F16" s="344" t="n"/>
      <c r="G16" s="345" t="n"/>
      <c r="H16" s="186" t="n"/>
      <c r="K16" s="176" t="n"/>
    </row>
    <row r="17">
      <c r="A17" s="344" t="n"/>
      <c r="B17" s="344" t="n"/>
      <c r="C17" s="344" t="n"/>
      <c r="D17" s="141" t="inlineStr">
        <is>
          <t>Как считаем:</t>
        </is>
      </c>
      <c r="E17" s="344" t="n"/>
      <c r="F17" s="344" t="n"/>
      <c r="G17" s="345" t="n"/>
      <c r="H17" s="186" t="n"/>
      <c r="K17" s="176" t="n"/>
    </row>
    <row r="18" ht="27" customHeight="1" s="181">
      <c r="A18" s="344" t="n"/>
      <c r="B18" s="344" t="n"/>
      <c r="C18" s="344" t="n"/>
      <c r="D18" s="141" t="inlineStr">
        <is>
          <t>Берем долю Сбербанка в рынке ВЗР (оф. данные от СберСтрахования полученной от ЦБ) = 20% и считаем от объема целевого рынка в РФ (7,7 млн. полисов)</t>
        </is>
      </c>
      <c r="E18" s="344" t="n"/>
      <c r="F18" s="344" t="n"/>
      <c r="G18" s="345" t="n"/>
      <c r="H18" s="186" t="n"/>
      <c r="K18" s="176" t="n"/>
    </row>
    <row r="19">
      <c r="A19" s="344" t="n"/>
      <c r="B19" s="344" t="n"/>
      <c r="C19" s="344" t="n"/>
      <c r="D19" s="141" t="inlineStr">
        <is>
          <t>7,7 млн полисов * 20% = 1,54 млн. полисов.</t>
        </is>
      </c>
      <c r="E19" s="344" t="n"/>
      <c r="F19" s="344" t="n"/>
      <c r="G19" s="345" t="n"/>
      <c r="H19" s="186" t="n"/>
      <c r="K19" s="176" t="n"/>
    </row>
    <row r="20" ht="16.5" customHeight="1" s="181" thickBot="1">
      <c r="A20" s="344" t="n"/>
      <c r="B20" s="344" t="n"/>
      <c r="C20" s="344" t="n"/>
      <c r="D20" s="145" t="n"/>
      <c r="E20" s="344" t="n"/>
      <c r="F20" s="344" t="n"/>
      <c r="G20" s="345" t="n"/>
      <c r="H20" s="187" t="n"/>
      <c r="I20" s="188" t="n"/>
      <c r="J20" s="188" t="n"/>
      <c r="K20" s="177" t="n"/>
    </row>
    <row r="21">
      <c r="A21" s="344" t="n"/>
      <c r="B21" s="344" t="n"/>
      <c r="C21" s="344" t="n"/>
      <c r="D21" s="142" t="inlineStr">
        <is>
          <t>Клиенты  с продуктом  (+0,8 п.п.)</t>
        </is>
      </c>
      <c r="E21" s="344" t="n"/>
      <c r="F21" s="344" t="n"/>
      <c r="G21" s="345" t="n"/>
      <c r="H21" s="193" t="n"/>
      <c r="I21" s="184" t="n"/>
      <c r="J21" s="184" t="n"/>
      <c r="K21" s="185" t="n">
        <v>8.0000000000000002E-3</v>
      </c>
    </row>
    <row r="22">
      <c r="A22" s="344" t="n"/>
      <c r="B22" s="344" t="n"/>
      <c r="C22" s="344" t="n"/>
      <c r="D22" s="141" t="inlineStr">
        <is>
          <t>Текущее значение в дешборде  0%</t>
        </is>
      </c>
      <c r="E22" s="344" t="n"/>
      <c r="F22" s="344" t="n"/>
      <c r="G22" s="345" t="n"/>
      <c r="H22" s="186" t="n"/>
      <c r="K22" s="176" t="n"/>
    </row>
    <row r="23">
      <c r="A23" s="344" t="n"/>
      <c r="B23" s="344" t="n"/>
      <c r="C23" s="344" t="n"/>
      <c r="D23" s="143" t="inlineStr">
        <is>
          <t>Просьба применить значения, из расчета описанного ниже.</t>
        </is>
      </c>
      <c r="E23" s="344" t="n"/>
      <c r="F23" s="344" t="n"/>
      <c r="G23" s="345" t="n"/>
      <c r="H23" s="186" t="n"/>
      <c r="K23" s="176" t="n"/>
    </row>
    <row r="24" ht="27" customHeight="1" s="181">
      <c r="A24" s="344" t="n"/>
      <c r="B24" s="344" t="n"/>
      <c r="C24" s="344" t="n"/>
      <c r="D24" s="141" t="inlineStr">
        <is>
          <t>Факт оформленных полисов за период с янв.26 по июль 26 = 115 257 шт. ; План по продажам полисов с авг.26 по дек.26 = 82 000 шт.; ИТОГО клиентов с продуктом за год = 195 257</t>
        </is>
      </c>
      <c r="E24" s="344" t="n"/>
      <c r="F24" s="344" t="n"/>
      <c r="G24" s="345" t="n"/>
      <c r="H24" s="186" t="n"/>
      <c r="K24" s="176" t="n"/>
    </row>
    <row r="25" ht="16.5" customHeight="1" s="181" thickBot="1">
      <c r="A25" s="344" t="n"/>
      <c r="B25" s="344" t="n"/>
      <c r="C25" s="344" t="n"/>
      <c r="D25" s="145" t="n"/>
      <c r="E25" s="344" t="n"/>
      <c r="F25" s="344" t="n"/>
      <c r="G25" s="345" t="n"/>
      <c r="H25" s="187" t="n"/>
      <c r="I25" s="188" t="n"/>
      <c r="J25" s="188" t="n"/>
      <c r="K25" s="177" t="n"/>
    </row>
    <row r="26">
      <c r="A26" s="344" t="n"/>
      <c r="B26" s="344" t="n"/>
      <c r="C26" s="344" t="n"/>
      <c r="D26" s="142" t="inlineStr">
        <is>
          <t>MAU продукта (+0,8 п.п.)</t>
        </is>
      </c>
      <c r="E26" s="344" t="n"/>
      <c r="F26" s="344" t="n"/>
      <c r="G26" s="345" t="n"/>
      <c r="H26" s="193" t="n"/>
      <c r="I26" s="184" t="n"/>
      <c r="J26" s="184" t="n"/>
      <c r="K26" s="185" t="n">
        <v>8.0000000000000002E-3</v>
      </c>
    </row>
    <row r="27">
      <c r="A27" s="344" t="n"/>
      <c r="B27" s="344" t="n"/>
      <c r="C27" s="344" t="n"/>
      <c r="D27" s="143" t="inlineStr">
        <is>
          <t>Просьба применить значения, из расчета описанного ниже.</t>
        </is>
      </c>
      <c r="E27" s="344" t="n"/>
      <c r="F27" s="344" t="n"/>
      <c r="G27" s="345" t="n"/>
      <c r="H27" s="186" t="n"/>
      <c r="K27" s="176" t="n"/>
    </row>
    <row r="28" ht="27" customHeight="1" s="181">
      <c r="A28" s="344" t="n"/>
      <c r="B28" s="344" t="n"/>
      <c r="C28" s="344" t="n"/>
      <c r="D28" s="141" t="inlineStr">
        <is>
          <t>Определение MAU, которым руководствовались - количество уникальных пользователей, которые совершили хотя бы одно целевое действие на протяжении 30 дней.</t>
        </is>
      </c>
      <c r="E28" s="344" t="n"/>
      <c r="F28" s="344" t="n"/>
      <c r="G28" s="345" t="n"/>
      <c r="H28" s="186" t="n"/>
      <c r="K28" s="176" t="n"/>
    </row>
    <row r="29" ht="27" customHeight="1" s="181">
      <c r="A29" s="344" t="n"/>
      <c r="B29" s="344" t="n"/>
      <c r="C29" s="344" t="n"/>
      <c r="D29" s="141" t="inlineStr">
        <is>
          <t>Целевое действие = мы считаем переход на карточку продукта, потому что  если смотреть целевое действие = оформление продукта, то это будет та же самая цифра, что и "Клиенты с продуктом"</t>
        </is>
      </c>
      <c r="E29" s="344" t="n"/>
      <c r="F29" s="344" t="n"/>
      <c r="G29" s="345" t="n"/>
      <c r="H29" s="186" t="n"/>
      <c r="K29" s="176" t="n"/>
    </row>
    <row r="30">
      <c r="A30" s="344" t="n"/>
      <c r="B30" s="344" t="n"/>
      <c r="C30" s="344" t="n"/>
      <c r="D30" s="141" t="inlineStr">
        <is>
          <t>Тогда MAU = 100 000 клиентов.  Это  кол-во уник. клиентов которые перешли на карточку продукта в МП СБОЛ.</t>
        </is>
      </c>
      <c r="E30" s="344" t="n"/>
      <c r="F30" s="344" t="n"/>
      <c r="G30" s="345" t="n"/>
      <c r="H30" s="186" t="n"/>
      <c r="K30" s="176" t="n"/>
    </row>
    <row r="31" ht="16.5" customHeight="1" s="181" thickBot="1">
      <c r="A31" s="344" t="n"/>
      <c r="B31" s="344" t="n"/>
      <c r="C31" s="344" t="n"/>
      <c r="D31" s="145" t="n"/>
      <c r="E31" s="344" t="n"/>
      <c r="F31" s="344" t="n"/>
      <c r="G31" s="345" t="n"/>
      <c r="H31" s="187" t="n"/>
      <c r="I31" s="188" t="n"/>
      <c r="J31" s="188" t="n"/>
      <c r="K31" s="177" t="n"/>
    </row>
    <row r="32">
      <c r="A32" s="344" t="n"/>
      <c r="B32" s="344" t="n"/>
      <c r="C32" s="344" t="n"/>
      <c r="D32" s="142" t="inlineStr">
        <is>
          <t>Знание продуктов спутников  (+0,4 п.п.)</t>
        </is>
      </c>
      <c r="E32" s="344" t="n"/>
      <c r="F32" s="344" t="n"/>
      <c r="G32" s="345" t="n"/>
      <c r="H32" s="193" t="n"/>
      <c r="I32" s="184" t="n"/>
      <c r="J32" s="184" t="n"/>
      <c r="K32" s="185" t="n">
        <v>4.0000000000000001E-3</v>
      </c>
    </row>
    <row r="33">
      <c r="A33" s="344" t="n"/>
      <c r="B33" s="344" t="n"/>
      <c r="C33" s="344" t="n"/>
      <c r="D33" s="141" t="inlineStr">
        <is>
          <t>Текущее значение в дешборде  50%.</t>
        </is>
      </c>
      <c r="E33" s="344" t="n"/>
      <c r="F33" s="344" t="n"/>
      <c r="G33" s="345" t="n"/>
      <c r="H33" s="186" t="n"/>
      <c r="K33" s="176" t="n"/>
    </row>
    <row r="34" ht="27" customHeight="1" s="181">
      <c r="A34" s="344" t="n"/>
      <c r="B34" s="344" t="n"/>
      <c r="C34" s="344" t="n"/>
      <c r="D34" s="143" t="inlineStr">
        <is>
          <t>Просьба учесть комментарий: при ответе был указан только один спутник - "СберПрайм". В новом опросе будет указан дополнительный спутник (продукт "СберСПАСИБО" и продукт "справка для визы").</t>
        </is>
      </c>
      <c r="E34" s="344" t="n"/>
      <c r="F34" s="344" t="n"/>
      <c r="G34" s="345" t="n"/>
      <c r="H34" s="186" t="n"/>
      <c r="K34" s="176" t="n"/>
    </row>
    <row r="35" ht="27" customHeight="1" s="181">
      <c r="A35" s="344" t="n"/>
      <c r="B35" s="344" t="n"/>
      <c r="C35" s="344" t="n"/>
      <c r="D35" s="141" t="inlineStr">
        <is>
          <t>Продукт продается только в СБОЛ. Продукт не реализуется в сети ВСП. Продукт является базовой (ситуативной) потребности. Продукт стоит на витрине продукта "Справки и выписки" -&gt; заказ справок для визы.</t>
        </is>
      </c>
      <c r="E35" s="344" t="n"/>
      <c r="F35" s="344" t="n"/>
      <c r="G35" s="345" t="n"/>
      <c r="H35" s="186" t="n"/>
      <c r="K35" s="176" t="n"/>
    </row>
    <row r="36">
      <c r="A36" s="344" t="n"/>
      <c r="B36" s="344" t="n"/>
      <c r="C36" s="344" t="n"/>
      <c r="D36" s="141" t="inlineStr">
        <is>
          <t>Так же продукт выведен в сценарии сервиса "ограничения на выезд за границу" - "аресты и вызскания"</t>
        </is>
      </c>
      <c r="E36" s="344" t="n"/>
      <c r="F36" s="344" t="n"/>
      <c r="G36" s="345" t="n"/>
      <c r="H36" s="186" t="n"/>
      <c r="K36" s="176" t="n"/>
    </row>
    <row r="37">
      <c r="A37" s="344" t="n"/>
      <c r="B37" s="344" t="n"/>
      <c r="C37" s="344" t="n"/>
      <c r="D37" s="141" t="inlineStr">
        <is>
          <t>Продукт представлен в разделе "Для жизни" - под.раздлеы: путешествие, Отели, За рубеж</t>
        </is>
      </c>
      <c r="E37" s="344" t="n"/>
      <c r="F37" s="344" t="n"/>
      <c r="G37" s="345" t="n"/>
      <c r="H37" s="186" t="n"/>
      <c r="K37" s="176" t="n"/>
    </row>
    <row r="38" ht="16.5" customHeight="1" s="181" thickBot="1">
      <c r="A38" s="344" t="n"/>
      <c r="B38" s="344" t="n"/>
      <c r="C38" s="344" t="n"/>
      <c r="D38" s="145" t="n"/>
      <c r="E38" s="344" t="n"/>
      <c r="F38" s="344" t="n"/>
      <c r="G38" s="345" t="n"/>
      <c r="H38" s="187" t="n"/>
      <c r="I38" s="188" t="n"/>
      <c r="J38" s="188" t="n"/>
      <c r="K38" s="177" t="n"/>
    </row>
    <row r="39">
      <c r="A39" s="344" t="n"/>
      <c r="B39" s="344" t="n"/>
      <c r="C39" s="344" t="n"/>
      <c r="D39" s="142" t="inlineStr">
        <is>
          <t>Знание об отчетности в Навигаторе  (+1 п.п.)</t>
        </is>
      </c>
      <c r="E39" s="344" t="n"/>
      <c r="F39" s="344" t="n"/>
      <c r="G39" s="345" t="n"/>
      <c r="H39" s="193" t="n"/>
      <c r="I39" s="184" t="n"/>
      <c r="J39" s="184" t="n"/>
      <c r="K39" s="194" t="n">
        <v>0.01</v>
      </c>
    </row>
    <row r="40">
      <c r="A40" s="344" t="n"/>
      <c r="B40" s="344" t="n"/>
      <c r="C40" s="344" t="n"/>
      <c r="D40" s="141" t="inlineStr">
        <is>
          <t>Текущее значение в дешборде  50%.</t>
        </is>
      </c>
      <c r="E40" s="344" t="n"/>
      <c r="F40" s="344" t="n"/>
      <c r="G40" s="345" t="n"/>
      <c r="H40" s="186" t="n"/>
      <c r="K40" s="176" t="n"/>
    </row>
    <row r="41">
      <c r="A41" s="344" t="n"/>
      <c r="B41" s="344" t="n"/>
      <c r="C41" s="344" t="n"/>
      <c r="D41" s="143" t="inlineStr">
        <is>
          <t>Просьба учесть дополнительную ссылку в навигаторе.</t>
        </is>
      </c>
      <c r="E41" s="344" t="n"/>
      <c r="F41" s="344" t="n"/>
      <c r="G41" s="345" t="n"/>
      <c r="H41" s="186" t="n"/>
      <c r="K41" s="176" t="n"/>
    </row>
    <row r="42">
      <c r="A42" s="344" t="n"/>
      <c r="B42" s="344" t="n"/>
      <c r="C42" s="344" t="n"/>
      <c r="D42" s="141" t="inlineStr">
        <is>
          <t>Ссылка на Дэшборд в навигаторе</t>
        </is>
      </c>
      <c r="E42" s="344" t="n"/>
      <c r="F42" s="344" t="n"/>
      <c r="G42" s="345" t="n"/>
      <c r="H42" s="186" t="n"/>
      <c r="K42" s="176" t="n"/>
    </row>
    <row r="43" ht="63" customHeight="1" s="181">
      <c r="A43" s="344" t="n"/>
      <c r="B43" s="344" t="n"/>
      <c r="C43" s="344" t="n"/>
      <c r="D43" s="144" t="inlineStr">
        <is>
          <t>https://navigator.sigma.sbrf.ru/gdash/1000000720?prod=%D0%A1%D1%82%D1%80%D0%B0%D1%85%D0%BE%D0%B2%D0%B0%D0%BD%D0%B8%D0%B5%20%D0%BF%D1%83%D1%82%D0%B5%D1%88%D0%B5%D1%81%D1%82%D0%B2%D0%B5%D0%BD%D0%BD%D0%B8%D0%BA%D0%BE%D0%B2%20-%20%D0%BA%D1%80%D0%BE%D0%BC%D0%B5%20%D0%9F%D0%A3&amp;period=3</t>
        </is>
      </c>
      <c r="E43" s="344" t="n"/>
      <c r="F43" s="344" t="n"/>
      <c r="G43" s="345" t="n"/>
      <c r="H43" s="186" t="n"/>
      <c r="K43" s="176" t="n"/>
    </row>
    <row r="44" ht="12.75" customHeight="1" s="181">
      <c r="A44" s="344" t="n"/>
      <c r="B44" s="344" t="n"/>
      <c r="C44" s="344" t="n"/>
      <c r="D44" s="146" t="n"/>
      <c r="E44" s="344" t="n"/>
      <c r="F44" s="344" t="n"/>
      <c r="G44" s="345" t="n"/>
      <c r="H44" s="186" t="n"/>
      <c r="K44" s="176" t="n"/>
    </row>
    <row r="45" ht="13.5" customHeight="1" s="181" thickBot="1">
      <c r="A45" s="346" t="n"/>
      <c r="B45" s="346" t="n"/>
      <c r="C45" s="346" t="n"/>
      <c r="D45" s="147" t="n"/>
      <c r="E45" s="346" t="n"/>
      <c r="F45" s="346" t="n"/>
      <c r="G45" s="347" t="n"/>
      <c r="H45" s="187" t="n"/>
      <c r="I45" s="195" t="n"/>
      <c r="J45" s="196" t="n"/>
      <c r="K45" s="197" t="n"/>
    </row>
    <row r="46">
      <c r="A46" s="342" t="inlineStr">
        <is>
          <t>ВЗР</t>
        </is>
      </c>
      <c r="B46" s="342" t="inlineStr">
        <is>
          <t>3Q2026</t>
        </is>
      </c>
      <c r="C46" s="342" t="inlineStr">
        <is>
          <t>Воронка привлечения</t>
        </is>
      </c>
      <c r="D46" s="142" t="inlineStr">
        <is>
          <t>Настроена отчетность по воронке привлечения  (+1 п.п)</t>
        </is>
      </c>
      <c r="E46" s="342" t="inlineStr">
        <is>
          <t>Данные уже имеются</t>
        </is>
      </c>
      <c r="F46" s="342" t="inlineStr">
        <is>
          <t>+8 п.п.</t>
        </is>
      </c>
      <c r="G46" s="342" t="inlineStr">
        <is>
          <t>Ожидание</t>
        </is>
      </c>
      <c r="H46" s="141" t="inlineStr">
        <is>
          <t>Мартусенко Игорь Викторович</t>
        </is>
      </c>
    </row>
    <row r="47">
      <c r="A47" s="344" t="n"/>
      <c r="B47" s="344" t="n"/>
      <c r="C47" s="344" t="n"/>
      <c r="D47" s="141" t="inlineStr">
        <is>
          <t>Текущее значение в дешборде  50%.</t>
        </is>
      </c>
      <c r="E47" s="344" t="n"/>
      <c r="F47" s="344" t="n"/>
      <c r="G47" s="344" t="n"/>
      <c r="H47" s="141" t="inlineStr">
        <is>
          <t>Архипова Марина Алексеевна</t>
        </is>
      </c>
    </row>
    <row r="48">
      <c r="A48" s="344" t="n"/>
      <c r="B48" s="344" t="n"/>
      <c r="C48" s="344" t="n"/>
      <c r="D48" s="143" t="inlineStr">
        <is>
          <t>Просьба учесть наличие отчетности по ссылке ниже.</t>
        </is>
      </c>
      <c r="E48" s="344" t="n"/>
      <c r="F48" s="344" t="n"/>
      <c r="G48" s="344" t="n"/>
      <c r="H48" s="148" t="n"/>
    </row>
    <row r="49">
      <c r="A49" s="344" t="n"/>
      <c r="B49" s="344" t="n"/>
      <c r="C49" s="344" t="n"/>
      <c r="D49" s="144" t="inlineStr">
        <is>
          <t>https://clickstream.sigma.sbrf.ru/frontend/sbol/reports/funnels/29292</t>
        </is>
      </c>
      <c r="E49" s="344" t="n"/>
      <c r="F49" s="344" t="n"/>
      <c r="G49" s="344" t="n"/>
      <c r="H49" s="148" t="n"/>
    </row>
    <row r="50">
      <c r="A50" s="344" t="n"/>
      <c r="B50" s="344" t="n"/>
      <c r="C50" s="344" t="n"/>
      <c r="D50" s="145" t="n"/>
      <c r="E50" s="344" t="n"/>
      <c r="F50" s="344" t="n"/>
      <c r="G50" s="344" t="n"/>
      <c r="H50" s="148" t="n"/>
    </row>
    <row r="51">
      <c r="A51" s="344" t="n"/>
      <c r="B51" s="344" t="n"/>
      <c r="C51" s="344" t="n"/>
      <c r="D51" s="142" t="inlineStr">
        <is>
          <t>Полнота отчета (Источники, CR, объемы, сегменты)  (+1 п.п)</t>
        </is>
      </c>
      <c r="E51" s="344" t="n"/>
      <c r="F51" s="344" t="n"/>
      <c r="G51" s="344" t="n"/>
      <c r="H51" s="148" t="n"/>
    </row>
    <row r="52">
      <c r="A52" s="344" t="n"/>
      <c r="B52" s="344" t="n"/>
      <c r="C52" s="344" t="n"/>
      <c r="D52" s="141" t="inlineStr">
        <is>
          <t>Текущее значение в дешборде  50%.</t>
        </is>
      </c>
      <c r="E52" s="344" t="n"/>
      <c r="F52" s="344" t="n"/>
      <c r="G52" s="344" t="n"/>
      <c r="H52" s="148" t="n"/>
    </row>
    <row r="53">
      <c r="A53" s="344" t="n"/>
      <c r="B53" s="344" t="n"/>
      <c r="C53" s="344" t="n"/>
      <c r="D53" s="143" t="inlineStr">
        <is>
          <t>Просьба учесть наличие отчетности по ссылке ниже.</t>
        </is>
      </c>
      <c r="E53" s="344" t="n"/>
      <c r="F53" s="344" t="n"/>
      <c r="G53" s="344" t="n"/>
      <c r="H53" s="148" t="n"/>
    </row>
    <row r="54">
      <c r="A54" s="344" t="n"/>
      <c r="B54" s="344" t="n"/>
      <c r="C54" s="344" t="n"/>
      <c r="D54" s="144" t="inlineStr">
        <is>
          <t>https://clickstream.sigma.sbrf.ru/frontend/sbol/reports/funnels/29292</t>
        </is>
      </c>
      <c r="E54" s="344" t="n"/>
      <c r="F54" s="344" t="n"/>
      <c r="G54" s="344" t="n"/>
      <c r="H54" s="148" t="n"/>
    </row>
    <row r="55">
      <c r="A55" s="344" t="n"/>
      <c r="B55" s="344" t="n"/>
      <c r="C55" s="344" t="n"/>
      <c r="D55" s="145" t="n"/>
      <c r="E55" s="344" t="n"/>
      <c r="F55" s="344" t="n"/>
      <c r="G55" s="344" t="n"/>
      <c r="H55" s="148" t="n"/>
    </row>
    <row r="56">
      <c r="A56" s="344" t="n"/>
      <c r="B56" s="344" t="n"/>
      <c r="C56" s="344" t="n"/>
      <c r="D56" s="142" t="inlineStr">
        <is>
          <t>Регулярность. Автоматически (daily / weekly) или по запросу</t>
        </is>
      </c>
      <c r="E56" s="344" t="n"/>
      <c r="F56" s="344" t="n"/>
      <c r="G56" s="344" t="n"/>
      <c r="H56" s="148" t="n"/>
    </row>
    <row r="57">
      <c r="A57" s="344" t="n"/>
      <c r="B57" s="344" t="n"/>
      <c r="C57" s="344" t="n"/>
      <c r="D57" s="141" t="inlineStr">
        <is>
          <t>Текущее значение в дешборде  50%.</t>
        </is>
      </c>
      <c r="E57" s="344" t="n"/>
      <c r="F57" s="344" t="n"/>
      <c r="G57" s="344" t="n"/>
      <c r="H57" s="148" t="n"/>
    </row>
    <row r="58">
      <c r="A58" s="344" t="n"/>
      <c r="B58" s="344" t="n"/>
      <c r="C58" s="344" t="n"/>
      <c r="D58" s="143" t="inlineStr">
        <is>
          <t xml:space="preserve">Просьба учесть наличие отчетности по ссылке ниже. </t>
        </is>
      </c>
      <c r="E58" s="344" t="n"/>
      <c r="F58" s="344" t="n"/>
      <c r="G58" s="344" t="n"/>
      <c r="H58" s="148" t="n"/>
    </row>
    <row r="59">
      <c r="A59" s="344" t="n"/>
      <c r="B59" s="344" t="n"/>
      <c r="C59" s="344" t="n"/>
      <c r="D59" s="141" t="inlineStr">
        <is>
          <t>Данные пересчитываются автоматически по выставлению периода</t>
        </is>
      </c>
      <c r="E59" s="344" t="n"/>
      <c r="F59" s="344" t="n"/>
      <c r="G59" s="344" t="n"/>
      <c r="H59" s="148" t="n"/>
    </row>
    <row r="60">
      <c r="A60" s="344" t="n"/>
      <c r="B60" s="344" t="n"/>
      <c r="C60" s="344" t="n"/>
      <c r="D60" s="144" t="inlineStr">
        <is>
          <t>https://clickstream.sigma.sbrf.ru/frontend/sbol/reports/funnels/29292</t>
        </is>
      </c>
      <c r="E60" s="344" t="n"/>
      <c r="F60" s="344" t="n"/>
      <c r="G60" s="344" t="n"/>
      <c r="H60" s="148" t="n"/>
    </row>
    <row r="61">
      <c r="A61" s="344" t="n"/>
      <c r="B61" s="344" t="n"/>
      <c r="C61" s="344" t="n"/>
      <c r="D61" s="145" t="n"/>
      <c r="E61" s="344" t="n"/>
      <c r="F61" s="344" t="n"/>
      <c r="G61" s="344" t="n"/>
      <c r="H61" s="148" t="n"/>
    </row>
    <row r="62">
      <c r="A62" s="344" t="n"/>
      <c r="B62" s="344" t="n"/>
      <c r="C62" s="344" t="n"/>
      <c r="D62" s="142" t="inlineStr">
        <is>
          <t>Наличие бенчмарков. Цели / динамика / рынок  (+2 п.п)</t>
        </is>
      </c>
      <c r="E62" s="344" t="n"/>
      <c r="F62" s="344" t="n"/>
      <c r="G62" s="344" t="n"/>
      <c r="H62" s="148" t="n"/>
    </row>
    <row r="63">
      <c r="A63" s="344" t="n"/>
      <c r="B63" s="344" t="n"/>
      <c r="C63" s="344" t="n"/>
      <c r="D63" s="141" t="inlineStr">
        <is>
          <t>Текущее значение в дешборде  0%</t>
        </is>
      </c>
      <c r="E63" s="344" t="n"/>
      <c r="F63" s="344" t="n"/>
      <c r="G63" s="344" t="n"/>
      <c r="H63" s="148" t="n"/>
    </row>
    <row r="64" ht="27" customHeight="1" s="181">
      <c r="A64" s="344" t="n"/>
      <c r="B64" s="344" t="n"/>
      <c r="C64" s="344" t="n"/>
      <c r="D64" s="143" t="inlineStr">
        <is>
          <t>Просьба учесть комментарий: В новом опросе будут указаны бенчмарки - данные по продажам из прошлых периодов, доля рынка.</t>
        </is>
      </c>
      <c r="E64" s="344" t="n"/>
      <c r="F64" s="344" t="n"/>
      <c r="G64" s="344" t="n"/>
      <c r="H64" s="148" t="n"/>
    </row>
    <row r="65">
      <c r="A65" s="344" t="n"/>
      <c r="B65" s="344" t="n"/>
      <c r="C65" s="344" t="n"/>
      <c r="D65" s="145" t="n"/>
      <c r="E65" s="344" t="n"/>
      <c r="F65" s="344" t="n"/>
      <c r="G65" s="344" t="n"/>
      <c r="H65" s="148" t="n"/>
    </row>
    <row r="66">
      <c r="A66" s="344" t="n"/>
      <c r="B66" s="344" t="n"/>
      <c r="C66" s="344" t="n"/>
      <c r="D66" s="142" t="inlineStr">
        <is>
          <t>Наличие Self-service. Self-service / кампейнинг, успешность  (+2 п.п)</t>
        </is>
      </c>
      <c r="E66" s="344" t="n"/>
      <c r="F66" s="344" t="n"/>
      <c r="G66" s="344" t="n"/>
      <c r="H66" s="148" t="n"/>
    </row>
    <row r="67">
      <c r="A67" s="344" t="n"/>
      <c r="B67" s="344" t="n"/>
      <c r="C67" s="344" t="n"/>
      <c r="D67" s="141" t="inlineStr">
        <is>
          <t>Текущее значение в дешборде  0%</t>
        </is>
      </c>
      <c r="E67" s="344" t="n"/>
      <c r="F67" s="344" t="n"/>
      <c r="G67" s="344" t="n"/>
      <c r="H67" s="148" t="n"/>
    </row>
    <row r="68">
      <c r="A68" s="344" t="n"/>
      <c r="B68" s="344" t="n"/>
      <c r="C68" s="344" t="n"/>
      <c r="D68" s="143" t="inlineStr">
        <is>
          <t>Просьба учесть наличие self-service. У продуктовой команды есть выделенный сотрудник для работы Self-service</t>
        </is>
      </c>
      <c r="E68" s="344" t="n"/>
      <c r="F68" s="344" t="n"/>
      <c r="G68" s="344" t="n"/>
      <c r="H68" s="148" t="n"/>
    </row>
    <row r="69">
      <c r="A69" s="344" t="n"/>
      <c r="B69" s="344" t="n"/>
      <c r="C69" s="344" t="n"/>
      <c r="D69" s="141" t="inlineStr">
        <is>
          <t>Настроен Дэшборд по отображению кампаний продаж в кампейнинге</t>
        </is>
      </c>
      <c r="E69" s="344" t="n"/>
      <c r="F69" s="344" t="n"/>
      <c r="G69" s="344" t="n"/>
      <c r="H69" s="148" t="n"/>
    </row>
    <row r="70" ht="31.5" customHeight="1" s="181">
      <c r="A70" s="344" t="n"/>
      <c r="B70" s="344" t="n"/>
      <c r="C70" s="344" t="n"/>
      <c r="D70" s="144" t="inlineStr">
        <is>
          <t>https://qlik.sigma.sbrf.ru/qs_b2c_data/scim_sigma/sense/app/25e1a8c8-9a7c-4072-bf29-055bba63e97e/sheet/996accc8-5be9-4cf2-92f5-eb932bbf3980/state/analysis</t>
        </is>
      </c>
      <c r="E70" s="344" t="n"/>
      <c r="F70" s="344" t="n"/>
      <c r="G70" s="344" t="n"/>
      <c r="H70" s="148" t="n"/>
    </row>
    <row r="71">
      <c r="A71" s="344" t="n"/>
      <c r="B71" s="344" t="n"/>
      <c r="C71" s="344" t="n"/>
      <c r="D71" s="145" t="n"/>
      <c r="E71" s="344" t="n"/>
      <c r="F71" s="344" t="n"/>
      <c r="G71" s="344" t="n"/>
      <c r="H71" s="148" t="n"/>
    </row>
    <row r="72">
      <c r="A72" s="344" t="n"/>
      <c r="B72" s="344" t="n"/>
      <c r="C72" s="344" t="n"/>
      <c r="D72" s="142" t="inlineStr">
        <is>
          <t>Наличие успешных бизнес-запусков. Self-service / кампейнинг, успешность  (+2 п.п)</t>
        </is>
      </c>
      <c r="E72" s="344" t="n"/>
      <c r="F72" s="344" t="n"/>
      <c r="G72" s="344" t="n"/>
      <c r="H72" s="148" t="n"/>
    </row>
    <row r="73">
      <c r="A73" s="344" t="n"/>
      <c r="B73" s="344" t="n"/>
      <c r="C73" s="344" t="n"/>
      <c r="D73" s="141" t="inlineStr">
        <is>
          <t>Текущее значение в дешборде  0%</t>
        </is>
      </c>
      <c r="E73" s="344" t="n"/>
      <c r="F73" s="344" t="n"/>
      <c r="G73" s="344" t="n"/>
      <c r="H73" s="148" t="n"/>
    </row>
    <row r="74">
      <c r="A74" s="344" t="n"/>
      <c r="B74" s="344" t="n"/>
      <c r="C74" s="344" t="n"/>
      <c r="D74" s="143" t="inlineStr">
        <is>
          <t>Просьба учесть наличие self-service. У продуктовой команды есть выделенный сотрудник для работы Self-service</t>
        </is>
      </c>
      <c r="E74" s="344" t="n"/>
      <c r="F74" s="344" t="n"/>
      <c r="G74" s="344" t="n"/>
      <c r="H74" s="148" t="n"/>
    </row>
    <row r="75" ht="27" customHeight="1" s="181">
      <c r="A75" s="344" t="n"/>
      <c r="B75" s="344" t="n"/>
      <c r="C75" s="344" t="n"/>
      <c r="D75" s="141" t="inlineStr">
        <is>
          <t>Настроен Дэшборд по отображению кампаний продаж в кампейнинге , где отображены бизнес-запуски и текущие ргулярные кампании</t>
        </is>
      </c>
      <c r="E75" s="344" t="n"/>
      <c r="F75" s="344" t="n"/>
      <c r="G75" s="344" t="n"/>
      <c r="H75" s="148" t="n"/>
    </row>
    <row r="76">
      <c r="A76" s="344" t="n"/>
      <c r="B76" s="344" t="n"/>
      <c r="C76" s="344" t="n"/>
      <c r="D76" s="145" t="n"/>
      <c r="E76" s="344" t="n"/>
      <c r="F76" s="344" t="n"/>
      <c r="G76" s="344" t="n"/>
      <c r="H76" s="148" t="n"/>
    </row>
    <row r="77" ht="32.25" customHeight="1" s="181" thickBot="1">
      <c r="A77" s="346" t="n"/>
      <c r="B77" s="346" t="n"/>
      <c r="C77" s="346" t="n"/>
      <c r="D77" s="150" t="inlineStr">
        <is>
          <t>https://qlik.sigma.sbrf.ru/qs_b2c_data/scim_sigma/sense/app/25e1a8c8-9a7c-4072-bf29-055bba63e97e/sheet/996accc8-5be9-4cf2-92f5-eb932bbf3980/state/analysis</t>
        </is>
      </c>
      <c r="E77" s="346" t="n"/>
      <c r="F77" s="346" t="n"/>
      <c r="G77" s="346" t="n"/>
      <c r="H77" s="149" t="n"/>
    </row>
    <row r="78">
      <c r="A78" s="342" t="inlineStr">
        <is>
          <t>ВЗР</t>
        </is>
      </c>
      <c r="B78" s="342" t="inlineStr">
        <is>
          <t>3Q2026</t>
        </is>
      </c>
      <c r="C78" s="342" t="inlineStr">
        <is>
          <t>Алерты</t>
        </is>
      </c>
      <c r="D78" s="142" t="inlineStr">
        <is>
          <t>Оповещения по бизнес-метрикам. Светофоры целей, драйверов, воронок (+2 п.п..)</t>
        </is>
      </c>
      <c r="E78" s="342" t="inlineStr">
        <is>
          <t>Данные уже имеются</t>
        </is>
      </c>
      <c r="F78" s="342" t="inlineStr">
        <is>
          <t>+2 п.п.</t>
        </is>
      </c>
      <c r="G78" s="342" t="inlineStr">
        <is>
          <t>Ожидание</t>
        </is>
      </c>
      <c r="H78" s="141" t="inlineStr">
        <is>
          <t>Мартусенко Игорь Викторович</t>
        </is>
      </c>
    </row>
    <row r="79">
      <c r="A79" s="344" t="n"/>
      <c r="B79" s="344" t="n"/>
      <c r="C79" s="344" t="n"/>
      <c r="D79" s="141" t="inlineStr">
        <is>
          <t>Текущее значение в дешборде  50%.</t>
        </is>
      </c>
      <c r="E79" s="344" t="n"/>
      <c r="F79" s="344" t="n"/>
      <c r="G79" s="344" t="n"/>
      <c r="H79" s="141" t="inlineStr">
        <is>
          <t>Архипова Марина Алексеевна</t>
        </is>
      </c>
    </row>
    <row r="80">
      <c r="A80" s="344" t="n"/>
      <c r="B80" s="344" t="n"/>
      <c r="C80" s="344" t="n"/>
      <c r="D80" s="143" t="inlineStr">
        <is>
          <t>Просьба дополнительно учесть наличие дэшбордов ниже. (в них отображены светофоры, цели, драйверы)</t>
        </is>
      </c>
      <c r="E80" s="344" t="n"/>
      <c r="F80" s="344" t="n"/>
      <c r="G80" s="344" t="n"/>
      <c r="H80" s="148" t="n"/>
    </row>
    <row r="81">
      <c r="A81" s="344" t="n"/>
      <c r="B81" s="344" t="n"/>
      <c r="C81" s="344" t="n"/>
      <c r="D81" s="145" t="n"/>
      <c r="E81" s="344" t="n"/>
      <c r="F81" s="344" t="n"/>
      <c r="G81" s="344" t="n"/>
      <c r="H81" s="148" t="n"/>
    </row>
    <row r="82">
      <c r="A82" s="344" t="n"/>
      <c r="B82" s="344" t="n"/>
      <c r="C82" s="344" t="n"/>
      <c r="D82" s="141" t="inlineStr">
        <is>
          <t>Цели OKR (Справа в поиске ввести "Архипова") - тут отражены цели</t>
        </is>
      </c>
      <c r="E82" s="344" t="n"/>
      <c r="F82" s="344" t="n"/>
      <c r="G82" s="344" t="n"/>
      <c r="H82" s="148" t="n"/>
    </row>
    <row r="83" ht="78.75" customHeight="1" s="181">
      <c r="A83" s="344" t="n"/>
      <c r="B83" s="344" t="n"/>
      <c r="C83" s="344" t="n"/>
      <c r="D83" s="144" t="inlineStr">
        <is>
          <t>https://agile.sber.ru/dashboard/#/OKRGoals?0%5B.%5D=.&amp;0%5BscreenOKRGoals%5D=allGoals&amp;1%5BAP%5D=2&amp;1%5BFLD%5D=5&amp;1%5BVL%5D%5B0%5D=3&amp;1%5BLF%5D=T&amp;2%5BAP%5D=2&amp;2%5BFLD%5D=52&amp;2%5BVL%5D%5B0%5D=00EW&amp;2%5BLF%5D=T&amp;3%5BAP%5D=2&amp;3%5BFLD%5D=52&amp;3%5BVL%5D%5B0%5D=00EW&amp;3%5BLF%5D=T&amp;3%5BSN%5D=selectedGoal&amp;4%5BAP%5D=2&amp;4%5BFLD%5D=7&amp;4%5BVL%5D%5B0%5D=%5EB2C&amp;4%5BLF%5D=T&amp;5%5BAP%5D=2&amp;5%5BFLD%5D=32&amp;5%5BVL%5D%5B0%5D=%5E2026_Q3&amp;5%5BLF%5D=T&amp;-&amp;</t>
        </is>
      </c>
      <c r="E83" s="344" t="n"/>
      <c r="F83" s="344" t="n"/>
      <c r="G83" s="344" t="n"/>
      <c r="H83" s="148" t="n"/>
    </row>
    <row r="84">
      <c r="A84" s="344" t="n"/>
      <c r="B84" s="344" t="n"/>
      <c r="C84" s="344" t="n"/>
      <c r="D84" s="145" t="n"/>
      <c r="E84" s="344" t="n"/>
      <c r="F84" s="344" t="n"/>
      <c r="G84" s="344" t="n"/>
      <c r="H84" s="148" t="n"/>
    </row>
    <row r="85">
      <c r="A85" s="344" t="n"/>
      <c r="B85" s="344" t="n"/>
      <c r="C85" s="344" t="n"/>
      <c r="D85" s="141" t="inlineStr">
        <is>
          <t>Светофоры, драйверы и др.</t>
        </is>
      </c>
      <c r="E85" s="344" t="n"/>
      <c r="F85" s="344" t="n"/>
      <c r="G85" s="344" t="n"/>
      <c r="H85" s="148" t="n"/>
    </row>
    <row r="86" ht="94.5" customHeight="1" s="181">
      <c r="A86" s="344" t="n"/>
      <c r="B86" s="344" t="n"/>
      <c r="C86" s="344" t="n"/>
      <c r="D86" s="144" t="inlineStr">
        <is>
          <t>https://agile.sber.ru/dashboard/#/TeamEffectivenessByTribes?0%5B.%5D=.&amp;0%5BteamPerformanceActiveComponent%5D=team&amp;0%5BAM%5D%5BteamPerformance%5D=true&amp;1%5BAP%5D=2&amp;1%5BFLD%5D=7&amp;1%5BVL%5D%5B0%5D=%5EB2C&amp;1%5BLF%5D=T&amp;2%5BAP%5D=1&amp;2%5BFLD%5D=9&amp;2%5BVL%5D%5B0%5D=3&amp;2%5BLF%5D=T&amp;3%5BAP%5D=1&amp;3%5BFLD%5D=8&amp;3%5BVL%5D%5B0%5D=00EW&amp;3%5BLF%5D=T&amp;4%5BAP%5D=1&amp;4%5BFLD%5D=20&amp;4%5BVL%5D%5B0%5D=%5E00EW0002&amp;4%5BLF%5D=T&amp;5%5BAP%5D=1&amp;5%5BFLD%5D=5&amp;5%5BVL%5D%5B0%5D=%C2%B120263&amp;5%5BLF%5D=T&amp;-&amp;</t>
        </is>
      </c>
      <c r="E86" s="344" t="n"/>
      <c r="F86" s="344" t="n"/>
      <c r="G86" s="344" t="n"/>
      <c r="H86" s="148" t="n"/>
    </row>
    <row r="87">
      <c r="A87" s="344" t="n"/>
      <c r="B87" s="344" t="n"/>
      <c r="C87" s="344" t="n"/>
      <c r="D87" s="145" t="n"/>
      <c r="E87" s="344" t="n"/>
      <c r="F87" s="344" t="n"/>
      <c r="G87" s="344" t="n"/>
      <c r="H87" s="148" t="n"/>
    </row>
    <row r="88">
      <c r="A88" s="344" t="n"/>
      <c r="B88" s="344" t="n"/>
      <c r="C88" s="344" t="n"/>
      <c r="D88" s="141" t="inlineStr">
        <is>
          <t>Ссылка на продукт в Навигатор (отражены бизнес метрики в т.ч.)</t>
        </is>
      </c>
      <c r="E88" s="344" t="n"/>
      <c r="F88" s="344" t="n"/>
      <c r="G88" s="344" t="n"/>
      <c r="H88" s="148" t="n"/>
    </row>
    <row r="89" ht="63" customHeight="1" s="181">
      <c r="A89" s="344" t="n"/>
      <c r="B89" s="344" t="n"/>
      <c r="C89" s="344" t="n"/>
      <c r="D89" s="144" t="inlineStr">
        <is>
          <t>https://navigator.sigma.sbrf.ru/gdash/1000000720?prod=%D0%A1%D1%82%D1%80%D0%B0%D1%85%D0%BE%D0%B2%D0%B0%D0%BD%D0%B8%D0%B5%20%D0%BF%D1%83%D1%82%D0%B5%D1%88%D0%B5%D1%81%D1%82%D0%B2%D0%B5%D0%BD%D0%BD%D0%B8%D0%BA%D0%BE%D0%B2%20-%20%D0%BA%D1%80%D0%BE%D0%BC%D0%B5%20%D0%9F%D0%A3&amp;period=3</t>
        </is>
      </c>
      <c r="E89" s="344" t="n"/>
      <c r="F89" s="344" t="n"/>
      <c r="G89" s="344" t="n"/>
      <c r="H89" s="148" t="n"/>
    </row>
    <row r="90">
      <c r="A90" s="344" t="n"/>
      <c r="B90" s="344" t="n"/>
      <c r="C90" s="344" t="n"/>
      <c r="D90" s="145" t="n"/>
      <c r="E90" s="344" t="n"/>
      <c r="F90" s="344" t="n"/>
      <c r="G90" s="344" t="n"/>
      <c r="H90" s="148" t="n"/>
    </row>
    <row r="91">
      <c r="A91" s="344" t="n"/>
      <c r="B91" s="344" t="n"/>
      <c r="C91" s="344" t="n"/>
      <c r="D91" s="141" t="inlineStr">
        <is>
          <t>Дэшборд в кликстрим по воронкам, переходам по экранным формам в процессе оформления</t>
        </is>
      </c>
      <c r="E91" s="344" t="n"/>
      <c r="F91" s="344" t="n"/>
      <c r="G91" s="344" t="n"/>
      <c r="H91" s="148" t="n"/>
    </row>
    <row r="92">
      <c r="A92" s="344" t="n"/>
      <c r="B92" s="344" t="n"/>
      <c r="C92" s="344" t="n"/>
      <c r="D92" s="144" t="inlineStr">
        <is>
          <t>https://clickstream.sigma.sbrf.ru/frontend/sbol/reports/funnels/29292</t>
        </is>
      </c>
      <c r="E92" s="344" t="n"/>
      <c r="F92" s="344" t="n"/>
      <c r="G92" s="344" t="n"/>
      <c r="H92" s="148" t="n"/>
    </row>
    <row r="93">
      <c r="A93" s="344" t="n"/>
      <c r="B93" s="344" t="n"/>
      <c r="C93" s="344" t="n"/>
      <c r="D93" s="145" t="n"/>
      <c r="E93" s="344" t="n"/>
      <c r="F93" s="344" t="n"/>
      <c r="G93" s="344" t="n"/>
      <c r="H93" s="148" t="n"/>
    </row>
    <row r="94">
      <c r="A94" s="344" t="n"/>
      <c r="B94" s="344" t="n"/>
      <c r="C94" s="344" t="n"/>
      <c r="D94" s="141" t="inlineStr">
        <is>
          <t>АС - Рефлекс. Здесь настроены алерты по ВСЕМ возможным ошибкам, они приходят на почту команде.</t>
        </is>
      </c>
      <c r="E94" s="344" t="n"/>
      <c r="F94" s="344" t="n"/>
      <c r="G94" s="344" t="n"/>
      <c r="H94" s="148" t="n"/>
    </row>
    <row r="95" ht="31.5" customHeight="1" s="181">
      <c r="A95" s="344" t="n"/>
      <c r="B95" s="344" t="n"/>
      <c r="C95" s="344" t="n"/>
      <c r="D95" s="144" t="inlineStr">
        <is>
          <t>https://reflex-prom2.ca.sbrf.ru/e/c2be9ac2-9884-4120-973a-a7d485a8b497/#dashboard;gtf=-1h;gf=-3751927455321540408;id=d5b54e31-f79a-43c4-8747-56809a5545c1</t>
        </is>
      </c>
      <c r="E95" s="344" t="n"/>
      <c r="F95" s="344" t="n"/>
      <c r="G95" s="344" t="n"/>
      <c r="H95" s="148" t="n"/>
    </row>
    <row r="96">
      <c r="A96" s="344" t="n"/>
      <c r="B96" s="344" t="n"/>
      <c r="C96" s="344" t="n"/>
      <c r="D96" s="146" t="n"/>
      <c r="E96" s="344" t="n"/>
      <c r="F96" s="344" t="n"/>
      <c r="G96" s="344" t="n"/>
      <c r="H96" s="148" t="n"/>
    </row>
    <row r="97" ht="16.5" customHeight="1" s="181" thickBot="1">
      <c r="A97" s="346" t="n"/>
      <c r="B97" s="346" t="n"/>
      <c r="C97" s="346" t="n"/>
      <c r="D97" s="147" t="n"/>
      <c r="E97" s="346" t="n"/>
      <c r="F97" s="346" t="n"/>
      <c r="G97" s="346" t="n"/>
      <c r="H97" s="149" t="n"/>
    </row>
    <row r="98" ht="27" customHeight="1" s="181">
      <c r="A98" s="342" t="inlineStr">
        <is>
          <t>ВЗР</t>
        </is>
      </c>
      <c r="B98" s="342" t="inlineStr">
        <is>
          <t>3Q2026</t>
        </is>
      </c>
      <c r="C98" s="342" t="inlineStr">
        <is>
          <t>Цели</t>
        </is>
      </c>
      <c r="D98" s="142" t="inlineStr">
        <is>
          <t>Факторный анализ - драйверы 1-2 ур.. Драйверы согласно модели бизнес-планирования выведены в Навигатор   (+4 п.п)</t>
        </is>
      </c>
      <c r="E98" s="342" t="inlineStr">
        <is>
          <t>Данные уже имеются</t>
        </is>
      </c>
      <c r="F98" s="342" t="inlineStr">
        <is>
          <t>+4 п.п.</t>
        </is>
      </c>
      <c r="G98" s="342" t="inlineStr">
        <is>
          <t>Ожидание</t>
        </is>
      </c>
      <c r="H98" s="141" t="inlineStr">
        <is>
          <t>Мартусенко Игорь Викторович</t>
        </is>
      </c>
    </row>
    <row r="99">
      <c r="A99" s="344" t="n"/>
      <c r="B99" s="344" t="n"/>
      <c r="C99" s="344" t="n"/>
      <c r="D99" s="141" t="inlineStr">
        <is>
          <t>Текущее значение в дешборде  0%</t>
        </is>
      </c>
      <c r="E99" s="344" t="n"/>
      <c r="F99" s="344" t="n"/>
      <c r="G99" s="344" t="n"/>
      <c r="H99" s="141" t="inlineStr">
        <is>
          <t>Архипова Марина Алексеевна</t>
        </is>
      </c>
    </row>
    <row r="100">
      <c r="A100" s="344" t="n"/>
      <c r="B100" s="344" t="n"/>
      <c r="C100" s="344" t="n"/>
      <c r="D100" s="143" t="inlineStr">
        <is>
          <t>Просьба учесть наличие драйверов по дэшборду ниже.</t>
        </is>
      </c>
      <c r="E100" s="344" t="n"/>
      <c r="F100" s="344" t="n"/>
      <c r="G100" s="344" t="n"/>
      <c r="H100" s="148" t="n"/>
    </row>
    <row r="101">
      <c r="A101" s="344" t="n"/>
      <c r="B101" s="344" t="n"/>
      <c r="C101" s="344" t="n"/>
      <c r="D101" s="145" t="n"/>
      <c r="E101" s="344" t="n"/>
      <c r="F101" s="344" t="n"/>
      <c r="G101" s="344" t="n"/>
      <c r="H101" s="148" t="n"/>
    </row>
    <row r="102">
      <c r="A102" s="344" t="n"/>
      <c r="B102" s="344" t="n"/>
      <c r="C102" s="344" t="n"/>
      <c r="D102" s="141" t="inlineStr">
        <is>
          <t>Драйверы тут:</t>
        </is>
      </c>
      <c r="E102" s="344" t="n"/>
      <c r="F102" s="344" t="n"/>
      <c r="G102" s="344" t="n"/>
      <c r="H102" s="148" t="n"/>
    </row>
    <row r="103" ht="95.25" customHeight="1" s="181" thickBot="1">
      <c r="A103" s="346" t="n"/>
      <c r="B103" s="346" t="n"/>
      <c r="C103" s="346" t="n"/>
      <c r="D103" s="150" t="inlineStr">
        <is>
          <t>https://agile.sber.ru/dashboard/#/TeamEffectivenessByTribes?0%5B.%5D=.&amp;0%5BteamPerformanceActiveComponent%5D=team&amp;0%5BAM%5D%5BteamPerformance%5D=true&amp;1%5BAP%5D=2&amp;1%5BFLD%5D=7&amp;1%5BVL%5D%5B0%5D=%5EB2C&amp;1%5BLF%5D=T&amp;2%5BAP%5D=1&amp;2%5BFLD%5D=9&amp;2%5BVL%5D%5B0%5D=3&amp;2%5BLF%5D=T&amp;3%5BAP%5D=1&amp;3%5BFLD%5D=8&amp;3%5BVL%5D%5B0%5D=00EW&amp;3%5BLF%5D=T&amp;4%5BAP%5D=1&amp;4%5BFLD%5D=20&amp;4%5BVL%5D%5B0%5D=%5E00EW0002&amp;4%5BLF%5D=T&amp;5%5BAP%5D=1&amp;5%5BFLD%5D=5&amp;5%5BVL%5D%5B0%5D=%C2%B120263&amp;5%5BLF%5D=T&amp;-&amp;</t>
        </is>
      </c>
      <c r="E103" s="346" t="n"/>
      <c r="F103" s="346" t="n"/>
      <c r="G103" s="346" t="n"/>
      <c r="H103" s="149" t="n"/>
    </row>
    <row r="104">
      <c r="A104" s="342" t="inlineStr">
        <is>
          <t>ВЗР</t>
        </is>
      </c>
      <c r="B104" s="342" t="inlineStr">
        <is>
          <t>3Q2026</t>
        </is>
      </c>
      <c r="C104" s="342" t="inlineStr">
        <is>
          <t>Воронка оттока</t>
        </is>
      </c>
      <c r="D104" s="142" t="inlineStr">
        <is>
          <t>Настроена отчетность. По воронке оттока (+ 1 п.п.)</t>
        </is>
      </c>
      <c r="E104" s="342" t="inlineStr">
        <is>
          <t>Данные уже имеются</t>
        </is>
      </c>
      <c r="F104" s="342" t="inlineStr">
        <is>
          <t>+ 4 п.п.</t>
        </is>
      </c>
      <c r="G104" s="342" t="inlineStr">
        <is>
          <t>Ожидание</t>
        </is>
      </c>
      <c r="H104" s="141" t="inlineStr">
        <is>
          <t>Мартусенко Игорь Викторович</t>
        </is>
      </c>
    </row>
    <row r="105">
      <c r="A105" s="344" t="n"/>
      <c r="B105" s="344" t="n"/>
      <c r="C105" s="344" t="n"/>
      <c r="D105" s="141" t="inlineStr">
        <is>
          <t>Текущее значение в дешборде  50%.</t>
        </is>
      </c>
      <c r="E105" s="344" t="n"/>
      <c r="F105" s="344" t="n"/>
      <c r="G105" s="344" t="n"/>
      <c r="H105" s="141" t="inlineStr">
        <is>
          <t>Архипова Марина Алексеевна</t>
        </is>
      </c>
    </row>
    <row r="106">
      <c r="A106" s="344" t="n"/>
      <c r="B106" s="344" t="n"/>
      <c r="C106" s="344" t="n"/>
      <c r="D106" s="143" t="inlineStr">
        <is>
          <t>Просьба дополнительно учесть наличие отчетности</t>
        </is>
      </c>
      <c r="E106" s="344" t="n"/>
      <c r="F106" s="344" t="n"/>
      <c r="G106" s="344" t="n"/>
      <c r="H106" s="148" t="n"/>
    </row>
    <row r="107">
      <c r="A107" s="344" t="n"/>
      <c r="B107" s="344" t="n"/>
      <c r="C107" s="344" t="n"/>
      <c r="D107" s="144" t="inlineStr">
        <is>
          <t>https://clickstream.sigma.sbrf.ru/frontend/sbol/reports/funnels/29292 (1п.п.)</t>
        </is>
      </c>
      <c r="E107" s="344" t="n"/>
      <c r="F107" s="344" t="n"/>
      <c r="G107" s="344" t="n"/>
      <c r="H107" s="148" t="n"/>
    </row>
    <row r="108">
      <c r="A108" s="344" t="n"/>
      <c r="B108" s="344" t="n"/>
      <c r="C108" s="344" t="n"/>
      <c r="D108" s="145" t="n"/>
      <c r="E108" s="344" t="n"/>
      <c r="F108" s="344" t="n"/>
      <c r="G108" s="344" t="n"/>
      <c r="H108" s="148" t="n"/>
    </row>
    <row r="109">
      <c r="A109" s="344" t="n"/>
      <c r="B109" s="344" t="n"/>
      <c r="C109" s="344" t="n"/>
      <c r="D109" s="141" t="inlineStr">
        <is>
          <t>Ссылка на продукт в Навигатор</t>
        </is>
      </c>
      <c r="E109" s="344" t="n"/>
      <c r="F109" s="344" t="n"/>
      <c r="G109" s="344" t="n"/>
      <c r="H109" s="148" t="n"/>
    </row>
    <row r="110" ht="63" customHeight="1" s="181">
      <c r="A110" s="344" t="n"/>
      <c r="B110" s="344" t="n"/>
      <c r="C110" s="344" t="n"/>
      <c r="D110" s="144" t="inlineStr">
        <is>
          <t>https://navigator.sigma.sbrf.ru/gdash/1000000720?prod=%D0%A1%D1%82%D1%80%D0%B0%D1%85%D0%BE%D0%B2%D0%B0%D0%BD%D0%B8%D0%B5%20%D0%BF%D1%83%D1%82%D0%B5%D1%88%D0%B5%D1%81%D1%82%D0%B2%D0%B5%D0%BD%D0%BD%D0%B8%D0%BA%D0%BE%D0%B2%20-%20%D0%BA%D1%80%D0%BE%D0%BC%D0%B5%20%D0%9F%D0%A3&amp;period=3</t>
        </is>
      </c>
      <c r="E110" s="344" t="n"/>
      <c r="F110" s="344" t="n"/>
      <c r="G110" s="344" t="n"/>
      <c r="H110" s="148" t="n"/>
    </row>
    <row r="111">
      <c r="A111" s="344" t="n"/>
      <c r="B111" s="344" t="n"/>
      <c r="C111" s="344" t="n"/>
      <c r="D111" s="145" t="n"/>
      <c r="E111" s="344" t="n"/>
      <c r="F111" s="344" t="n"/>
      <c r="G111" s="344" t="n"/>
      <c r="H111" s="148" t="n"/>
    </row>
    <row r="112">
      <c r="A112" s="344" t="n"/>
      <c r="B112" s="344" t="n"/>
      <c r="C112" s="344" t="n"/>
      <c r="D112" s="142" t="inlineStr">
        <is>
          <t>Полнота отчета. Retention, CR, удержание (+ 1 п.п.)</t>
        </is>
      </c>
      <c r="E112" s="344" t="n"/>
      <c r="F112" s="344" t="n"/>
      <c r="G112" s="344" t="n"/>
      <c r="H112" s="148" t="n"/>
    </row>
    <row r="113">
      <c r="A113" s="344" t="n"/>
      <c r="B113" s="344" t="n"/>
      <c r="C113" s="344" t="n"/>
      <c r="D113" s="141" t="inlineStr">
        <is>
          <t>Текущее значение в дешборде  50%.</t>
        </is>
      </c>
      <c r="E113" s="344" t="n"/>
      <c r="F113" s="344" t="n"/>
      <c r="G113" s="344" t="n"/>
      <c r="H113" s="148" t="n"/>
    </row>
    <row r="114">
      <c r="A114" s="344" t="n"/>
      <c r="B114" s="344" t="n"/>
      <c r="C114" s="344" t="n"/>
      <c r="D114" s="143" t="inlineStr">
        <is>
          <t>Просьба дополнительно учесть наличие метрики в отчетности по % Retention</t>
        </is>
      </c>
      <c r="E114" s="344" t="n"/>
      <c r="F114" s="344" t="n"/>
      <c r="G114" s="344" t="n"/>
      <c r="H114" s="148" t="n"/>
    </row>
    <row r="115" ht="31.5" customHeight="1" s="181">
      <c r="A115" s="344" t="n"/>
      <c r="B115" s="344" t="n"/>
      <c r="C115" s="344" t="n"/>
      <c r="D115" s="144" t="inlineStr">
        <is>
          <t>Выведено в Мониторинге Бизнеса УБ (https://navigator.ca.sbrf.ru/gdash/1000003899) через "Каталог ДБ" в формате СберДиска (Группа Коробочное страхование /Трайб 2026.xlsx - в сводной таблице указан параметр "% повторных полисов ВЗР")</t>
        </is>
      </c>
      <c r="E115" s="344" t="n"/>
      <c r="F115" s="344" t="n"/>
      <c r="G115" s="344" t="n"/>
      <c r="H115" s="148" t="n"/>
    </row>
    <row r="116">
      <c r="A116" s="344" t="n"/>
      <c r="B116" s="344" t="n"/>
      <c r="C116" s="344" t="n"/>
      <c r="D116" s="145" t="n"/>
      <c r="E116" s="344" t="n"/>
      <c r="F116" s="344" t="n"/>
      <c r="G116" s="344" t="n"/>
      <c r="H116" s="148" t="n"/>
    </row>
    <row r="117">
      <c r="A117" s="344" t="n"/>
      <c r="B117" s="344" t="n"/>
      <c r="C117" s="344" t="n"/>
      <c r="D117" s="142" t="inlineStr">
        <is>
          <t>Регулярность. Автоматически (daily / weekly) или по запросу</t>
        </is>
      </c>
      <c r="E117" s="344" t="n"/>
      <c r="F117" s="344" t="n"/>
      <c r="G117" s="344" t="n"/>
      <c r="H117" s="148" t="n"/>
    </row>
    <row r="118">
      <c r="A118" s="344" t="n"/>
      <c r="B118" s="344" t="n"/>
      <c r="C118" s="344" t="n"/>
      <c r="D118" s="141" t="inlineStr">
        <is>
          <t>Текущее значение в дешборде  50%.</t>
        </is>
      </c>
      <c r="E118" s="344" t="n"/>
      <c r="F118" s="344" t="n"/>
      <c r="G118" s="344" t="n"/>
      <c r="H118" s="148" t="n"/>
    </row>
    <row r="119">
      <c r="A119" s="344" t="n"/>
      <c r="B119" s="344" t="n"/>
      <c r="C119" s="344" t="n"/>
      <c r="D119" s="143" t="inlineStr">
        <is>
          <t>Просьба учесть регулярность: Отчет по % retention обновляется каждый ПН и каждый ЧТ</t>
        </is>
      </c>
      <c r="E119" s="344" t="n"/>
      <c r="F119" s="344" t="n"/>
      <c r="G119" s="344" t="n"/>
      <c r="H119" s="148" t="n"/>
    </row>
    <row r="120">
      <c r="A120" s="344" t="n"/>
      <c r="B120" s="344" t="n"/>
      <c r="C120" s="344" t="n"/>
      <c r="D120" s="145" t="n"/>
      <c r="E120" s="344" t="n"/>
      <c r="F120" s="344" t="n"/>
      <c r="G120" s="344" t="n"/>
      <c r="H120" s="148" t="n"/>
    </row>
    <row r="121">
      <c r="A121" s="344" t="n"/>
      <c r="B121" s="344" t="n"/>
      <c r="C121" s="344" t="n"/>
      <c r="D121" s="142" t="inlineStr">
        <is>
          <t>Наличие бенчмарков. Цели / динамика / рынок (+2 п.п.)</t>
        </is>
      </c>
      <c r="E121" s="344" t="n"/>
      <c r="F121" s="344" t="n"/>
      <c r="G121" s="344" t="n"/>
      <c r="H121" s="148" t="n"/>
    </row>
    <row r="122">
      <c r="A122" s="344" t="n"/>
      <c r="B122" s="344" t="n"/>
      <c r="C122" s="344" t="n"/>
      <c r="D122" s="141" t="inlineStr">
        <is>
          <t>Текущее значение в дешборде  0%</t>
        </is>
      </c>
      <c r="E122" s="344" t="n"/>
      <c r="F122" s="344" t="n"/>
      <c r="G122" s="344" t="n"/>
      <c r="H122" s="148" t="n"/>
    </row>
    <row r="123" ht="27.75" customHeight="1" s="181" thickBot="1">
      <c r="A123" s="346" t="n"/>
      <c r="B123" s="346" t="n"/>
      <c r="C123" s="346" t="n"/>
      <c r="D123" s="151" t="inlineStr">
        <is>
          <t>Просьба учесть комментарий: Информация будет предоставлена в новом отчете . Цель 19% в доле рынка, текущее значение = 20%.</t>
        </is>
      </c>
      <c r="E123" s="346" t="n"/>
      <c r="F123" s="346" t="n"/>
      <c r="G123" s="346" t="n"/>
      <c r="H123" s="149" t="n"/>
    </row>
    <row r="124">
      <c r="A124" s="342" t="inlineStr">
        <is>
          <t>ВЗР</t>
        </is>
      </c>
      <c r="B124" s="342" t="inlineStr">
        <is>
          <t>3Q2026</t>
        </is>
      </c>
      <c r="C124" s="342" t="inlineStr">
        <is>
          <t>Механики</t>
        </is>
      </c>
      <c r="D124" s="142" t="inlineStr">
        <is>
          <t>Возврат клиентов. Реактивация оттекающих клиентов. (+ 2 п.п.)</t>
        </is>
      </c>
      <c r="E124" s="342" t="inlineStr">
        <is>
          <t>Данные уже имеются</t>
        </is>
      </c>
      <c r="F124" s="342" t="inlineStr">
        <is>
          <t>+ 8 п.п.</t>
        </is>
      </c>
      <c r="G124" s="342" t="inlineStr">
        <is>
          <t>Ожидание</t>
        </is>
      </c>
      <c r="H124" s="141" t="inlineStr">
        <is>
          <t>Мартусенко Игорь Викторович</t>
        </is>
      </c>
    </row>
    <row r="125">
      <c r="A125" s="344" t="n"/>
      <c r="B125" s="344" t="n"/>
      <c r="C125" s="344" t="n"/>
      <c r="D125" s="141" t="inlineStr">
        <is>
          <t>Текущее значение в дешборде  50%.</t>
        </is>
      </c>
      <c r="E125" s="344" t="n"/>
      <c r="F125" s="344" t="n"/>
      <c r="G125" s="344" t="n"/>
      <c r="H125" s="141" t="inlineStr">
        <is>
          <t>Архипова Марина Алексеевна</t>
        </is>
      </c>
    </row>
    <row r="126">
      <c r="A126" s="344" t="n"/>
      <c r="B126" s="344" t="n"/>
      <c r="C126" s="344" t="n"/>
      <c r="D126" s="143" t="inlineStr">
        <is>
          <t>Просьба учесть дополнительные активности (ниже) по работе с оттекающими клиентами</t>
        </is>
      </c>
      <c r="E126" s="344" t="n"/>
      <c r="F126" s="344" t="n"/>
      <c r="G126" s="344" t="n"/>
      <c r="H126" s="148" t="n"/>
    </row>
    <row r="127">
      <c r="A127" s="344" t="n"/>
      <c r="B127" s="344" t="n"/>
      <c r="C127" s="344" t="n"/>
      <c r="D127" s="141" t="inlineStr">
        <is>
          <t>В части возврата клиентов запланированы коммуникации на удержание оттекающих клиентов (запуск сент. 26г.)</t>
        </is>
      </c>
      <c r="E127" s="344" t="n"/>
      <c r="F127" s="344" t="n"/>
      <c r="G127" s="344" t="n"/>
      <c r="H127" s="148" t="n"/>
    </row>
    <row r="128" ht="27" customHeight="1" s="181">
      <c r="A128" s="344" t="n"/>
      <c r="B128" s="344" t="n"/>
      <c r="C128" s="344" t="n"/>
      <c r="D128" s="141" t="inlineStr">
        <is>
          <t>1. Отправка коммуникации с предложением оформить продукт клиенту у которого закончился годовой полис, но при этом клиент не оформил новый полис.</t>
        </is>
      </c>
      <c r="E128" s="344" t="n"/>
      <c r="F128" s="344" t="n"/>
      <c r="G128" s="344" t="n"/>
      <c r="H128" s="148" t="n"/>
    </row>
    <row r="129" ht="27" customHeight="1" s="181">
      <c r="A129" s="344" t="n"/>
      <c r="B129" s="344" t="n"/>
      <c r="C129" s="344" t="n"/>
      <c r="D129" s="141" t="inlineStr">
        <is>
          <t>2. Отправка коммуникации с предложением оформить продукт клиенту, который год назад страховал путешетсвие в аналогичный месяц текущего года.</t>
        </is>
      </c>
      <c r="E129" s="344" t="n"/>
      <c r="F129" s="344" t="n"/>
      <c r="G129" s="344" t="n"/>
      <c r="H129" s="148" t="n"/>
    </row>
    <row r="130">
      <c r="A130" s="344" t="n"/>
      <c r="B130" s="344" t="n"/>
      <c r="C130" s="344" t="n"/>
      <c r="D130" s="141" t="inlineStr">
        <is>
          <t>Пример коммуникации: "Год назад вы страховали путешествие. Не забудьте о страховке в новой поездке."</t>
        </is>
      </c>
      <c r="E130" s="344" t="n"/>
      <c r="F130" s="344" t="n"/>
      <c r="G130" s="344" t="n"/>
      <c r="H130" s="148" t="n"/>
    </row>
    <row r="131">
      <c r="A131" s="344" t="n"/>
      <c r="B131" s="344" t="n"/>
      <c r="C131" s="344" t="n"/>
      <c r="D131" s="145" t="n"/>
      <c r="E131" s="344" t="n"/>
      <c r="F131" s="344" t="n"/>
      <c r="G131" s="344" t="n"/>
      <c r="H131" s="148" t="n"/>
    </row>
    <row r="132">
      <c r="A132" s="344" t="n"/>
      <c r="B132" s="344" t="n"/>
      <c r="C132" s="344" t="n"/>
      <c r="D132" s="142" t="inlineStr">
        <is>
          <t>Гибкое изменение условий продукта. Возможность изменить набор опций по продукту без IT-разработки (+ 4 п.п.)</t>
        </is>
      </c>
      <c r="E132" s="344" t="n"/>
      <c r="F132" s="344" t="n"/>
      <c r="G132" s="344" t="n"/>
      <c r="H132" s="148" t="n"/>
    </row>
    <row r="133">
      <c r="A133" s="344" t="n"/>
      <c r="B133" s="344" t="n"/>
      <c r="C133" s="344" t="n"/>
      <c r="D133" s="141" t="inlineStr">
        <is>
          <t>Текущее значение в дешборде  0%</t>
        </is>
      </c>
      <c r="E133" s="344" t="n"/>
      <c r="F133" s="344" t="n"/>
      <c r="G133" s="344" t="n"/>
      <c r="H133" s="148" t="n"/>
    </row>
    <row r="134">
      <c r="A134" s="344" t="n"/>
      <c r="B134" s="344" t="n"/>
      <c r="C134" s="344" t="n"/>
      <c r="D134" s="143" t="inlineStr">
        <is>
          <t xml:space="preserve">Просьба учесть комментарий: </t>
        </is>
      </c>
      <c r="E134" s="344" t="n"/>
      <c r="F134" s="344" t="n"/>
      <c r="G134" s="344" t="n"/>
      <c r="H134" s="148" t="n"/>
    </row>
    <row r="135" ht="40.5" customHeight="1" s="181">
      <c r="A135" s="344" t="n"/>
      <c r="B135" s="344" t="n"/>
      <c r="C135" s="344" t="n"/>
      <c r="D135" s="141" t="inlineStr">
        <is>
          <t>Продукт переходит на процесс оформления при помощи "Страхового конвейера" в 3q26, в котором предложение по условиям и параметрам формируется на стороне СберСтрахования и отображается в контуре банка. В данной конфигурации будут возможны гибкие изменения без ИТ разработки.</t>
        </is>
      </c>
      <c r="E135" s="344" t="n"/>
      <c r="F135" s="344" t="n"/>
      <c r="G135" s="344" t="n"/>
      <c r="H135" s="148" t="n"/>
    </row>
    <row r="136">
      <c r="A136" s="344" t="n"/>
      <c r="B136" s="344" t="n"/>
      <c r="C136" s="344" t="n"/>
      <c r="D136" s="145" t="n"/>
      <c r="E136" s="344" t="n"/>
      <c r="F136" s="344" t="n"/>
      <c r="G136" s="344" t="n"/>
      <c r="H136" s="148" t="n"/>
    </row>
    <row r="137">
      <c r="A137" s="344" t="n"/>
      <c r="B137" s="344" t="n"/>
      <c r="C137" s="344" t="n"/>
      <c r="D137" s="142" t="inlineStr">
        <is>
          <t>Cross-sell. В оформлении и после покупки (+ 2 п.п.)</t>
        </is>
      </c>
      <c r="E137" s="344" t="n"/>
      <c r="F137" s="344" t="n"/>
      <c r="G137" s="344" t="n"/>
      <c r="H137" s="148" t="n"/>
    </row>
    <row r="138">
      <c r="A138" s="344" t="n"/>
      <c r="B138" s="344" t="n"/>
      <c r="C138" s="344" t="n"/>
      <c r="D138" s="141" t="inlineStr">
        <is>
          <t>Текущее значение в дешборде  50%.</t>
        </is>
      </c>
      <c r="E138" s="344" t="n"/>
      <c r="F138" s="344" t="n"/>
      <c r="G138" s="344" t="n"/>
      <c r="H138" s="148" t="n"/>
    </row>
    <row r="139">
      <c r="A139" s="344" t="n"/>
      <c r="B139" s="344" t="n"/>
      <c r="C139" s="344" t="n"/>
      <c r="D139" s="143" t="inlineStr">
        <is>
          <t>Просьба учесть в расчете механику Cross-sell после оформления полиса</t>
        </is>
      </c>
      <c r="E139" s="344" t="n"/>
      <c r="F139" s="344" t="n"/>
      <c r="G139" s="344" t="n"/>
      <c r="H139" s="148" t="n"/>
    </row>
    <row r="140" ht="27.75" customHeight="1" s="181" thickBot="1">
      <c r="A140" s="346" t="n"/>
      <c r="B140" s="346" t="n"/>
      <c r="C140" s="346" t="n"/>
      <c r="D140" s="152" t="inlineStr">
        <is>
          <t>После оформления полиса клиенту предлагаются сервисы экосистемы: оформление билетов, бронирование отелей, покупка проходов  в бизнес залы и др. (предложение находится на карточке оформленного продукта в МП СБОЛ)</t>
        </is>
      </c>
      <c r="E140" s="346" t="n"/>
      <c r="F140" s="346" t="n"/>
      <c r="G140" s="346" t="n"/>
      <c r="H140" s="149" t="n"/>
    </row>
    <row r="141">
      <c r="A141" s="342" t="inlineStr">
        <is>
          <t>ВЗР</t>
        </is>
      </c>
      <c r="B141" s="342" t="inlineStr">
        <is>
          <t>3Q26</t>
        </is>
      </c>
      <c r="C141" s="342" t="inlineStr">
        <is>
          <t>Гипотезы и Инициативы</t>
        </is>
      </c>
      <c r="D141" s="141" t="inlineStr">
        <is>
          <t>Текущее значение в дешборде  0%.</t>
        </is>
      </c>
      <c r="E141" s="248" t="n"/>
      <c r="F141" s="348" t="n"/>
      <c r="G141" s="348" t="n"/>
      <c r="H141" s="348" t="n"/>
    </row>
    <row r="142" ht="27" customHeight="1" s="181">
      <c r="A142" s="344" t="n"/>
      <c r="B142" s="344" t="n"/>
      <c r="C142" s="344" t="n"/>
      <c r="D142" s="143" t="inlineStr">
        <is>
          <t xml:space="preserve">Просьба учесть наличие АБ теста, который проводится в настоящее время - АБ тестирование по возможности списания бонусов СберСПАСИБО при оплате полиса. </t>
        </is>
      </c>
      <c r="E142" s="345" t="n"/>
    </row>
    <row r="143">
      <c r="A143" s="344" t="n"/>
      <c r="B143" s="344" t="n"/>
      <c r="C143" s="344" t="n"/>
      <c r="D143" s="141" t="inlineStr">
        <is>
          <t>Проводится на 3 группы клеинтов: 1) курс 1:1 ; 2) курс 1:0,8 ; 3) без возможности списания бонусов.</t>
        </is>
      </c>
      <c r="E143" s="345" t="n"/>
    </row>
    <row r="144">
      <c r="A144" s="344" t="n"/>
      <c r="B144" s="344" t="n"/>
      <c r="C144" s="344" t="n"/>
      <c r="D144" s="141" t="inlineStr">
        <is>
          <t xml:space="preserve">Ссылка на Распоряжение в СберДокс: </t>
        </is>
      </c>
      <c r="E144" s="345" t="n"/>
    </row>
    <row r="145" ht="16.5" customHeight="1" s="181" thickBot="1">
      <c r="A145" s="346" t="n"/>
      <c r="B145" s="346" t="n"/>
      <c r="C145" s="346" t="n"/>
      <c r="D145" s="150" t="inlineStr">
        <is>
          <t>https://sberdocs.sberbank.ru/app/tasks/47fb17be-efe2-4138-b273-53c9f1afec1b</t>
        </is>
      </c>
      <c r="E145" s="345" t="n"/>
    </row>
    <row r="146">
      <c r="A146" s="153" t="n"/>
    </row>
  </sheetData>
  <autoFilter ref="A1:K1"/>
  <mergeCells count="41">
    <mergeCell ref="A98:A103"/>
    <mergeCell ref="E78:E97"/>
    <mergeCell ref="G78:G97"/>
    <mergeCell ref="A141:A145"/>
    <mergeCell ref="B2:B45"/>
    <mergeCell ref="F104:F123"/>
    <mergeCell ref="A104:A123"/>
    <mergeCell ref="F2:F45"/>
    <mergeCell ref="G46:G77"/>
    <mergeCell ref="C98:C103"/>
    <mergeCell ref="E98:E103"/>
    <mergeCell ref="G98:G103"/>
    <mergeCell ref="F124:F140"/>
    <mergeCell ref="B78:B97"/>
    <mergeCell ref="A2:A45"/>
    <mergeCell ref="E104:E123"/>
    <mergeCell ref="B46:B77"/>
    <mergeCell ref="C2:C45"/>
    <mergeCell ref="G104:G123"/>
    <mergeCell ref="E2:E45"/>
    <mergeCell ref="B98:B103"/>
    <mergeCell ref="A124:A140"/>
    <mergeCell ref="C124:C140"/>
    <mergeCell ref="B141:B145"/>
    <mergeCell ref="G124:G140"/>
    <mergeCell ref="C78:C97"/>
    <mergeCell ref="E141:H145"/>
    <mergeCell ref="C141:C145"/>
    <mergeCell ref="B104:B123"/>
    <mergeCell ref="C46:C77"/>
    <mergeCell ref="E46:E77"/>
    <mergeCell ref="B124:B140"/>
    <mergeCell ref="F78:F97"/>
    <mergeCell ref="A46:A77"/>
    <mergeCell ref="A78:A97"/>
    <mergeCell ref="C104:C123"/>
    <mergeCell ref="F46:F77"/>
    <mergeCell ref="I4:I13"/>
    <mergeCell ref="G2:G45"/>
    <mergeCell ref="F98:F103"/>
    <mergeCell ref="E124:E140"/>
  </mergeCells>
  <hyperlinks>
    <hyperlink ref="D8" tooltip="https://rosstat.gov.ru/statistics/turizm" display="https://rosstat.gov.ru/statistics/turizm" r:id="rId1"/>
    <hyperlink ref="D43" tooltip="https://navigator.sigma.sbrf.ru/gdash/1000000720?prod=%D0%A1%D1%82%D1%80%D0%B0%D1%85%D0%BE%D0%B2%D0%B0%D0%BD%D0%B8%D0%B5%20%D0%BF%D1%83%D1%82%D0%B5%D1%88%D0%B5%D1%81%D1%82%D0%B2%D0%B5%D0%BD%D0%BD%D0%B8%D0%BA%D0%BE%D0%B2%20-%20%D0%BA%D1%80%D0%BE%D0%BC%D0%B" display="https://navigator.sigma.sbrf.ru/gdash/1000000720?prod=%D0%A1%D1%82%D1%80%D0%B0%D1%85%D0%BE%D0%B2%D0%B0%D0%BD%D0%B8%D0%B5%20%D0%BF%D1%83%D1%82%D0%B5%D1%88%D0%B5%D1%81%D1%82%D0%B2%D0%B5%D0%BD%D0%BD%D0%B8%D0%BA%D0%BE%D0%B2%20-%20%D0%BA%D1%80%D0%BE%D0%BC%D0%B5%20%D0%9F%D0%A3&amp;amp;period=3" r:id="rId2"/>
    <hyperlink ref="D49" tooltip="https://clickstream.sigma.sbrf.ru/frontend/sbol/reports/funnels/29292" r:id="rId3"/>
    <hyperlink ref="D54" tooltip="https://clickstream.sigma.sbrf.ru/frontend/sbol/reports/funnels/29292" r:id="rId4"/>
    <hyperlink ref="D60" tooltip="https://clickstream.sigma.sbrf.ru/frontend/sbol/reports/funnels/29292" r:id="rId5"/>
    <hyperlink ref="D70" tooltip="https://qlik.sigma.sbrf.ru/qs_b2c_data/scim_sigma/sense/app/25e1a8c8-9a7c-4072-bf29-055bba63e97e/sheet/996accc8-5be9-4cf2-92f5-eb932bbf3980/state/analysis" r:id="rId6"/>
    <hyperlink ref="D77" tooltip="https://qlik.sigma.sbrf.ru/qs_b2c_data/scim_sigma/sense/app/25e1a8c8-9a7c-4072-bf29-055bba63e97e/sheet/996accc8-5be9-4cf2-92f5-eb932bbf3980/state/analysis" r:id="rId7"/>
    <hyperlink ref="D83" location="/OKRGoals?0%5B.%5D=.&amp;amp;0%5BscreenOKRGoals%5D=allGoals&amp;amp;1%5BAP%5D=2&amp;amp;1%5BFLD%5D=5&amp;amp;1%5BVL%5D%5B0%5D=3&amp;amp;1%5BLF%5D=T&amp;amp;2%5BAP%5D=2&amp;amp;2%5BFLD%5D=52&amp;amp;2%5BVL%5D%5B0%5D=00EW&amp;amp;2%5BLF%5D=T&amp;amp;3%5BAP%5D=2&amp;amp;3%5BFLD%5D=52&amp;amp;3%5BVL%5D%5B0%5D=00EW&amp;amp;3%5BLF%5D=T&amp;amp;3%5BSN%5D=selectedGoal&amp;amp;4%5BAP%5D=2&amp;amp;4%5BFLD%5D=7&amp;amp;4%5BVL%5D%5B0%5D=%5EB2C&amp;amp;4%5BLF%5D=T&amp;amp;5%5BAP%5D=2&amp;amp;5%5BFLD%5D=32&amp;amp;5%5BVL%5D%5B0%5D=%5E2026_Q3&amp;amp;5%5BLF%5D=T&amp;amp;-&amp;amp;" tooltip="https://agile.sber.ru/dashboard/#/OKRGoals?0%5B.%5D=.&amp;0%5BscreenOKRGoals%5D=allGoals&amp;1%5BAP%5D=2&amp;1%5BFLD%5D=5&amp;1%5BVL%5D%5B0%5D=3&amp;1%5BLF%5D=T&amp;2%5BAP%5D=2&amp;2%5BFLD%5D=52&amp;2%5BVL%5D%5B0%5D=00EW&amp;2%5BLF%5D=T&amp;3%5BAP%5D=2&amp;3%5BFLD%5D=52&amp;3%5BVL%5D%5B0%5D=00EW&amp;3%5BLF" display="https://agile.sber.ru/dashboard/ - /OKRGoals?0%5B.%5D=.&amp;amp;0%5BscreenOKRGoals%5D=allGoals&amp;amp;1%5BAP%5D=2&amp;amp;1%5BFLD%5D=5&amp;amp;1%5BVL%5D%5B0%5D=3&amp;amp;1%5BLF%5D=T&amp;amp;2%5BAP%5D=2&amp;amp;2%5BFLD%5D=52&amp;amp;2%5BVL%5D%5B0%5D=00EW&amp;amp;2%5BLF%5D=T&amp;amp;3%5BAP%5D=2&amp;amp;3%5BFLD%5D=52&amp;amp;3%5BVL%5D%5B0%5D=00EW&amp;amp;3%5BLF%5D=T&amp;amp;3%5BSN%5D=selectedGoal&amp;amp;4%5BAP%5D=2&amp;amp;4%5BFLD%5D=7&amp;amp;4%5BVL%5D%5B0%5D=%5EB2C&amp;amp;4%5BLF%5D=T&amp;amp;5%5BAP%5D=2&amp;amp;5%5BFLD%5D=32&amp;amp;5%5BVL%5D%5B0%5D=%5E2026_Q3&amp;amp;5%5BLF%5D=T&amp;amp;-&amp;amp;" r:id="rId8"/>
    <hyperlink ref="D86" location="/TeamEffectivenessByTribes?0%5B.%5D=.&amp;amp;0%5BteamPerformanceActiveComponent%5D=team&amp;amp;0%5BAM%5D%5BteamPerformance%5D=true&amp;amp;1%5BAP%5D=2&amp;amp;1%5BFLD%5D=7&amp;amp;1%5BVL%5D%5B0%5D=%5EB2C&amp;amp;1%5BLF%5D=T&amp;amp;2%5BAP%5D=1&amp;amp;2%5BFLD%5D=9&amp;amp;2%5BVL%5D%5B0%5D=3&amp;amp;2%5BLF%5D=T&amp;amp;3%5BAP%5D=1&amp;amp;3%5BFLD%5D=8&amp;amp;3%5BVL%5D%5B0%5D=00EW&amp;amp;3%5BLF%5D=T&amp;amp;4%5BAP%5D=1&amp;amp;4%5BFLD%5D=20&amp;amp;4%5BVL%5D%5B0%5D=%5E00EW0002&amp;amp;4%5BLF%5D=T&amp;amp;5%5BAP%5D=1&amp;amp;5%5BFLD%5D=5&amp;amp;5%5BVL%5D%5B0%5D=%C2%B120263&amp;amp;5%5BLF%5D=T&amp;amp;-&amp;amp;" tooltip="https://agile.sber.ru/dashboard/#/TeamEffectivenessByTribes?0%5B.%5D=.&amp;0%5BteamPerformanceActiveComponent%5D=team&amp;0%5BAM%5D%5BteamPerformance%5D=true&amp;1%5BAP%5D=2&amp;1%5BFLD%5D=7&amp;1%5BVL%5D%5B0%5D=%5EB2C&amp;1%5BLF%5D=T&amp;2%5BAP%5D=1&amp;2%5BFLD%5D=9&amp;2%5BVL%5D%5B0%5D=3&amp;" display="https://agile.sber.ru/dashboard/ - /TeamEffectivenessByTribes?0%5B.%5D=.&amp;amp;0%5BteamPerformanceActiveComponent%5D=team&amp;amp;0%5BAM%5D%5BteamPerformance%5D=true&amp;amp;1%5BAP%5D=2&amp;amp;1%5BFLD%5D=7&amp;amp;1%5BVL%5D%5B0%5D=%5EB2C&amp;amp;1%5BLF%5D=T&amp;amp;2%5BAP%5D=1&amp;amp;2%5BFLD%5D=9&amp;amp;2%5BVL%5D%5B0%5D=3&amp;amp;2%5BLF%5D=T&amp;amp;3%5BAP%5D=1&amp;amp;3%5BFLD%5D=8&amp;amp;3%5BVL%5D%5B0%5D=00EW&amp;amp;3%5BLF%5D=T&amp;amp;4%5BAP%5D=1&amp;amp;4%5BFLD%5D=20&amp;amp;4%5BVL%5D%5B0%5D=%5E00EW0002&amp;amp;4%5BLF%5D=T&amp;amp;5%5BAP%5D=1&amp;amp;5%5BFLD%5D=5&amp;amp;5%5BVL%5D%5B0%5D=%C2%B120263&amp;amp;5%5BLF%5D=T&amp;amp;-&amp;amp;" r:id="rId9"/>
    <hyperlink ref="D89" tooltip="https://navigator.sigma.sbrf.ru/gdash/1000000720?prod=%D0%A1%D1%82%D1%80%D0%B0%D1%85%D0%BE%D0%B2%D0%B0%D0%BD%D0%B8%D0%B5%20%D0%BF%D1%83%D1%82%D0%B5%D1%88%D0%B5%D1%81%D1%82%D0%B2%D0%B5%D0%BD%D0%BD%D0%B8%D0%BA%D0%BE%D0%B2%20-%20%D0%BA%D1%80%D0%BE%D0%BC%D0%B" display="https://navigator.sigma.sbrf.ru/gdash/1000000720?prod=%D0%A1%D1%82%D1%80%D0%B0%D1%85%D0%BE%D0%B2%D0%B0%D0%BD%D0%B8%D0%B5%20%D0%BF%D1%83%D1%82%D0%B5%D1%88%D0%B5%D1%81%D1%82%D0%B2%D0%B5%D0%BD%D0%BD%D0%B8%D0%BA%D0%BE%D0%B2%20-%20%D0%BA%D1%80%D0%BE%D0%BC%D0%B5%20%D0%9F%D0%A3&amp;amp;period=3" r:id="rId10"/>
    <hyperlink ref="D92" tooltip="https://clickstream.sigma.sbrf.ru/frontend/sbol/reports/funnels/29292" r:id="rId11"/>
    <hyperlink ref="D95" location="dashboard;gtf=-1h;gf=-3751927455321540408;id=d5b54e31-f79a-43c4-8747-56809a5545c1" tooltip="https://reflex-prom2.ca.sbrf.ru/e/c2be9ac2-9884-4120-973a-a7d485a8b497/#dashboard;gtf=-1h;gf=-3751927455321540408;id=d5b54e31-f79a-43c4-8747-56809a5545c1" display="https://reflex-prom2.ca.sbrf.ru/e/c2be9ac2-9884-4120-973a-a7d485a8b497/ - dashboard;gtf=-1h;gf=-3751927455321540408;id=d5b54e31-f79a-43c4-8747-56809a5545c1" r:id="rId12"/>
    <hyperlink ref="D103" location="/TeamEffectivenessByTribes?0%5B.%5D=.&amp;amp;0%5BteamPerformanceActiveComponent%5D=team&amp;amp;0%5BAM%5D%5BteamPerformance%5D=true&amp;amp;1%5BAP%5D=2&amp;amp;1%5BFLD%5D=7&amp;amp;1%5BVL%5D%5B0%5D=%5EB2C&amp;amp;1%5BLF%5D=T&amp;amp;2%5BAP%5D=1&amp;amp;2%5BFLD%5D=9&amp;amp;2%5BVL%5D%5B0%5D=3&amp;amp;2%5BLF%5D=T&amp;amp;3%5BAP%5D=1&amp;amp;3%5BFLD%5D=8&amp;amp;3%5BVL%5D%5B0%5D=00EW&amp;amp;3%5BLF%5D=T&amp;amp;4%5BAP%5D=1&amp;amp;4%5BFLD%5D=20&amp;amp;4%5BVL%5D%5B0%5D=%5E00EW0002&amp;amp;4%5BLF%5D=T&amp;amp;5%5BAP%5D=1&amp;amp;5%5BFLD%5D=5&amp;amp;5%5BVL%5D%5B0%5D=%C2%B120263&amp;amp;5%5BLF%5D=T&amp;amp;-&amp;amp;" tooltip="https://agile.sber.ru/dashboard/#/TeamEffectivenessByTribes?0%5B.%5D=.&amp;0%5BteamPerformanceActiveComponent%5D=team&amp;0%5BAM%5D%5BteamPerformance%5D=true&amp;1%5BAP%5D=2&amp;1%5BFLD%5D=7&amp;1%5BVL%5D%5B0%5D=%5EB2C&amp;1%5BLF%5D=T&amp;2%5BAP%5D=1&amp;2%5BFLD%5D=9&amp;2%5BVL%5D%5B0%5D=3&amp;" display="https://agile.sber.ru/dashboard/ - /TeamEffectivenessByTribes?0%5B.%5D=.&amp;amp;0%5BteamPerformanceActiveComponent%5D=team&amp;amp;0%5BAM%5D%5BteamPerformance%5D=true&amp;amp;1%5BAP%5D=2&amp;amp;1%5BFLD%5D=7&amp;amp;1%5BVL%5D%5B0%5D=%5EB2C&amp;amp;1%5BLF%5D=T&amp;amp;2%5BAP%5D=1&amp;amp;2%5BFLD%5D=9&amp;amp;2%5BVL%5D%5B0%5D=3&amp;amp;2%5BLF%5D=T&amp;amp;3%5BAP%5D=1&amp;amp;3%5BFLD%5D=8&amp;amp;3%5BVL%5D%5B0%5D=00EW&amp;amp;3%5BLF%5D=T&amp;amp;4%5BAP%5D=1&amp;amp;4%5BFLD%5D=20&amp;amp;4%5BVL%5D%5B0%5D=%5E00EW0002&amp;amp;4%5BLF%5D=T&amp;amp;5%5BAP%5D=1&amp;amp;5%5BFLD%5D=5&amp;amp;5%5BVL%5D%5B0%5D=%C2%B120263&amp;amp;5%5BLF%5D=T&amp;amp;-&amp;amp;" r:id="rId13"/>
    <hyperlink ref="D107" tooltip="https://clickstream.sigma.sbrf.ru/frontend/sbol/reports/funnels/29292" display="https://clickstream.sigma.sbrf.ru/frontend/sbol/reports/funnels/29292" r:id="rId14"/>
    <hyperlink ref="D110" tooltip="https://navigator.sigma.sbrf.ru/gdash/1000000720?prod=%D0%A1%D1%82%D1%80%D0%B0%D1%85%D0%BE%D0%B2%D0%B0%D0%BD%D0%B8%D0%B5%20%D0%BF%D1%83%D1%82%D0%B5%D1%88%D0%B5%D1%81%D1%82%D0%B2%D0%B5%D0%BD%D0%BD%D0%B8%D0%BA%D0%BE%D0%B2%20-%20%D0%BA%D1%80%D0%BE%D0%BC%D0%B" display="https://navigator.sigma.sbrf.ru/gdash/1000000720?prod=%D0%A1%D1%82%D1%80%D0%B0%D1%85%D0%BE%D0%B2%D0%B0%D0%BD%D0%B8%D0%B5%20%D0%BF%D1%83%D1%82%D0%B5%D1%88%D0%B5%D1%81%D1%82%D0%B2%D0%B5%D0%BD%D0%BD%D0%B8%D0%BA%D0%BE%D0%B2%20-%20%D0%BA%D1%80%D0%BE%D0%BC%D0%B5%20%D0%9F%D0%A3&amp;amp;period=3" r:id="rId15"/>
    <hyperlink ref="D115" tooltip="https://navigator.ca.sbrf.ru/gdash/1000003899" display="https://navigator.ca.sbrf.ru/gdash/1000003899" r:id="rId16"/>
    <hyperlink ref="D145" tooltip="https://sberdocs.sberbank.ru/app/tasks/47fb17be-efe2-4138-b273-53c9f1afec1b" r:id="rId17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78" zoomScaleNormal="78" workbookViewId="0">
      <selection activeCell="E8" sqref="E8"/>
    </sheetView>
  </sheetViews>
  <sheetFormatPr baseColWidth="8" defaultRowHeight="15.75"/>
  <cols>
    <col width="8.875" customWidth="1" style="181" min="1" max="1"/>
    <col width="24.25" customWidth="1" style="181" min="2" max="2"/>
    <col width="12" customWidth="1" style="181" min="3" max="3"/>
    <col width="21.5" customWidth="1" style="181" min="4" max="4"/>
    <col width="58.125" customWidth="1" style="181" min="5" max="5"/>
    <col width="15.375" customWidth="1" style="181" min="6" max="6"/>
    <col width="19.625" customWidth="1" style="181" min="7" max="7"/>
    <col width="12.625" customWidth="1" style="181" min="8" max="8"/>
    <col width="20.875" customWidth="1" style="181" min="9" max="9"/>
    <col width="19.875" customWidth="1" style="181" min="10" max="10"/>
    <col width="12.125" customWidth="1" style="181" min="11" max="11"/>
    <col width="12.375" customWidth="1" style="181" min="12" max="12"/>
  </cols>
  <sheetData>
    <row r="1" ht="40.5" customHeight="1" s="181">
      <c r="B1" s="46" t="inlineStr">
        <is>
          <t>Продукт</t>
        </is>
      </c>
      <c r="C1" s="46" t="inlineStr">
        <is>
          <t>Квартал</t>
        </is>
      </c>
      <c r="D1" s="46" t="inlineStr">
        <is>
          <t>Блок для развития</t>
        </is>
      </c>
      <c r="E1" s="46" t="inlineStr">
        <is>
          <t>Планируемое мероприятие</t>
        </is>
      </c>
      <c r="F1" s="46" t="inlineStr">
        <is>
          <t>Срок исполнения</t>
        </is>
      </c>
      <c r="G1" s="47" t="inlineStr">
        <is>
          <t>Ожидание прироста индекса DD, п.п.</t>
        </is>
      </c>
      <c r="H1" s="46" t="inlineStr">
        <is>
          <t>Статус</t>
        </is>
      </c>
      <c r="I1" s="46" t="inlineStr">
        <is>
          <t>Контактное лицо (ФИО)</t>
        </is>
      </c>
      <c r="J1" s="66" t="inlineStr">
        <is>
          <t>Верификация мероприятий Штабом B2C</t>
        </is>
      </c>
      <c r="K1" s="67" t="inlineStr">
        <is>
          <t>Текущий индекс DD</t>
        </is>
      </c>
      <c r="L1" s="67" t="inlineStr">
        <is>
          <t>Прогноз индекса DD</t>
        </is>
      </c>
      <c r="M1" s="157" t="inlineStr">
        <is>
          <t>Аплифт</t>
        </is>
      </c>
    </row>
    <row r="2" ht="20.25" customHeight="1" s="181">
      <c r="A2" t="str">
        <f>CONCATENATE(B2,"_",D2)</f>
        <v>SberPay NFC_Знание ключевых метрик</v>
      </c>
      <c r="B2" s="261" t="inlineStr">
        <is>
          <t>SberPay NFC</t>
        </is>
      </c>
      <c r="C2" s="260" t="inlineStr">
        <is>
          <t>4Q2026</t>
        </is>
      </c>
      <c r="D2" s="51" t="inlineStr">
        <is>
          <t>Знание ключевых метрик</t>
        </is>
      </c>
      <c r="E2" s="51" t="inlineStr">
        <is>
          <t>1. Проверить воронку TAM/SAM (+3пп)</t>
        </is>
      </c>
      <c r="F2" s="262" t="n">
        <v>46326</v>
      </c>
      <c r="G2" s="70" t="n">
        <v>3</v>
      </c>
      <c r="I2" s="261" t="inlineStr">
        <is>
          <t>Маманков Максим</t>
        </is>
      </c>
      <c r="K2" s="258" t="n">
        <v>0.77</v>
      </c>
      <c r="L2" s="252">
        <f>SUM(K2,G2:G3/100)</f>
        <v>0.8</v>
      </c>
      <c r="M2">
        <f>VLOOKUP(A:A,[2]Свод!$A:$B,2,0)</f>
        <v>3</v>
      </c>
    </row>
    <row r="3" s="181">
      <c r="A3" t="str">
        <f>CONCATENATE(B2,"_",D3)</f>
        <v>SberPay NFC_Цели</v>
      </c>
      <c r="D3" s="51" t="inlineStr">
        <is>
          <t>Цели</t>
        </is>
      </c>
      <c r="E3" s="51" t="inlineStr">
        <is>
          <t>2. Вывести прогноз в Навигатор (+2,3пп)</t>
        </is>
      </c>
      <c r="G3" s="70" t="n">
        <v>2.2999999999999998</v>
      </c>
      <c r="M3">
        <f>VLOOKUP(A:A,[2]Свод!$A:$B,2,0)</f>
        <v>6.8999999999999995</v>
      </c>
    </row>
    <row r="4" s="181">
      <c r="B4" s="57" t="inlineStr">
        <is>
          <t>Переводы по РФ</t>
        </is>
      </c>
      <c r="E4" s="65" t="inlineStr">
        <is>
          <t>мероприятия не запланированы, т.к. Зрелая команда</t>
        </is>
      </c>
      <c r="I4" s="57" t="inlineStr">
        <is>
          <t>Невелич Дмитрий</t>
        </is>
      </c>
      <c r="K4" s="69" t="n">
        <v>0.68</v>
      </c>
      <c r="L4" s="71">
        <f>SUM(K4,G4/100)</f>
        <v>0.68</v>
      </c>
    </row>
    <row r="5" ht="16.5" customFormat="1" customHeight="1" s="70">
      <c r="A5" t="str">
        <f>CONCATENATE(B5,"_",D5)</f>
        <v>Оплата улыбкой_Знание ключевых метрик</v>
      </c>
      <c r="B5" s="255" t="inlineStr">
        <is>
          <t>Оплата улыбкой</t>
        </is>
      </c>
      <c r="C5" s="253" t="inlineStr">
        <is>
          <t>3Q2026</t>
        </is>
      </c>
      <c r="D5" s="61" t="inlineStr">
        <is>
          <t>Знание ключевых метрик</t>
        </is>
      </c>
      <c r="E5" s="61" t="inlineStr">
        <is>
          <t>Проверить воронку TAM/SAM</t>
        </is>
      </c>
      <c r="F5" s="254" t="n">
        <v>46295</v>
      </c>
      <c r="G5" s="70" t="n">
        <v>2.5</v>
      </c>
      <c r="I5" s="255" t="inlineStr">
        <is>
          <t>Терсков Павел</t>
        </is>
      </c>
      <c r="K5" s="258" t="n">
        <v>0.66</v>
      </c>
      <c r="L5" s="252">
        <f>SUM(K5,SUM(G5:G6)/100)</f>
        <v>0.71000000000000008</v>
      </c>
      <c r="M5">
        <f>VLOOKUP(A:A,[2]Свод!$A:$B,2,0)</f>
        <v>2.5</v>
      </c>
    </row>
    <row r="6" s="181">
      <c r="A6" t="str">
        <f>CONCATENATE(B5,"_",D6)</f>
        <v>Оплата улыбкой_Гипотезы и инициативы</v>
      </c>
      <c r="C6" s="52" t="inlineStr">
        <is>
          <t>4Q2026</t>
        </is>
      </c>
      <c r="D6" s="61" t="inlineStr">
        <is>
          <t>Гипотезы и инициативы</t>
        </is>
      </c>
      <c r="E6" s="45" t="inlineStr">
        <is>
          <t>Повысить долю исследований &gt;=40%</t>
        </is>
      </c>
      <c r="F6" s="50" t="n">
        <v>46356</v>
      </c>
      <c r="G6" t="n">
        <v>2.5</v>
      </c>
      <c r="M6">
        <f>VLOOKUP(A:A,[2]Свод!$A:$B,2,0)</f>
        <v>7.6</v>
      </c>
    </row>
    <row r="7" s="181">
      <c r="B7" s="57" t="inlineStr">
        <is>
          <t>Торговый Эквайринг</t>
        </is>
      </c>
      <c r="E7" s="65" t="inlineStr">
        <is>
          <t>мероприятия не запланированы, т.к. Зрелая команда</t>
        </is>
      </c>
      <c r="I7" s="57" t="inlineStr">
        <is>
          <t>Фисенко Владислав</t>
        </is>
      </c>
      <c r="K7" s="69" t="n">
        <v>0.63</v>
      </c>
      <c r="L7" s="71">
        <f>SUM(K7,G7/100)</f>
        <v>0.63</v>
      </c>
    </row>
    <row r="8" ht="60" customFormat="1" customHeight="1" s="70">
      <c r="A8" t="str">
        <f>CONCATENATE(B8,"_",D8)</f>
        <v>Кредитные карты_Знание ключевых метрик</v>
      </c>
      <c r="B8" s="255" t="inlineStr">
        <is>
          <t>Кредитные карты</t>
        </is>
      </c>
      <c r="C8" s="253" t="inlineStr">
        <is>
          <t>3Q2026</t>
        </is>
      </c>
      <c r="D8" s="61" t="inlineStr">
        <is>
          <t>Знание ключевых метрик</t>
        </is>
      </c>
      <c r="E8" s="61" t="inlineStr">
        <is>
          <t>Проверить воронку TAM/SAM, рассказать ВП о дэшах (+3,7пп)
Штабу B2C:
1. Учесть июньские DD (+3,8пп)
2. Скорректировать знание продуктов-спутников (ВП ответил)</t>
        </is>
      </c>
      <c r="F8" s="254" t="n">
        <v>46295</v>
      </c>
      <c r="G8" s="70" t="n">
        <v>3.7</v>
      </c>
      <c r="I8" s="255" t="inlineStr">
        <is>
          <t>Кононов Иван</t>
        </is>
      </c>
      <c r="J8" s="61" t="n"/>
      <c r="K8" s="258" t="n">
        <v>0.6</v>
      </c>
      <c r="L8" s="71">
        <f>SUM(K8,G8/100)</f>
        <v>0.63700000000000001</v>
      </c>
      <c r="M8">
        <f>VLOOKUP(A:A,[2]Свод!$A:$B,2,0)</f>
        <v>3.8000000000000003</v>
      </c>
    </row>
    <row r="9" ht="45" customHeight="1" s="181">
      <c r="A9" t="str">
        <f>CONCATENATE(B9,"_",D9)</f>
        <v>Дебетовая карта_Знание ключевых метрик</v>
      </c>
      <c r="B9" s="255" t="inlineStr">
        <is>
          <t>Дебетовая карта</t>
        </is>
      </c>
      <c r="D9" s="61" t="inlineStr">
        <is>
          <t>Знание ключевых метрик</t>
        </is>
      </c>
      <c r="E9" s="45" t="inlineStr">
        <is>
          <t>Проверить воронку TAM/SAM (+1,7пп)
Штабу B2C:
1. Исключить блок бенчмарков, нерелевантно по словам ВП (+1,9пп)</t>
        </is>
      </c>
      <c r="F9" s="254" t="n">
        <v>46295</v>
      </c>
      <c r="G9" s="70" t="n">
        <v>1.7</v>
      </c>
      <c r="I9" s="57" t="inlineStr">
        <is>
          <t>Яковлев Сергей</t>
        </is>
      </c>
      <c r="J9" s="53" t="n"/>
      <c r="K9" s="258" t="n">
        <v>0.56999999999999995</v>
      </c>
      <c r="L9" s="71">
        <f>SUM(K9,G9/100)</f>
        <v>0.58699999999999997</v>
      </c>
      <c r="M9">
        <f>VLOOKUP(A:A,[2]Свод!$A:$B,2,0)</f>
        <v>1.8</v>
      </c>
    </row>
    <row r="10" s="181">
      <c r="B10" s="62" t="inlineStr">
        <is>
          <t>Сценарии оплаты</t>
        </is>
      </c>
      <c r="C10" s="74" t="n"/>
      <c r="D10" s="74" t="n"/>
      <c r="E10" s="75" t="inlineStr">
        <is>
          <t>Исключить из оценки и расчета</t>
        </is>
      </c>
      <c r="F10" s="74" t="n"/>
      <c r="G10" s="74" t="n"/>
      <c r="H10" s="74" t="n"/>
      <c r="I10" s="62" t="inlineStr">
        <is>
          <t>Балцану Михаил</t>
        </is>
      </c>
      <c r="J10" s="74" t="n"/>
      <c r="K10" s="76" t="n">
        <v>0.51</v>
      </c>
      <c r="L10" s="77" t="n"/>
    </row>
    <row r="11" s="181">
      <c r="B11" s="57" t="inlineStr">
        <is>
          <t>SberPay Ecom</t>
        </is>
      </c>
      <c r="E11" s="65" t="inlineStr">
        <is>
          <t>не нашли опросник</t>
        </is>
      </c>
      <c r="I11" s="57" t="inlineStr">
        <is>
          <t>Ведерникова Юлия, Кравченко Тимофей</t>
        </is>
      </c>
      <c r="K11" s="69" t="n">
        <v>0.44</v>
      </c>
      <c r="L11" s="71">
        <f>SUM(K11,G11/100)</f>
        <v>0.44</v>
      </c>
    </row>
    <row r="12" ht="75" customHeight="1" s="181">
      <c r="A12" t="str">
        <f>CONCATENATE(B12,"_",D12)</f>
        <v>Платежи_Цели</v>
      </c>
      <c r="B12" s="255" t="inlineStr">
        <is>
          <t>Платежи</t>
        </is>
      </c>
      <c r="C12" s="253" t="inlineStr">
        <is>
          <t>4Q2026</t>
        </is>
      </c>
      <c r="D12" s="61" t="inlineStr">
        <is>
          <t>Цели</t>
        </is>
      </c>
      <c r="E12" s="63" t="inlineStr">
        <is>
          <t>Вывести прогноз в Навигатор (+4пп)
Штабу B2C:
1. Объединить Сценарии оплаты и Платежи (+10пп)
2. Засчитать DD по выставленным счетам (+4пп)
3. Засчитать наличие бенчмарков (+4пп)</t>
        </is>
      </c>
      <c r="F12" s="254" t="n">
        <v>46326</v>
      </c>
      <c r="G12" s="70" t="n">
        <v>4</v>
      </c>
      <c r="I12" s="255" t="inlineStr">
        <is>
          <t>Балцану Михаил, Юрковский Роберт</t>
        </is>
      </c>
      <c r="K12" s="258" t="n">
        <v>0.41</v>
      </c>
      <c r="L12" s="71">
        <f>SUM(K12,G12/100)</f>
        <v>0.44999999999999996</v>
      </c>
      <c r="M12">
        <f>VLOOKUP(A:A,[2]Свод!$A:$B,2,0)</f>
        <v>7.6</v>
      </c>
    </row>
    <row r="13" s="181">
      <c r="A13" t="str">
        <f>CONCATENATE(B13,"_",D13)</f>
        <v>SberPay Вжух_</v>
      </c>
      <c r="B13" s="57" t="inlineStr">
        <is>
          <t>SberPay Вжух</t>
        </is>
      </c>
      <c r="E13" s="65" t="inlineStr">
        <is>
          <t>не нашли опросник</t>
        </is>
      </c>
      <c r="I13" s="57" t="inlineStr">
        <is>
          <t>Дрожжина Валентина</t>
        </is>
      </c>
      <c r="K13" s="69" t="n">
        <v>0.4</v>
      </c>
      <c r="L13" s="71">
        <f>SUM(K13,G13/100)</f>
        <v>0.4</v>
      </c>
    </row>
    <row r="14" ht="14.25" customHeight="1" s="181">
      <c r="A14" t="str">
        <f>CONCATENATE(B14,"_",D14)</f>
        <v>Детская карта_</v>
      </c>
      <c r="B14" s="57" t="inlineStr">
        <is>
          <t>Детская карта</t>
        </is>
      </c>
      <c r="C14" s="253" t="inlineStr">
        <is>
          <t>3Q2026</t>
        </is>
      </c>
      <c r="E14" s="154" t="inlineStr">
        <is>
          <t>1. Подготовить DD (+3,9 пп)</t>
        </is>
      </c>
      <c r="F14" s="254" t="n">
        <v>46295</v>
      </c>
      <c r="G14" t="n">
        <v>3.9</v>
      </c>
      <c r="I14" s="57" t="inlineStr">
        <is>
          <t>Фомин Андрей</t>
        </is>
      </c>
      <c r="K14" s="69" t="n">
        <v>0.38</v>
      </c>
      <c r="L14" s="71">
        <f>SUM(K14,G14/100)</f>
        <v>0.41899999999999998</v>
      </c>
      <c r="M14" t="e">
        <f>VLOOKUP(A:A,[2]Свод!$A:$B,2,0)</f>
        <v>#N/A</v>
      </c>
    </row>
    <row r="15" s="181">
      <c r="A15" t="str">
        <f>CONCATENATE(B15,"_",D15)</f>
        <v>СберЧаевые_</v>
      </c>
      <c r="B15" s="57" t="inlineStr">
        <is>
          <t>СберЧаевые</t>
        </is>
      </c>
      <c r="E15" s="65" t="inlineStr">
        <is>
          <t>не нашли опросник</t>
        </is>
      </c>
      <c r="I15" s="57" t="inlineStr">
        <is>
          <t>Губин Юрий</t>
        </is>
      </c>
      <c r="K15" s="69" t="n">
        <v>0.38</v>
      </c>
      <c r="L15" s="71">
        <f>SUM(K15,G15/100)</f>
        <v>0.38</v>
      </c>
    </row>
    <row r="16" ht="65.25" customHeight="1" s="181">
      <c r="A16" t="str">
        <f>CONCATENATE(B16,"_",D16)</f>
        <v>Трансграничные переводы_</v>
      </c>
      <c r="B16" s="255" t="inlineStr">
        <is>
          <t>Трансграничные переводы</t>
        </is>
      </c>
      <c r="C16" s="253" t="inlineStr">
        <is>
          <t>4Q2026</t>
        </is>
      </c>
      <c r="E16" s="63" t="inlineStr">
        <is>
          <t>Подготовить DD (+4,2пп)
Штабу B2C:
1. Исключить блок бенчмарков, нерелевантно по словам ВП (+2,1пп)
2. Цели выведены в Навигатор, дэшборд Переводы за рубеж (+4,2пп)</t>
        </is>
      </c>
      <c r="F16" s="254" t="n">
        <v>46326</v>
      </c>
      <c r="G16" s="70" t="n">
        <v>4.2</v>
      </c>
      <c r="I16" s="255" t="inlineStr">
        <is>
          <t>Сидорова Ксения</t>
        </is>
      </c>
      <c r="K16" s="258" t="n">
        <v>0.38</v>
      </c>
      <c r="L16" s="71">
        <f>SUM(K16,G16/100)</f>
        <v>0.42199999999999999</v>
      </c>
      <c r="M16" t="e">
        <f>VLOOKUP(A:A,[2]Свод!$A:$B,2,0)</f>
        <v>#N/A</v>
      </c>
    </row>
    <row r="17" s="181">
      <c r="B17" s="62" t="inlineStr">
        <is>
          <t>Переводы подарков</t>
        </is>
      </c>
      <c r="C17" s="74" t="n"/>
      <c r="D17" s="74" t="n"/>
      <c r="E17" s="75" t="inlineStr">
        <is>
          <t>Исключить из оценки и расчета</t>
        </is>
      </c>
      <c r="F17" s="74" t="n"/>
      <c r="G17" s="74" t="n"/>
      <c r="H17" s="74" t="n"/>
      <c r="I17" s="62" t="inlineStr">
        <is>
          <t>Невелич Дмитрий</t>
        </is>
      </c>
      <c r="J17" s="74" t="n"/>
      <c r="K17" s="76" t="n">
        <v>0.37</v>
      </c>
      <c r="L17" s="77" t="n"/>
    </row>
    <row r="18" s="181">
      <c r="B18" s="57" t="inlineStr">
        <is>
          <t>Интернет-Эквайринг</t>
        </is>
      </c>
      <c r="E18" s="65" t="inlineStr">
        <is>
          <t>не нашли опросник</t>
        </is>
      </c>
      <c r="I18" s="57" t="inlineStr">
        <is>
          <t>Кравченко Тимофей</t>
        </is>
      </c>
      <c r="K18" s="69" t="n">
        <v>0.37</v>
      </c>
      <c r="L18" s="71">
        <f>SUM(K18,G18/100)</f>
        <v>0.37</v>
      </c>
    </row>
    <row r="19" s="181">
      <c r="B19" s="62" t="inlineStr">
        <is>
          <t>Как зарплатный</t>
        </is>
      </c>
      <c r="C19" s="74" t="n"/>
      <c r="D19" s="74" t="n"/>
      <c r="E19" s="75" t="inlineStr">
        <is>
          <t>Исключить из оценки и расчета</t>
        </is>
      </c>
      <c r="F19" s="74" t="n"/>
      <c r="G19" s="74" t="n"/>
      <c r="H19" s="74" t="n"/>
      <c r="I19" s="62" t="inlineStr">
        <is>
          <t>Киселева Мария, Иванов Михаил</t>
        </is>
      </c>
      <c r="J19" s="74" t="n"/>
      <c r="K19" s="76" t="n">
        <v>0.37</v>
      </c>
      <c r="L19" s="77" t="n"/>
    </row>
    <row r="20" s="181">
      <c r="B20" s="62" t="inlineStr">
        <is>
          <t>Школьные сервисы</t>
        </is>
      </c>
      <c r="C20" s="74" t="n"/>
      <c r="D20" s="74" t="n"/>
      <c r="E20" s="75" t="inlineStr">
        <is>
          <t>Исключить из оценки и расчета</t>
        </is>
      </c>
      <c r="F20" s="74" t="n"/>
      <c r="G20" s="74" t="n"/>
      <c r="H20" s="74" t="n"/>
      <c r="I20" s="62" t="inlineStr">
        <is>
          <t>Торукало Анна</t>
        </is>
      </c>
      <c r="J20" s="74" t="n"/>
      <c r="K20" s="76" t="n">
        <v>0.36</v>
      </c>
      <c r="L20" s="77" t="n"/>
    </row>
    <row r="21" s="181">
      <c r="A21" t="str">
        <f>CONCATENATE(B21,"_",D21)</f>
        <v>Трансграничный эквайринг_</v>
      </c>
      <c r="B21" s="255" t="inlineStr">
        <is>
          <t>Трансграничный эквайринг</t>
        </is>
      </c>
      <c r="C21" s="253" t="inlineStr">
        <is>
          <t>4Q2026</t>
        </is>
      </c>
      <c r="E21" s="156" t="inlineStr">
        <is>
          <t>Подготовить DD (+4,8пп)</t>
        </is>
      </c>
      <c r="F21" s="254" t="n">
        <v>46356</v>
      </c>
      <c r="G21" s="256">
        <f>4.8+4.9+0.5</f>
        <v>10.199999999999999</v>
      </c>
      <c r="I21" s="255" t="inlineStr">
        <is>
          <t>Забегаев Михаил</t>
        </is>
      </c>
      <c r="K21" s="258" t="n">
        <v>0.34</v>
      </c>
      <c r="L21" s="252">
        <f>SUM(K21,G21/100)</f>
        <v>0.442</v>
      </c>
      <c r="M21" t="e">
        <f>VLOOKUP(A:A,[2]Свод!$A:$B,2,0)</f>
        <v>#N/A</v>
      </c>
    </row>
    <row r="22" s="181">
      <c r="A22" t="str">
        <f>CONCATENATE(B21,"_",D22)</f>
        <v>Трансграничный эквайринг_Цели</v>
      </c>
      <c r="D22" s="61" t="inlineStr">
        <is>
          <t>Цели</t>
        </is>
      </c>
      <c r="E22" s="155" t="inlineStr">
        <is>
          <t>Вывести дэшборд с основными показателями (+4,9пп)</t>
        </is>
      </c>
      <c r="M22">
        <f>VLOOKUP(A:A,[2]Свод!$A:$B,2,0)</f>
        <v>14.399999999999999</v>
      </c>
    </row>
    <row r="23" ht="16.5" customHeight="1" s="181">
      <c r="A23" t="str">
        <f>CONCATENATE(B21,"_",D23)</f>
        <v>Трансграничный эквайринг_Знание ключевых метрик</v>
      </c>
      <c r="D23" s="61" t="inlineStr">
        <is>
          <t>Знание ключевых метрик</t>
        </is>
      </c>
      <c r="E23" s="63" t="inlineStr">
        <is>
          <t xml:space="preserve"> Рассказать про продукты-спутники (+0,5пп)</t>
        </is>
      </c>
      <c r="M23">
        <f>VLOOKUP(A:A,[2]Свод!$A:$B,2,0)</f>
        <v>0.5</v>
      </c>
    </row>
    <row r="24" s="181">
      <c r="B24" s="57" t="inlineStr">
        <is>
          <t>Пенсионный продукт</t>
        </is>
      </c>
      <c r="E24" s="65" t="inlineStr">
        <is>
          <t>не нашли опросник</t>
        </is>
      </c>
      <c r="I24" s="57" t="inlineStr">
        <is>
          <t>Мерзликин Иван</t>
        </is>
      </c>
      <c r="K24" s="69" t="n">
        <v>0.33</v>
      </c>
      <c r="L24" s="71">
        <f>SUM(K24,G24/100)</f>
        <v>0.33</v>
      </c>
    </row>
    <row r="25" s="181">
      <c r="B25" s="57" t="inlineStr">
        <is>
          <t>Зарплатный продукт</t>
        </is>
      </c>
      <c r="E25" s="65" t="inlineStr">
        <is>
          <t>не нашли опросник</t>
        </is>
      </c>
      <c r="I25" s="57" t="inlineStr">
        <is>
          <t>Шматов Никита</t>
        </is>
      </c>
      <c r="K25" s="69" t="n">
        <v>0.3</v>
      </c>
      <c r="L25" s="71">
        <f>SUM(K25,G25/100)</f>
        <v>0.3</v>
      </c>
    </row>
    <row r="26" s="181">
      <c r="B26" s="62" t="inlineStr">
        <is>
          <t>Военная пенсия</t>
        </is>
      </c>
      <c r="C26" s="74" t="n"/>
      <c r="D26" s="74" t="n"/>
      <c r="E26" s="75" t="inlineStr">
        <is>
          <t>Исключить из оценки и расчета</t>
        </is>
      </c>
      <c r="F26" s="74" t="n"/>
      <c r="G26" s="74" t="n"/>
      <c r="H26" s="74" t="n"/>
      <c r="I26" s="62" t="inlineStr">
        <is>
          <t>Мерзликин Иван</t>
        </is>
      </c>
      <c r="J26" s="74" t="n"/>
      <c r="K26" s="76" t="n">
        <v>0.28000000000000003</v>
      </c>
      <c r="L26" s="77" t="n"/>
    </row>
    <row r="27" ht="16.5" customHeight="1" s="181" thickBot="1">
      <c r="B27" s="72" t="inlineStr">
        <is>
          <t>Транспортный эквайринг</t>
        </is>
      </c>
      <c r="C27" s="78" t="n"/>
      <c r="D27" s="78" t="n"/>
      <c r="E27" s="79" t="inlineStr">
        <is>
          <t>Исключить из оценки и расчета</t>
        </is>
      </c>
      <c r="F27" s="78" t="n"/>
      <c r="G27" s="78" t="n"/>
      <c r="H27" s="78" t="n"/>
      <c r="I27" s="72" t="inlineStr">
        <is>
          <t>Паренков Алексей</t>
        </is>
      </c>
      <c r="J27" s="78" t="n"/>
      <c r="K27" s="80" t="n">
        <v>0.24</v>
      </c>
      <c r="L27" s="81" t="n"/>
    </row>
    <row r="28">
      <c r="K28" s="73" t="n">
        <v>0.44</v>
      </c>
    </row>
  </sheetData>
  <mergeCells count="17">
    <mergeCell ref="C21:C23"/>
    <mergeCell ref="G21:G23"/>
    <mergeCell ref="F21:F23"/>
    <mergeCell ref="L21:L23"/>
    <mergeCell ref="K21:K23"/>
    <mergeCell ref="B5:B6"/>
    <mergeCell ref="L5:L6"/>
    <mergeCell ref="B21:B23"/>
    <mergeCell ref="K2:K3"/>
    <mergeCell ref="I21:I23"/>
    <mergeCell ref="I5:I6"/>
    <mergeCell ref="B2:B3"/>
    <mergeCell ref="C2:C3"/>
    <mergeCell ref="F2:F3"/>
    <mergeCell ref="K5:K6"/>
    <mergeCell ref="I2:I3"/>
    <mergeCell ref="L2:L3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="89" zoomScaleNormal="89" workbookViewId="0">
      <pane ySplit="1" topLeftCell="A2" activePane="bottomLeft" state="frozen"/>
      <selection pane="bottomLeft" activeCell="D11" sqref="D11"/>
    </sheetView>
  </sheetViews>
  <sheetFormatPr baseColWidth="8" defaultRowHeight="15.75"/>
  <cols>
    <col width="6.125" customWidth="1" style="181" min="1" max="1"/>
    <col width="10.5" customWidth="1" style="181" min="2" max="2"/>
    <col width="8.25" customWidth="1" style="181" min="3" max="3"/>
    <col width="31.875" customWidth="1" style="181" min="4" max="4"/>
    <col width="39.5" customWidth="1" style="181" min="5" max="5"/>
    <col width="18.125" customWidth="1" style="181" min="6" max="6"/>
    <col width="19.625" customWidth="1" style="181" min="7" max="7"/>
    <col width="13.625" customWidth="1" style="181" min="8" max="8"/>
    <col width="17.875" customWidth="1" style="181" min="9" max="9"/>
    <col width="18.875" customWidth="1" style="181" min="10" max="10"/>
    <col width="11.5" customWidth="1" style="181" min="11" max="11"/>
    <col width="12.875" customWidth="1" style="181" min="12" max="12"/>
    <col width="11" customWidth="1" style="181" min="13" max="13"/>
  </cols>
  <sheetData>
    <row r="1" ht="41.25" customHeight="1" s="181" thickBot="1">
      <c r="B1" s="46" t="inlineStr">
        <is>
          <t>Продукт</t>
        </is>
      </c>
      <c r="C1" s="46" t="inlineStr">
        <is>
          <t>Квартал</t>
        </is>
      </c>
      <c r="D1" s="46" t="inlineStr">
        <is>
          <t>Блок для развития</t>
        </is>
      </c>
      <c r="E1" s="46" t="inlineStr">
        <is>
          <t>Планируемое мероприятие</t>
        </is>
      </c>
      <c r="F1" s="46" t="inlineStr">
        <is>
          <t>Срок исполнения</t>
        </is>
      </c>
      <c r="G1" s="47" t="inlineStr">
        <is>
          <t>Ожидание прироста индекса DD, п.п.</t>
        </is>
      </c>
      <c r="H1" s="46" t="inlineStr">
        <is>
          <t>Статус</t>
        </is>
      </c>
      <c r="I1" s="46" t="inlineStr">
        <is>
          <t>Контактное лицо (ФИО)</t>
        </is>
      </c>
      <c r="J1" s="9" t="inlineStr">
        <is>
          <t>Верификация мероприятий Штабом B2C</t>
        </is>
      </c>
      <c r="K1" s="67" t="inlineStr">
        <is>
          <t>Текущий индекс DD</t>
        </is>
      </c>
      <c r="L1" s="67" t="inlineStr">
        <is>
          <t>Прогноз индекса DD</t>
        </is>
      </c>
      <c r="M1" s="157" t="inlineStr">
        <is>
          <t>Аплифт</t>
        </is>
      </c>
    </row>
    <row r="2" ht="67.5" customHeight="1" s="181">
      <c r="A2" t="str">
        <f>CONCATENATE(B2,"_",D2)</f>
        <v>Вклады+НС_Воронка привлечения</v>
      </c>
      <c r="B2" s="349" t="inlineStr">
        <is>
          <t>Вклады+НС</t>
        </is>
      </c>
      <c r="C2" s="299" t="inlineStr">
        <is>
          <t>4Q</t>
        </is>
      </c>
      <c r="D2" s="299" t="inlineStr">
        <is>
          <t>Воронка привлечения</t>
        </is>
      </c>
      <c r="E2" s="299" t="inlineStr">
        <is>
          <t>пилотирование расширения воронки по черновикам</t>
        </is>
      </c>
      <c r="F2" s="301" t="inlineStr">
        <is>
          <t>сентябрь - пилот
октябрь - корректировка триггера и рост метрики</t>
        </is>
      </c>
      <c r="G2" s="302" t="n">
        <v>3.8</v>
      </c>
      <c r="H2" s="299" t="inlineStr">
        <is>
          <t>запланированы пилоты</t>
        </is>
      </c>
      <c r="I2" s="299" t="inlineStr">
        <is>
          <t>Колесников Денис Олегович</t>
        </is>
      </c>
      <c r="J2" s="313" t="n"/>
      <c r="K2" s="350" t="n">
        <v>0.37</v>
      </c>
      <c r="L2" s="351">
        <f>K2+SUM(G2:G4)/100</f>
        <v>0.46499999999999997</v>
      </c>
      <c r="M2" s="93">
        <f>VLOOKUP(A:A,[2]Свод!$A:$B,2,0)</f>
        <v>10.5</v>
      </c>
    </row>
    <row r="3" ht="27" customHeight="1" s="181">
      <c r="A3" t="str">
        <f>CONCATENATE(B2,"_",D3)</f>
        <v>Вклады+НС_Воронка привлечения</v>
      </c>
      <c r="B3" s="352" t="n"/>
      <c r="C3" s="1" t="inlineStr">
        <is>
          <t>3Q</t>
        </is>
      </c>
      <c r="D3" s="1" t="inlineStr">
        <is>
          <t>Воронка привлечения</t>
        </is>
      </c>
      <c r="E3" s="1" t="inlineStr">
        <is>
          <t xml:space="preserve">запуск успешных пилотов через SS </t>
        </is>
      </c>
      <c r="F3" s="4" t="inlineStr">
        <is>
          <t>3Q</t>
        </is>
      </c>
      <c r="G3" s="6" t="n">
        <v>1.9</v>
      </c>
      <c r="H3" s="1" t="inlineStr">
        <is>
          <t>запланированы пилоты</t>
        </is>
      </c>
      <c r="I3" s="1" t="inlineStr">
        <is>
          <t>Колесников Денис Олегович</t>
        </is>
      </c>
      <c r="J3" s="133" t="n"/>
      <c r="K3" s="353" t="n"/>
      <c r="L3" s="354" t="n"/>
      <c r="M3" s="94">
        <f>VLOOKUP(A:A,[2]Свод!$A:$B,2,0)</f>
        <v>10.5</v>
      </c>
    </row>
    <row r="4" ht="27.75" customHeight="1" s="181" thickBot="1">
      <c r="A4" t="str">
        <f>CONCATENATE(B2,"_",D4)</f>
        <v>Вклады+НС_CX Score</v>
      </c>
      <c r="B4" s="355" t="n"/>
      <c r="C4" s="307" t="inlineStr">
        <is>
          <t>4Q</t>
        </is>
      </c>
      <c r="D4" s="307" t="inlineStr">
        <is>
          <t>CX Score</t>
        </is>
      </c>
      <c r="E4" s="307" t="inlineStr">
        <is>
          <t>доработка и уточнение методологии расчетов</t>
        </is>
      </c>
      <c r="F4" s="309" t="inlineStr">
        <is>
          <t>4Q</t>
        </is>
      </c>
      <c r="G4" s="310" t="n">
        <v>3.8</v>
      </c>
      <c r="H4" s="307" t="inlineStr">
        <is>
          <t>В работе</t>
        </is>
      </c>
      <c r="I4" s="307" t="inlineStr">
        <is>
          <t>Романенко Анна Вадимовна</t>
        </is>
      </c>
      <c r="J4" s="314" t="n"/>
      <c r="K4" s="356" t="n"/>
      <c r="L4" s="357" t="n"/>
      <c r="M4" s="96" t="e">
        <f>VLOOKUP(A:A,[2]Свод!$A:$B,2,0)</f>
        <v>#N/A</v>
      </c>
    </row>
    <row r="5" ht="40.5" customHeight="1" s="181">
      <c r="A5" t="str">
        <f>CONCATENATE(B5,"_",D5)</f>
        <v>Потребительский кредит_Знание ключевых метрик</v>
      </c>
      <c r="B5" s="358" t="inlineStr">
        <is>
          <t>Потребительский кредит</t>
        </is>
      </c>
      <c r="C5" s="299" t="inlineStr">
        <is>
          <t>3Q2026</t>
        </is>
      </c>
      <c r="D5" s="299" t="inlineStr">
        <is>
          <t>Знание ключевых метрик</t>
        </is>
      </c>
      <c r="E5" s="299" t="inlineStr">
        <is>
          <t>Гемба для команды по отчетности в Навигаторе (совместно со штабом: Герасимова Ольга)</t>
        </is>
      </c>
      <c r="F5" s="301" t="n">
        <v>46295</v>
      </c>
      <c r="G5" s="302" t="n">
        <v>1</v>
      </c>
      <c r="H5" s="299" t="inlineStr">
        <is>
          <t>В работе</t>
        </is>
      </c>
      <c r="I5" s="299" t="inlineStr">
        <is>
          <t>Ильина Ольга</t>
        </is>
      </c>
      <c r="J5" s="313" t="n"/>
      <c r="K5" s="350" t="n">
        <v>0.77</v>
      </c>
      <c r="L5" s="351">
        <f>K5+SUM(G5:G7)/100</f>
        <v>0.82400000000000007</v>
      </c>
      <c r="M5" s="93">
        <f>VLOOKUP(A:A,[2]Свод!$A:$B,2,0)</f>
        <v>3.4000000000000004</v>
      </c>
    </row>
    <row r="6" ht="27" customHeight="1" s="181">
      <c r="A6" t="str">
        <f>CONCATENATE(B5,"_",D6)</f>
        <v>Потребительский кредит_Цели</v>
      </c>
      <c r="B6" s="352" t="n"/>
      <c r="C6" s="1" t="inlineStr">
        <is>
          <t>3Q2026</t>
        </is>
      </c>
      <c r="D6" s="1" t="inlineStr">
        <is>
          <t>Цели</t>
        </is>
      </c>
      <c r="E6" s="1" t="inlineStr">
        <is>
          <t xml:space="preserve">Вывод планов и прогнозов в мастер-дэш по КПЭ ЛТ и Картине недели </t>
        </is>
      </c>
      <c r="F6" s="4" t="n">
        <v>46295</v>
      </c>
      <c r="G6" s="6" t="n">
        <v>2</v>
      </c>
      <c r="H6" s="1" t="inlineStr">
        <is>
          <t>В работе</t>
        </is>
      </c>
      <c r="I6" s="1" t="inlineStr">
        <is>
          <t>Таранов Александр</t>
        </is>
      </c>
      <c r="J6" s="133" t="n"/>
      <c r="K6" s="353" t="n"/>
      <c r="L6" s="354" t="n"/>
      <c r="M6" s="94">
        <f>VLOOKUP(A:A,[2]Свод!$A:$B,2,0)</f>
        <v>6</v>
      </c>
    </row>
    <row r="7" ht="27.75" customHeight="1" s="181" thickBot="1">
      <c r="A7" t="str">
        <f>CONCATENATE(B5,"_",D7)</f>
        <v>Потребительский кредит_Знание ключевых метрик</v>
      </c>
      <c r="B7" s="355" t="n"/>
      <c r="C7" s="307" t="inlineStr">
        <is>
          <t>4Q2026</t>
        </is>
      </c>
      <c r="D7" s="307" t="inlineStr">
        <is>
          <t>Знание ключевых метрик</t>
        </is>
      </c>
      <c r="E7" s="307" t="inlineStr">
        <is>
          <t>Гемба для команды по ключевым метрикам, в т.ч. объем целевого рынка России и Сбера</t>
        </is>
      </c>
      <c r="F7" s="309" t="n">
        <v>46326</v>
      </c>
      <c r="G7" s="310" t="n">
        <v>2.4</v>
      </c>
      <c r="H7" s="307" t="inlineStr">
        <is>
          <t>В работе</t>
        </is>
      </c>
      <c r="I7" s="307" t="inlineStr">
        <is>
          <t>Ильина Ольга</t>
        </is>
      </c>
      <c r="J7" s="314" t="n"/>
      <c r="K7" s="356" t="n"/>
      <c r="L7" s="357" t="n"/>
      <c r="M7" s="96">
        <f>VLOOKUP(A:A,[2]Свод!$A:$B,2,0)</f>
        <v>3.4000000000000004</v>
      </c>
    </row>
    <row r="8" ht="27" customHeight="1" s="181">
      <c r="A8" t="str">
        <f>CONCATENATE(B8,"_",D8)</f>
        <v>Образовательный кредит_Воронка оттока</v>
      </c>
      <c r="B8" s="358" t="inlineStr">
        <is>
          <t>Образовательный кредит</t>
        </is>
      </c>
      <c r="C8" s="299" t="inlineStr">
        <is>
          <t>Q3</t>
        </is>
      </c>
      <c r="D8" s="325" t="inlineStr">
        <is>
          <t>Воронка оттока</t>
        </is>
      </c>
      <c r="E8" s="299" t="inlineStr">
        <is>
          <t>Проведение комплексного анализа воронки оттока</t>
        </is>
      </c>
      <c r="F8" s="301" t="inlineStr">
        <is>
          <t>до 30.08</t>
        </is>
      </c>
      <c r="G8" s="302" t="n">
        <v>2.2000000000000002</v>
      </c>
      <c r="H8" s="299" t="inlineStr">
        <is>
          <t>Готово</t>
        </is>
      </c>
      <c r="I8" s="299" t="inlineStr">
        <is>
          <t>Семенов Тимофей Александрович</t>
        </is>
      </c>
      <c r="J8" s="92" t="n"/>
      <c r="K8" s="350" t="n">
        <v>0.57999999999999996</v>
      </c>
      <c r="L8" s="351">
        <f>K8+SUM(G8:G10)/100</f>
        <v>0.68599999999999994</v>
      </c>
      <c r="M8" s="93">
        <f>VLOOKUP(A:A,[2]Свод!$A:$B,2,0)</f>
        <v>2.2000000000000002</v>
      </c>
    </row>
    <row r="9" ht="27" customHeight="1" s="181">
      <c r="A9" t="str">
        <f>CONCATENATE(B9,"_",D9)</f>
        <v>Образовательный кредит_Гипотезы и инициативы</v>
      </c>
      <c r="B9" s="352" t="n"/>
      <c r="C9" s="1" t="inlineStr">
        <is>
          <t>Q4</t>
        </is>
      </c>
      <c r="D9" s="220" t="inlineStr">
        <is>
          <t>Гипотезы и инициативы</t>
        </is>
      </c>
      <c r="E9" s="1" t="inlineStr">
        <is>
          <t>Сформировать перечень инициатив</t>
        </is>
      </c>
      <c r="F9" s="4" t="inlineStr">
        <is>
          <t>до 31.12</t>
        </is>
      </c>
      <c r="G9" s="6" t="n">
        <v>4.4000000000000004</v>
      </c>
      <c r="H9" s="1" t="inlineStr">
        <is>
          <t>Запланировано</t>
        </is>
      </c>
      <c r="I9" s="1" t="inlineStr">
        <is>
          <t>Семенов Тимофей Александрович</t>
        </is>
      </c>
      <c r="K9" s="353" t="n"/>
      <c r="L9" s="354" t="n"/>
      <c r="M9" s="94">
        <f>VLOOKUP(A:A,[2]Свод!$A:$B,2,0)</f>
        <v>11</v>
      </c>
    </row>
    <row r="10" ht="27.75" customHeight="1" s="181" thickBot="1">
      <c r="A10" t="str">
        <f>CONCATENATE(B10,"_",D10)</f>
        <v>Образовательный кредит_Цели</v>
      </c>
      <c r="B10" s="355" t="n"/>
      <c r="C10" s="307" t="inlineStr">
        <is>
          <t>Q4</t>
        </is>
      </c>
      <c r="D10" s="326" t="inlineStr">
        <is>
          <t>Цели</t>
        </is>
      </c>
      <c r="E10" s="307" t="inlineStr">
        <is>
          <t>Прогноз по целям</t>
        </is>
      </c>
      <c r="F10" s="309" t="inlineStr">
        <is>
          <t>до 31.12</t>
        </is>
      </c>
      <c r="G10" s="310" t="n">
        <v>4</v>
      </c>
      <c r="H10" s="307" t="inlineStr">
        <is>
          <t>Запланировано</t>
        </is>
      </c>
      <c r="I10" s="307" t="inlineStr">
        <is>
          <t>Семенов Тимофей Александрович</t>
        </is>
      </c>
      <c r="J10" s="95" t="n"/>
      <c r="K10" s="356" t="n"/>
      <c r="L10" s="357" t="n"/>
      <c r="M10" s="96">
        <f>VLOOKUP(A:A,[2]Свод!$A:$B,2,0)</f>
        <v>8.8000000000000007</v>
      </c>
    </row>
    <row r="11" ht="81.75" customHeight="1" s="181" thickBot="1">
      <c r="A11" s="70" t="str">
        <f>CONCATENATE(B11,"_",D11)</f>
        <v>Кредитный потенциал_Алерты</v>
      </c>
      <c r="B11" s="358" t="inlineStr">
        <is>
          <t>Кредитный потенциал</t>
        </is>
      </c>
      <c r="C11" s="97" t="inlineStr">
        <is>
          <t>Q4</t>
        </is>
      </c>
      <c r="D11" s="97" t="inlineStr">
        <is>
          <t>Алерты</t>
        </is>
      </c>
      <c r="E11" s="318" t="inlineStr">
        <is>
          <t>Оповещения по бизнес-метрикам: подключение светофора (совместно со штабом: Герасимова Ольга)
Оповещения по системным сбоям: Гемба для команды по отчетности в Навигаторе (совместно со штабом: Герасимова Ольга)</t>
        </is>
      </c>
      <c r="F11" s="319" t="n">
        <v>46326</v>
      </c>
      <c r="G11" s="302" t="n">
        <v>5</v>
      </c>
      <c r="H11" s="299" t="inlineStr">
        <is>
          <t>в работе</t>
        </is>
      </c>
      <c r="I11" s="299" t="inlineStr">
        <is>
          <t>Малышева Анастасия, Тупиков Павел</t>
        </is>
      </c>
      <c r="J11" s="92" t="n"/>
      <c r="K11" s="350" t="n">
        <v>0.66</v>
      </c>
      <c r="L11" s="351">
        <f>K11+SUM(G11:G14)/100</f>
        <v>0.83499999999999996</v>
      </c>
      <c r="M11" s="93">
        <f>VLOOKUP(A:A,[2]Свод!$A:$B,2,0)</f>
        <v>5</v>
      </c>
    </row>
    <row r="12" ht="69" customHeight="1" s="181" thickBot="1">
      <c r="A12" s="70" t="str">
        <f>CONCATENATE(B11,"_",D12)</f>
        <v>Кредитный потенциал_Цели</v>
      </c>
      <c r="B12" s="352" t="n"/>
      <c r="C12" s="8" t="inlineStr">
        <is>
          <t>Q4</t>
        </is>
      </c>
      <c r="D12" s="200" t="inlineStr">
        <is>
          <t>Цели</t>
        </is>
      </c>
      <c r="E12" s="199" t="inlineStr">
        <is>
          <t>Факторный анализ - драйверы 1-2 ур.: Гемба для команды по отчетности в Навигаторе (совместно со штабом: Герасимова Ольга)
Прогноз по целям: Вывод прогнозов в мастер-дэш по КПЭ ЛТ</t>
        </is>
      </c>
      <c r="F12" s="134" t="n">
        <v>46326</v>
      </c>
      <c r="G12" s="6" t="n">
        <v>5</v>
      </c>
      <c r="H12" s="1" t="inlineStr">
        <is>
          <t>в работе</t>
        </is>
      </c>
      <c r="I12" s="1" t="inlineStr">
        <is>
          <t>Родина Марина, Кистерский Сергей</t>
        </is>
      </c>
      <c r="K12" s="353" t="n"/>
      <c r="L12" s="354" t="n"/>
      <c r="M12" s="94">
        <f>VLOOKUP(A:A,[2]Свод!$A:$B,2,0)</f>
        <v>5</v>
      </c>
    </row>
    <row r="13" ht="42.75" customHeight="1" s="181" thickBot="1">
      <c r="A13" s="70" t="str">
        <f>CONCATENATE(B11,"_",D13)</f>
        <v>Кредитный потенциал_Воронка привлечения</v>
      </c>
      <c r="B13" s="352" t="n"/>
      <c r="C13" s="1" t="inlineStr">
        <is>
          <t>Q4</t>
        </is>
      </c>
      <c r="D13" s="1" t="inlineStr">
        <is>
          <t>Воронка привлечения</t>
        </is>
      </c>
      <c r="E13" s="199" t="inlineStr">
        <is>
          <t>Проведение комплексного анализа воронки привлечения: Гемба для команды по анализу (совместно со штабом: Герасимова Ольга)</t>
        </is>
      </c>
      <c r="F13" s="134" t="n">
        <v>46326</v>
      </c>
      <c r="G13" s="6" t="n">
        <v>2.5</v>
      </c>
      <c r="H13" s="1" t="inlineStr">
        <is>
          <t>в работе</t>
        </is>
      </c>
      <c r="I13" s="1" t="inlineStr">
        <is>
          <t>Кистерский Сергей</t>
        </is>
      </c>
      <c r="K13" s="353" t="n"/>
      <c r="L13" s="354" t="n"/>
      <c r="M13" s="94">
        <f>VLOOKUP(A:A,[2]Свод!$A:$B,2,0)</f>
        <v>6.3</v>
      </c>
    </row>
    <row r="14" ht="27.75" customHeight="1" s="181" thickBot="1">
      <c r="A14" s="70" t="str">
        <f>CONCATENATE(B11,"_",D14)</f>
        <v>Кредитный потенциал_Механики</v>
      </c>
      <c r="B14" s="355" t="n"/>
      <c r="C14" s="307" t="inlineStr">
        <is>
          <t>Q4</t>
        </is>
      </c>
      <c r="D14" s="307" t="inlineStr">
        <is>
          <t>Механики</t>
        </is>
      </c>
      <c r="E14" s="320" t="inlineStr">
        <is>
          <t>Гемба для команды по механикам (совместно со штабом: Герасимова Ольга)</t>
        </is>
      </c>
      <c r="F14" s="309" t="n">
        <v>46326</v>
      </c>
      <c r="G14" s="310" t="n">
        <v>5</v>
      </c>
      <c r="H14" s="307" t="inlineStr">
        <is>
          <t>в работе</t>
        </is>
      </c>
      <c r="I14" s="307" t="inlineStr">
        <is>
          <t>Родина Марина</t>
        </is>
      </c>
      <c r="J14" s="95" t="n"/>
      <c r="K14" s="356" t="n"/>
      <c r="L14" s="357" t="n"/>
      <c r="M14" s="96">
        <f>VLOOKUP(A:A,[2]Свод!$A:$B,2,0)</f>
        <v>5</v>
      </c>
    </row>
    <row r="15" ht="68.25" customHeight="1" s="181" thickBot="1">
      <c r="A15" s="70" t="str">
        <f>CONCATENATE($B$15,"_",D15)</f>
        <v>Объект Авто_Воронка привлечения</v>
      </c>
      <c r="B15" s="358" t="inlineStr">
        <is>
          <t>Объект Авто</t>
        </is>
      </c>
      <c r="C15" s="359" t="inlineStr">
        <is>
          <t>3-4 кв</t>
        </is>
      </c>
      <c r="D15" s="299" t="inlineStr">
        <is>
          <t>Воронка привлечения</t>
        </is>
      </c>
      <c r="E15" s="318" t="inlineStr">
        <is>
          <t>Организован системный кампейнинг для привлечения и удержания пользователей Объекта Авто - 
Налажена регулярная работа через селф-сервис Юнита + Разовые охватные кампании</t>
        </is>
      </c>
      <c r="F15" s="319" t="inlineStr">
        <is>
          <t>с 01.06.2026 организован</t>
        </is>
      </c>
      <c r="G15" s="302" t="n">
        <v>6.5</v>
      </c>
      <c r="H15" s="299" t="inlineStr">
        <is>
          <t>в работе</t>
        </is>
      </c>
      <c r="I15" s="299" t="inlineStr">
        <is>
          <t>Кравченко Анна</t>
        </is>
      </c>
      <c r="J15" s="92" t="n"/>
      <c r="K15" s="360" t="n">
        <v>0.66</v>
      </c>
      <c r="L15" s="360">
        <f>K15+SUM(G15:G18)/100</f>
        <v>0.83400000000000007</v>
      </c>
      <c r="M15" s="93">
        <f>VLOOKUP(A:A,[2]Свод!$A:$B,2,0)</f>
        <v>13.2</v>
      </c>
    </row>
    <row r="16" ht="81.75" customHeight="1" s="181" thickBot="1">
      <c r="A16" s="70" t="str">
        <f>CONCATENATE($B$15,"_",D16)</f>
        <v>Объект Авто_Цели</v>
      </c>
      <c r="B16" s="352" t="n"/>
      <c r="C16" s="330" t="n"/>
      <c r="D16" s="1" t="inlineStr">
        <is>
          <t>Цели</t>
        </is>
      </c>
      <c r="E16" s="199" t="inlineStr">
        <is>
          <t>Добавлены цели CSI ОМ Авто, MAU - 
Цели Н.Русовой выведены на поверхность Мастер-Дэша СВ
Вывод прогноза по целям в Навигатор - 
Делаем постановку задачи для добавление метрик в Навигатор</t>
        </is>
      </c>
      <c r="F16" s="134" t="inlineStr">
        <is>
          <t>3-4 кв</t>
        </is>
      </c>
      <c r="G16" s="6" t="n">
        <v>4.4000000000000004</v>
      </c>
      <c r="H16" s="1" t="inlineStr">
        <is>
          <t>в работе</t>
        </is>
      </c>
      <c r="I16" s="1" t="inlineStr">
        <is>
          <t>Мищенко и Кравченко</t>
        </is>
      </c>
      <c r="M16" s="94">
        <f>VLOOKUP(A:A,[2]Свод!$A:$B,2,0)</f>
        <v>8.6999999999999993</v>
      </c>
    </row>
    <row r="17" ht="41.25" customHeight="1" s="181" thickBot="1">
      <c r="A17" s="70" t="str">
        <f>CONCATENATE($B$15,"_",D17)</f>
        <v>Объект Авто_Гипотезы и инициативы</v>
      </c>
      <c r="B17" s="352" t="n"/>
      <c r="C17" s="330" t="n"/>
      <c r="D17" s="1" t="inlineStr">
        <is>
          <t>Гипотезы и инициативы</t>
        </is>
      </c>
      <c r="E17" s="199" t="inlineStr">
        <is>
          <t>Сформировать перечень инициатив на 2027 год - Проводим оценку предложенных инициатив для включения в бэклог</t>
        </is>
      </c>
      <c r="F17" s="134" t="inlineStr">
        <is>
          <t>3-4 кв</t>
        </is>
      </c>
      <c r="G17" s="6" t="n">
        <v>4.3</v>
      </c>
      <c r="H17" s="1" t="inlineStr">
        <is>
          <t>в работе</t>
        </is>
      </c>
      <c r="I17" s="1" t="inlineStr">
        <is>
          <t>Мищенко и Кравченко</t>
        </is>
      </c>
      <c r="M17" s="94">
        <f>VLOOKUP(A:A,[2]Свод!$A:$B,2,0)</f>
        <v>12.899999999999999</v>
      </c>
    </row>
    <row r="18" ht="54.75" customHeight="1" s="181" thickBot="1">
      <c r="A18" s="70" t="str">
        <f>CONCATENATE($B$15,"_",D18)</f>
        <v>Объект Авто_Алерты</v>
      </c>
      <c r="B18" s="355" t="n"/>
      <c r="C18" s="105" t="n"/>
      <c r="D18" s="307" t="inlineStr">
        <is>
          <t>Алерты</t>
        </is>
      </c>
      <c r="E18" s="320" t="inlineStr">
        <is>
          <t>Вывод на мониторинг отклонений по процессам - Сформированы отчеты по системным отлонениям на базе PM для дальнейшего вывода на оперативный ДЭШ</t>
        </is>
      </c>
      <c r="F18" s="309" t="inlineStr">
        <is>
          <t>3-4 кв</t>
        </is>
      </c>
      <c r="G18" s="310" t="n">
        <v>2.2000000000000002</v>
      </c>
      <c r="H18" s="307" t="inlineStr">
        <is>
          <t>в работе</t>
        </is>
      </c>
      <c r="I18" s="307" t="inlineStr">
        <is>
          <t>Мищенко и Кравченко</t>
        </is>
      </c>
      <c r="J18" s="95" t="n"/>
      <c r="K18" s="95" t="n"/>
      <c r="L18" s="95" t="n"/>
      <c r="M18" s="96">
        <f>VLOOKUP(A:A,[2]Свод!$A:$B,2,0)</f>
        <v>6.5</v>
      </c>
    </row>
    <row r="19" ht="48" customHeight="1" s="181" thickBot="1">
      <c r="A19" s="70" t="str">
        <f>CONCATENATE($B$19,"_",D19)</f>
        <v>Автокредит_Воронка привлечения</v>
      </c>
      <c r="B19" s="358" t="inlineStr">
        <is>
          <t>Автокредит</t>
        </is>
      </c>
      <c r="C19" s="325" t="inlineStr">
        <is>
          <t>Q3</t>
        </is>
      </c>
      <c r="D19" s="299" t="inlineStr">
        <is>
          <t>Воронка привлечения</t>
        </is>
      </c>
      <c r="E19" s="318" t="inlineStr">
        <is>
          <t xml:space="preserve">Черновики в СБОЛ &gt;=70%
Покрытие черновиков коммуникациями - запуск коммуникации по брошенным корзинам </t>
        </is>
      </c>
      <c r="F19" s="319" t="inlineStr">
        <is>
          <t>с 01.09.2026 организован</t>
        </is>
      </c>
      <c r="G19" s="302" t="n">
        <v>4.3</v>
      </c>
      <c r="H19" s="299" t="inlineStr">
        <is>
          <t>в работе</t>
        </is>
      </c>
      <c r="I19" s="299" t="inlineStr">
        <is>
          <t>Кравченко Анна</t>
        </is>
      </c>
      <c r="J19" s="92" t="n"/>
      <c r="K19" s="360" t="n">
        <v>0.4</v>
      </c>
      <c r="L19" s="360">
        <f>K19+SUM(G19:G21)/100</f>
        <v>0.63700000000000001</v>
      </c>
      <c r="M19" s="93">
        <f>VLOOKUP(A:A,[2]Свод!$A:$B,2,0)</f>
        <v>12</v>
      </c>
    </row>
    <row r="20" ht="152.25" customHeight="1" s="181" thickBot="1">
      <c r="A20" s="70" t="str">
        <f>CONCATENATE($B$19,"_",D20)</f>
        <v>Автокредит_Механики</v>
      </c>
      <c r="B20" s="352" t="n"/>
      <c r="C20" s="220" t="inlineStr">
        <is>
          <t>Q3</t>
        </is>
      </c>
      <c r="D20" s="1" t="inlineStr">
        <is>
          <t>Механики</t>
        </is>
      </c>
      <c r="E20" s="199" t="inlineStr">
        <is>
          <t>Гибкое изменение условий продукта: Следующие опции запущены: размер перв. взноса, переменная ставка внутри жизни кредита
Cross-sell: Инициативы и ответы отразили в системе
Допродажи (up-sell): альтернативное решение с учетом предоставления документов (больше сумма при условии предоставления подтверждения дохода), запуск Опции авто в Прайм</t>
        </is>
      </c>
      <c r="F20" s="134" t="inlineStr">
        <is>
          <t>реализовано
3-4 кв.
Альтернативное решение реализовано, опция авто - окт.2026</t>
        </is>
      </c>
      <c r="G20" s="6" t="n">
        <v>12.9</v>
      </c>
      <c r="H20" s="1" t="inlineStr">
        <is>
          <t>запущено</t>
        </is>
      </c>
      <c r="I20" s="1" t="inlineStr">
        <is>
          <t>Бажанова Елена,
Логанов Максим (страховые допы и Прайм), Мищенко Максим (допы из объекта),
Логанов Максим</t>
        </is>
      </c>
      <c r="M20" s="94">
        <f>VLOOKUP(A:A,[2]Свод!$A:$B,2,0)</f>
        <v>12.899999999999999</v>
      </c>
    </row>
    <row r="21" ht="81.75" customHeight="1" s="181" thickBot="1">
      <c r="A21" s="70" t="str">
        <f>CONCATENATE($B$19,"_",D21)</f>
        <v>Автокредит_Воронка оттока</v>
      </c>
      <c r="B21" s="355" t="n"/>
      <c r="C21" s="326" t="inlineStr">
        <is>
          <t>Q4</t>
        </is>
      </c>
      <c r="D21" s="307" t="inlineStr">
        <is>
          <t>Воронка оттока</t>
        </is>
      </c>
      <c r="E21" s="320" t="inlineStr">
        <is>
          <t>Запуск работы с оттоком - отдельным сегментам клиентов, которым до погашения автокредита осталось 6 и менее месяцев: кампейнинг с предложением стратегии замены авто и новых условий кредита
Настроить воронку оттока</t>
        </is>
      </c>
      <c r="F21" s="309" t="inlineStr">
        <is>
          <t>ноя.26-дек.26</t>
        </is>
      </c>
      <c r="G21" s="310" t="n">
        <v>6.5</v>
      </c>
      <c r="H21" s="307" t="inlineStr">
        <is>
          <t>в работе</t>
        </is>
      </c>
      <c r="I21" s="307" t="inlineStr">
        <is>
          <t>Кравченко Анна</t>
        </is>
      </c>
      <c r="J21" s="95" t="n"/>
      <c r="K21" s="95" t="n"/>
      <c r="L21" s="95" t="n"/>
      <c r="M21" s="96">
        <f>VLOOKUP(A:A,[2]Свод!$A:$B,2,0)</f>
        <v>15.2</v>
      </c>
    </row>
    <row r="22" ht="27" customHeight="1" s="181">
      <c r="A22" s="70" t="str">
        <f>CONCATENATE($B$22,"_",D22)</f>
        <v>POS-кредиты_Воронка привлечения</v>
      </c>
      <c r="B22" s="361" t="inlineStr">
        <is>
          <t>POS-кредиты</t>
        </is>
      </c>
      <c r="C22" s="362" t="inlineStr">
        <is>
          <t>3-4 квартал</t>
        </is>
      </c>
      <c r="D22" s="363" t="inlineStr">
        <is>
          <t>Воронка привлечения</t>
        </is>
      </c>
      <c r="E22" s="364" t="inlineStr">
        <is>
          <t>Анализ: Проведение комплексного анализа воронки привлечения</t>
        </is>
      </c>
      <c r="F22" s="365" t="n">
        <v>46266</v>
      </c>
      <c r="G22" s="366" t="n">
        <v>2.1</v>
      </c>
      <c r="H22" s="325" t="inlineStr">
        <is>
          <t>Выполнено</t>
        </is>
      </c>
      <c r="I22" s="325" t="inlineStr">
        <is>
          <t>Переведенцева Ольга</t>
        </is>
      </c>
      <c r="J22" s="92" t="n"/>
      <c r="K22" s="322" t="n">
        <v>0.54</v>
      </c>
      <c r="L22" s="322">
        <f>K22+SUM(G22:G25)/100</f>
        <v>0.63900000000000001</v>
      </c>
      <c r="M22" s="93">
        <f>VLOOKUP(A:A,[2]Свод!$A:$B,2,0)</f>
        <v>9.4</v>
      </c>
    </row>
    <row r="23" ht="108.75" customHeight="1" s="181">
      <c r="A23" s="70" t="str">
        <f>CONCATENATE($B$22,"_",D23)</f>
        <v>POS-кредиты_Воронка привлечения</v>
      </c>
      <c r="B23" s="352" t="n"/>
      <c r="D23" s="1" t="inlineStr">
        <is>
          <t>Воронка привлечения</t>
        </is>
      </c>
      <c r="E23" s="199" t="inlineStr">
        <is>
          <t>Кампейнинг - запуски кампаний за квартал: 
1) Информирование клиента о возможности взять доп.кред.продукт при выдачи POS кредита
2) Информирование клиента о возможности оформить доп. кредит при высоких чеках за покупки.</t>
        </is>
      </c>
      <c r="F23" s="232" t="inlineStr">
        <is>
          <t>3-4 квартал</t>
        </is>
      </c>
      <c r="G23" s="6" t="n">
        <v>2.1</v>
      </c>
      <c r="H23" s="1" t="inlineStr">
        <is>
          <t>в работе</t>
        </is>
      </c>
      <c r="I23" s="1" t="inlineStr">
        <is>
          <t>Мосягина Оксана</t>
        </is>
      </c>
      <c r="M23" s="94">
        <f>VLOOKUP(A:A,[2]Свод!$A:$B,2,0)</f>
        <v>9.4</v>
      </c>
    </row>
    <row r="24" ht="27" customHeight="1" s="181">
      <c r="A24" s="70" t="str">
        <f>CONCATENATE($B$22,"_",D24)</f>
        <v>POS-кредиты_Цели</v>
      </c>
      <c r="B24" s="352" t="n"/>
      <c r="D24" s="1" t="inlineStr">
        <is>
          <t>Цели</t>
        </is>
      </c>
      <c r="E24" s="367" t="inlineStr">
        <is>
          <t>Вывод Прогноза по части целей в Навигатор (объем выдач POS)</t>
        </is>
      </c>
      <c r="F24" s="368" t="inlineStr">
        <is>
          <t>3-4 квартал</t>
        </is>
      </c>
      <c r="G24" s="6" t="n">
        <v>4.0999999999999996</v>
      </c>
      <c r="H24" s="1" t="inlineStr">
        <is>
          <t>в работе</t>
        </is>
      </c>
      <c r="I24" s="1" t="inlineStr">
        <is>
          <t>Герасимова Ольга, Смирнов Илья</t>
        </is>
      </c>
      <c r="M24" s="94">
        <f>VLOOKUP(A:A,[2]Свод!$A:$B,2,0)</f>
        <v>8.1999999999999993</v>
      </c>
    </row>
    <row r="25" ht="54.75" customHeight="1" s="181">
      <c r="A25" s="70" t="str">
        <f>CONCATENATE($B$22,"_",D25)</f>
        <v>POS-кредиты_Знание ключевых метрик</v>
      </c>
      <c r="B25" s="352" t="n"/>
      <c r="D25" s="219" t="inlineStr">
        <is>
          <t>Знание ключевых метрик</t>
        </is>
      </c>
      <c r="E25" s="367" t="inlineStr">
        <is>
          <t>Объем целевого рынка в России: выведено в Навигатор
Объем целевого рынка в Сбере: выведено в Навигатор</t>
        </is>
      </c>
      <c r="F25" s="368" t="n">
        <v>46266</v>
      </c>
      <c r="G25" s="234" t="n">
        <v>1.6</v>
      </c>
      <c r="H25" s="219" t="inlineStr">
        <is>
          <t>Выполнено</t>
        </is>
      </c>
      <c r="I25" s="219" t="inlineStr">
        <is>
          <t>Смирнов Илья</t>
        </is>
      </c>
      <c r="M25" s="94">
        <f>VLOOKUP(A:A,[2]Свод!$A:$B,2,0)</f>
        <v>1.6</v>
      </c>
    </row>
    <row r="26" ht="81" customHeight="1" s="181">
      <c r="A26" s="70" t="str">
        <f>CONCATENATE($B$26,"_",D26)</f>
        <v>BNPL_Знание ключевых метрик</v>
      </c>
      <c r="B26" s="369" t="inlineStr">
        <is>
          <t>BNPL</t>
        </is>
      </c>
      <c r="C26" s="327" t="inlineStr">
        <is>
          <t>3-4 квартал</t>
        </is>
      </c>
      <c r="D26" s="370" t="inlineStr">
        <is>
          <t>Знание ключевых метрик</t>
        </is>
      </c>
      <c r="E26" s="371" t="inlineStr">
        <is>
          <t>Знание об отчетности в Навигаторе. Понимание доступной отчетности и регулярного мониторинга.
Значение можно улучшить при следующей самооценке команды в Oprosso в 3-ем квартале.</t>
        </is>
      </c>
      <c r="F26" s="372" t="inlineStr">
        <is>
          <t>3-4 квартал</t>
        </is>
      </c>
      <c r="G26" s="373" t="n">
        <v>1</v>
      </c>
      <c r="H26" s="374" t="inlineStr">
        <is>
          <t>в работе</t>
        </is>
      </c>
      <c r="I26" s="374" t="inlineStr">
        <is>
          <t>Болотов С.</t>
        </is>
      </c>
      <c r="J26" s="184" t="n"/>
      <c r="K26" s="375" t="n">
        <v>0.54</v>
      </c>
      <c r="L26" s="375">
        <f>K26+SUM(G26:G28)/100</f>
        <v>0.64300000000000002</v>
      </c>
      <c r="M26" s="188" t="n"/>
    </row>
    <row r="27" ht="67.5" customHeight="1" s="181">
      <c r="A27" s="70" t="str">
        <f>CONCATENATE($B$26,"_",D27)</f>
        <v>BNPL_Воронка привлечения</v>
      </c>
      <c r="B27" s="335" t="n"/>
      <c r="C27" s="328" t="n"/>
      <c r="D27" s="1" t="inlineStr">
        <is>
          <t>Воронка привлечения</t>
        </is>
      </c>
      <c r="E27" s="376" t="inlineStr">
        <is>
          <t>Анализ: Наличие бенчмарков. Цели / динамика / рынок
Кампейнинг: Наличие успешных бизнес-запусков. Self-service / кампейнинг, успешность</t>
        </is>
      </c>
      <c r="F27" s="368" t="n">
        <v>46266</v>
      </c>
      <c r="G27" s="234" t="n">
        <v>4.0999999999999996</v>
      </c>
      <c r="H27" s="219" t="inlineStr">
        <is>
          <t>Выполнено</t>
        </is>
      </c>
      <c r="I27" s="219" t="inlineStr">
        <is>
          <t>Денисова М., 
Магомедова Л.</t>
        </is>
      </c>
      <c r="K27" s="328" t="n"/>
      <c r="L27" s="328" t="n"/>
      <c r="M27" s="377" t="n"/>
    </row>
    <row r="28" ht="108.75" customHeight="1" s="181">
      <c r="A28" s="70" t="str">
        <f>CONCATENATE($B$26,"_",D28)</f>
        <v>BNPL_Воронка оттока</v>
      </c>
      <c r="B28" s="336" t="n"/>
      <c r="C28" s="329" t="n"/>
      <c r="D28" s="378" t="inlineStr">
        <is>
          <t>Воронка оттока</t>
        </is>
      </c>
      <c r="E28" s="379" t="inlineStr">
        <is>
          <t>Анализ: повышение полноты анализа воронки оттока, проведение комплексного анализа воронки оттока, оценка причин и узких мест
Наличие бенчмарков: Цели / динамика / рынок
Отчетность: Полнота отчета. Retention, CR, удержание</t>
        </is>
      </c>
      <c r="F28" s="309" t="inlineStr">
        <is>
          <t xml:space="preserve">3-4 квартал
</t>
        </is>
      </c>
      <c r="G28" s="380" t="n">
        <v>5.2</v>
      </c>
      <c r="H28" s="299" t="inlineStr">
        <is>
          <t>в работе
выполнено
выполнено</t>
        </is>
      </c>
      <c r="I28" s="381" t="inlineStr">
        <is>
          <t>Болотов С., 
Денисова М.</t>
        </is>
      </c>
      <c r="J28" s="382" t="n"/>
      <c r="K28" s="329" t="n"/>
      <c r="L28" s="329" t="n"/>
      <c r="M28" s="356" t="n"/>
    </row>
    <row r="29" s="181">
      <c r="C29" s="383" t="n"/>
    </row>
    <row xmlns="http://schemas.openxmlformats.org/spreadsheetml/2006/main" r="30">
      <c r="A30" s="70" t="str">
        <v>Сейфы_Знание ключевых метрик</v>
      </c>
      <c r="B30" s="369" t="str">
        <v>Сейфы</v>
      </c>
      <c r="C30" s="327" t="str">
        <v>Q42026</v>
      </c>
      <c r="D30" s="370" t="str">
        <v>Знание ключевых метрик</v>
      </c>
      <c r="E30" s="371" t="str">
        <v>Валидация данных об Объеме целевого рынка в России, объем целевого рынка в Сбере, клиенты с продуктом, MAU продукта, знание продуктов-спутников</v>
      </c>
      <c r="F30" s="372" t="str">
        <v>окт.26</v>
      </c>
      <c r="G30" s="373" t="n">
        <v>1</v>
      </c>
      <c r="H30" s="374" t="str">
        <v>в работе</v>
      </c>
      <c r="I30" s="374"/>
      <c r="J30" s="184"/>
      <c r="K30" s="375" t="n">
        <v>0.48</v>
      </c>
      <c r="L30" s="375" t="n">
        <v>0.63</v>
      </c>
      <c r="M30" s="188" t="n">
        <v>1</v>
      </c>
    </row>
    <row xmlns="http://schemas.openxmlformats.org/spreadsheetml/2006/main" r="31">
      <c r="A31" s="70" t="str">
        <v>Сейфы_Воронка привлечения</v>
      </c>
      <c r="B31" s="369" t="str">
        <v>Сейфы</v>
      </c>
      <c r="C31" s="327" t="str">
        <v>Q42026</v>
      </c>
      <c r="D31" s="370" t="str">
        <v>Воронка привлечения</v>
      </c>
      <c r="E31" s="371" t="str">
        <v>Черновики в СБОЛ;
Разработка CJM с воронками и процентами привлечения;
Наличие Self-Service;
Наличие бенчмарков - предоставить отчет по рынку</v>
      </c>
      <c r="F31" s="372" t="str">
        <v>окт.26-дек.26</v>
      </c>
      <c r="G31" s="373" t="n">
        <v>7.9</v>
      </c>
      <c r="H31" s="374" t="str">
        <v>в работе</v>
      </c>
      <c r="I31" s="374"/>
      <c r="J31" s="184"/>
      <c r="K31" s="375"/>
      <c r="L31" s="375"/>
      <c r="M31" s="188" t="n">
        <v>14</v>
      </c>
    </row>
    <row xmlns="http://schemas.openxmlformats.org/spreadsheetml/2006/main" r="32">
      <c r="A32" s="70" t="str">
        <v>Сейфы_Цели</v>
      </c>
      <c r="B32" s="369" t="str">
        <v>Сейфы</v>
      </c>
      <c r="C32" s="327" t="str">
        <v>Q42026</v>
      </c>
      <c r="D32" s="370" t="str">
        <v>Цели</v>
      </c>
      <c r="E32" s="371" t="str">
        <v>Цели уровня ЛЮ и ЛТ выведены на мониторинг и Прогноз по целям</v>
      </c>
      <c r="F32" s="372" t="str">
        <v>дек.26</v>
      </c>
      <c r="G32" s="373" t="n">
        <v>6</v>
      </c>
      <c r="H32" s="374" t="str">
        <v>в работе</v>
      </c>
      <c r="I32" s="374"/>
      <c r="J32" s="184"/>
      <c r="K32" s="375"/>
      <c r="L32" s="375"/>
      <c r="M32" s="188" t="n">
        <v>6</v>
      </c>
    </row>
  </sheetData>
  <mergeCells count="27">
    <mergeCell ref="B22:B25"/>
    <mergeCell ref="L26:L28"/>
    <mergeCell ref="K2:K4"/>
    <mergeCell ref="K11:K14"/>
    <mergeCell ref="B11:B14"/>
    <mergeCell ref="B5:B7"/>
    <mergeCell ref="L15:L18"/>
    <mergeCell ref="C22:C25"/>
    <mergeCell ref="K22:K25"/>
    <mergeCell ref="B26:B28"/>
    <mergeCell ref="K19:K21"/>
    <mergeCell ref="L2:L4"/>
    <mergeCell ref="B8:B10"/>
    <mergeCell ref="B15:B18"/>
    <mergeCell ref="K5:K7"/>
    <mergeCell ref="B2:B4"/>
    <mergeCell ref="L19:L21"/>
    <mergeCell ref="L22:L25"/>
    <mergeCell ref="C26:C28"/>
    <mergeCell ref="K26:K28"/>
    <mergeCell ref="L8:L10"/>
    <mergeCell ref="L11:L14"/>
    <mergeCell ref="K8:K10"/>
    <mergeCell ref="B19:B21"/>
    <mergeCell ref="C15:C18"/>
    <mergeCell ref="L5:L7"/>
    <mergeCell ref="K15:K18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="84" zoomScaleNormal="84" workbookViewId="0">
      <pane ySplit="1" topLeftCell="A2" activePane="bottomLeft" state="frozen"/>
      <selection pane="bottomLeft" activeCell="M2" sqref="M2"/>
    </sheetView>
  </sheetViews>
  <sheetFormatPr baseColWidth="8" defaultRowHeight="15.75"/>
  <cols>
    <col width="7.25" customWidth="1" style="181" min="1" max="1"/>
    <col width="16.75" customWidth="1" style="181" min="2" max="2"/>
    <col width="13.25" customWidth="1" style="181" min="3" max="3"/>
    <col width="16" customWidth="1" style="101" min="4" max="4"/>
    <col width="64.125" customWidth="1" style="101" min="5" max="5"/>
    <col width="14.5" customWidth="1" style="181" min="6" max="6"/>
    <col width="19.375" customWidth="1" style="181" min="7" max="7"/>
    <col width="10.25" customWidth="1" style="181" min="8" max="8"/>
    <col width="20" customWidth="1" style="181" min="9" max="9"/>
    <col width="29.25" customWidth="1" style="181" min="10" max="10"/>
    <col width="11.125" customWidth="1" style="181" min="11" max="11"/>
    <col width="14.25" customWidth="1" style="181" min="12" max="12"/>
  </cols>
  <sheetData>
    <row r="1" ht="39" customHeight="1" s="181" thickBot="1">
      <c r="B1" s="46" t="inlineStr">
        <is>
          <t>Продукт / Сегмент</t>
        </is>
      </c>
      <c r="C1" s="46" t="inlineStr">
        <is>
          <t>Квартал</t>
        </is>
      </c>
      <c r="D1" s="46" t="inlineStr">
        <is>
          <t>Блок для развития</t>
        </is>
      </c>
      <c r="E1" s="46" t="inlineStr">
        <is>
          <t>Планируемое мероприятие</t>
        </is>
      </c>
      <c r="F1" s="46" t="inlineStr">
        <is>
          <t>Срок исполнения</t>
        </is>
      </c>
      <c r="G1" s="47" t="inlineStr">
        <is>
          <t>Ожидание прироста индекса DD, п.п.</t>
        </is>
      </c>
      <c r="H1" s="46" t="inlineStr">
        <is>
          <t>Статус</t>
        </is>
      </c>
      <c r="I1" s="46" t="inlineStr">
        <is>
          <t>Контактное лицо (ФИО)</t>
        </is>
      </c>
      <c r="J1" s="9" t="inlineStr">
        <is>
          <t>Верификация мероприятий Штабом B2C</t>
        </is>
      </c>
      <c r="K1" s="9" t="inlineStr">
        <is>
          <t>DD индекс 2 кв. 2026</t>
        </is>
      </c>
      <c r="L1" s="9" t="inlineStr">
        <is>
          <t>Прогноз DD индекс 3 кв. 2026</t>
        </is>
      </c>
      <c r="M1" s="157" t="inlineStr">
        <is>
          <t>Аплифт</t>
        </is>
      </c>
    </row>
    <row r="2" ht="63.75" customHeight="1" s="181">
      <c r="A2" t="str">
        <f>CONCATENATE($B$2,"_",D2)</f>
        <v>Пакет услуг СберПремьер_Алерты</v>
      </c>
      <c r="B2" s="384" t="inlineStr">
        <is>
          <t>Пакет услуг СберПремьер</t>
        </is>
      </c>
      <c r="C2" s="92" t="n"/>
      <c r="D2" s="97" t="inlineStr">
        <is>
          <t>Алерты</t>
        </is>
      </c>
      <c r="E2" s="102" t="inlineStr">
        <is>
          <t>Внедрить систему оповещений
Образ результата: Вопрос на проработке у Ю.Петуховой, вернутся в ближайшее время. По результату донести на РГ DD до трайбов</t>
        </is>
      </c>
      <c r="F2" s="92" t="n"/>
      <c r="G2" s="97" t="n">
        <v>4</v>
      </c>
      <c r="H2" s="92" t="n"/>
      <c r="I2" s="97" t="inlineStr">
        <is>
          <t>Штаб CX</t>
        </is>
      </c>
      <c r="J2" s="93" t="n"/>
      <c r="K2" s="273" t="n">
        <v>0.57999999999999996</v>
      </c>
      <c r="L2" s="385">
        <f>K2+SUM(G2:G5)/100</f>
        <v>0.69</v>
      </c>
      <c r="M2" s="70">
        <f>IF(A2="","",VLOOKUP(A:A,[2]Свод!$A:$B,2,0))</f>
        <v>4</v>
      </c>
    </row>
    <row r="3" ht="108" customHeight="1" s="181">
      <c r="A3" t="str">
        <f>CONCATENATE($B$2,"_",D3)</f>
        <v>Пакет услуг СберПремьер_Цели</v>
      </c>
      <c r="B3" s="386" t="n"/>
      <c r="D3" s="98" t="inlineStr">
        <is>
          <t>Цели</t>
        </is>
      </c>
      <c r="E3" s="103" t="inlineStr">
        <is>
          <t>Сформировать прогнозные значения, вывести в Навигатор
Централизованно проверить для всех трайбов (частично решена)</t>
        </is>
      </c>
      <c r="G3" s="98" t="n">
        <v>4</v>
      </c>
      <c r="I3" s="98" t="inlineStr">
        <is>
          <t>Штаб CX</t>
        </is>
      </c>
      <c r="J3" s="107" t="inlineStr">
        <is>
          <t>Сложно достижимая цель. Есть более простые: 
- Настроить мониторинг по воронкам оттока и привлечения (+3 п.п.);
- Обогатить метриками мониторинг по воронке оттока (+2 п.п.)</t>
        </is>
      </c>
      <c r="K3" s="386" t="n"/>
      <c r="L3" s="94" t="n"/>
      <c r="M3" s="70">
        <f>IF(A3="","",VLOOKUP(A:A,[2]Свод!$A:$B,2,0))</f>
        <v>6</v>
      </c>
    </row>
    <row r="4" ht="67.5" customHeight="1" s="181">
      <c r="A4" t="str">
        <f>CONCATENATE($B$2,"_",D4)</f>
        <v>Пакет услуг СберПремьер_Гипотезы и инициативы</v>
      </c>
      <c r="B4" s="386" t="n"/>
      <c r="D4" s="98" t="inlineStr">
        <is>
          <t>Гипотезы и инициативы</t>
        </is>
      </c>
      <c r="E4" s="103" t="inlineStr">
        <is>
          <t>Сфокусировать бэклог аналитиков на research-задачи
Направлены правила заполнения задач, необходимо на РГ data-driven рассказать, как правильно заводить задачи</t>
        </is>
      </c>
      <c r="G4" s="98" t="n">
        <v>2</v>
      </c>
      <c r="I4" s="98" t="inlineStr">
        <is>
          <t>Продукт/Сегмент</t>
        </is>
      </c>
      <c r="J4" s="94" t="n"/>
      <c r="K4" s="386" t="n"/>
      <c r="L4" s="94" t="n"/>
      <c r="M4" s="70">
        <f>IF(A4="","",VLOOKUP(A:A,[2]Свод!$A:$B,2,0))</f>
        <v>6</v>
      </c>
    </row>
    <row r="5" ht="41.25" customHeight="1" s="181" thickBot="1">
      <c r="A5" t="str">
        <f>CONCATENATE($B$2,"_",D5)</f>
        <v>Пакет услуг СберПремьер_Знание ключевых метрик</v>
      </c>
      <c r="B5" s="387" t="n"/>
      <c r="C5" s="105" t="n"/>
      <c r="D5" s="99" t="inlineStr">
        <is>
          <t>Знание ключевых метрик</t>
        </is>
      </c>
      <c r="E5" s="104" t="inlineStr">
        <is>
          <t>Знание метрик и инструментов
Результат на основе опроса. Трайбам необходимо лучше знать свои метрики</t>
        </is>
      </c>
      <c r="F5" s="106" t="n"/>
      <c r="G5" s="99" t="n">
        <v>1</v>
      </c>
      <c r="H5" s="95" t="n"/>
      <c r="I5" s="99" t="inlineStr">
        <is>
          <t>Продукт/Сегмент</t>
        </is>
      </c>
      <c r="J5" s="96" t="n"/>
      <c r="K5" s="386" t="n"/>
      <c r="L5" s="96" t="n"/>
      <c r="M5" s="70">
        <f>IF(A5="","",VLOOKUP(A:A,[2]Свод!$A:$B,2,0))</f>
        <v>1</v>
      </c>
    </row>
    <row r="6" ht="54" customHeight="1" s="181">
      <c r="A6" t="str">
        <f>CONCATENATE($B$6,"_",D6)</f>
        <v>Пакет услуг СберПервый_Алерты</v>
      </c>
      <c r="B6" s="384" t="inlineStr">
        <is>
          <t>Пакет услуг СберПервый</t>
        </is>
      </c>
      <c r="C6" s="92" t="n"/>
      <c r="D6" s="97" t="inlineStr">
        <is>
          <t>Алерты</t>
        </is>
      </c>
      <c r="E6" s="102" t="inlineStr">
        <is>
          <t>Внедрить систему оповещений
Образ результата: Вопрос на проработке у Ю.Петуховой, вернутся в ближайшее время. По результату донести на РГ DD до трайбов</t>
        </is>
      </c>
      <c r="F6" s="92" t="n"/>
      <c r="G6" s="97" t="n">
        <v>3.8</v>
      </c>
      <c r="H6" s="92" t="n"/>
      <c r="I6" s="97" t="inlineStr">
        <is>
          <t>Штаб CX</t>
        </is>
      </c>
      <c r="J6" s="93" t="n"/>
      <c r="K6" s="388" t="n">
        <v>0.43</v>
      </c>
      <c r="L6" s="389">
        <f>K6+SUM(G6:G10)/100</f>
        <v>0.56899999999999995</v>
      </c>
      <c r="M6" s="70">
        <f>IF(A6="","",VLOOKUP(A:A,[2]Свод!$A:$B,2,0))</f>
        <v>3.8</v>
      </c>
    </row>
    <row r="7" ht="94.5" customHeight="1" s="181">
      <c r="A7" t="str">
        <f>CONCATENATE($B$6,"_",D7)</f>
        <v>Пакет услуг СберПервый_Цели</v>
      </c>
      <c r="B7" s="386" t="n"/>
      <c r="D7" s="98" t="inlineStr">
        <is>
          <t>Цели</t>
        </is>
      </c>
      <c r="E7" s="103" t="inlineStr">
        <is>
          <t>Сформировать прогнозные значения, вывести в Навигатор
Централизованно проверить для всех трайбов (частично решена);
Декомпозировать значения целей на драйверы, вывести в Навигатор</t>
        </is>
      </c>
      <c r="G7" s="98" t="n">
        <v>1.9</v>
      </c>
      <c r="I7" s="98" t="inlineStr">
        <is>
          <t>Штаб CX</t>
        </is>
      </c>
      <c r="J7" s="107" t="inlineStr">
        <is>
          <t>Сложно достижимая цель, есть более простые: 
- Обогащение целей в Навигаторе (+1,9 п.п.);
- Настроить мониторинг по воронкам оттока и привлечения (+2,9 п.п.)</t>
        </is>
      </c>
      <c r="K7" s="352" t="n"/>
      <c r="L7" s="94" t="n"/>
      <c r="M7" s="70">
        <f>IF(A7="","",VLOOKUP(A:A,[2]Свод!$A:$B,2,0))</f>
        <v>7.6</v>
      </c>
    </row>
    <row r="8" ht="81" customHeight="1" s="181">
      <c r="A8" t="str">
        <f>CONCATENATE($B$6,"_",D8)</f>
        <v>Пакет услуг СберПервый_Гипотезы и инициативы</v>
      </c>
      <c r="B8" s="386" t="n"/>
      <c r="D8" s="98" t="inlineStr">
        <is>
          <t>Гипотезы и инициативы</t>
        </is>
      </c>
      <c r="E8" s="103" t="inlineStr">
        <is>
          <t>Сфокусировать бэклог аналитиков на research-задачи
- Направлены правила заполнения задач, необходимо на РГ data-driven рассказать, как правильно заводить задачи;
- Сформировать перечень инициатив</t>
        </is>
      </c>
      <c r="G8" s="98" t="n">
        <v>1.9</v>
      </c>
      <c r="I8" s="98" t="inlineStr">
        <is>
          <t>Продукт/Сегмент</t>
        </is>
      </c>
      <c r="J8" s="94" t="n"/>
      <c r="K8" s="352" t="n"/>
      <c r="L8" s="94" t="n"/>
      <c r="M8" s="70">
        <f>IF(A8="","",VLOOKUP(A:A,[2]Свод!$A:$B,2,0))</f>
        <v>9.5</v>
      </c>
    </row>
    <row r="9" ht="40.5" customHeight="1" s="181">
      <c r="A9" t="str">
        <f>CONCATENATE($B$6,"_",D9)</f>
        <v>Пакет услуг СберПервый_Знание ключевых метрик</v>
      </c>
      <c r="B9" s="386" t="n"/>
      <c r="D9" s="98" t="inlineStr">
        <is>
          <t>Знание ключевых метрик</t>
        </is>
      </c>
      <c r="E9" s="103" t="inlineStr">
        <is>
          <t>Знание метрик и инструментов
Результат на основе опроса. Трайбам необходимо лучше знать свои метрики</t>
        </is>
      </c>
      <c r="G9" s="98" t="n">
        <v>2.5</v>
      </c>
      <c r="I9" s="98" t="inlineStr">
        <is>
          <t>Продукт/Сегмент</t>
        </is>
      </c>
      <c r="J9" s="94" t="n"/>
      <c r="K9" s="352" t="n"/>
      <c r="L9" s="94" t="n"/>
      <c r="M9" s="70">
        <f>IF(A9="","",VLOOKUP(A:A,[2]Свод!$A:$B,2,0))</f>
        <v>2.6</v>
      </c>
    </row>
    <row r="10" ht="41.25" customHeight="1" s="181" thickBot="1">
      <c r="A10" t="str">
        <f>CONCATENATE($B$6,"_",D10)</f>
        <v>Пакет услуг СберПервый_Воронка привлечения</v>
      </c>
      <c r="B10" s="387" t="n"/>
      <c r="C10" s="95" t="n"/>
      <c r="D10" s="99" t="inlineStr">
        <is>
          <t>Воронка привлечения</t>
        </is>
      </c>
      <c r="E10" s="104" t="inlineStr">
        <is>
          <t>Обогатить метриками мониторинг по воронке привлечения/оттока - задача в работе у Е.Волобуева;
Провести анализ привлечения, выявить точки роста</t>
        </is>
      </c>
      <c r="F10" s="95" t="n"/>
      <c r="G10" s="99" t="n">
        <v>3.8</v>
      </c>
      <c r="H10" s="95" t="n"/>
      <c r="I10" s="99" t="inlineStr">
        <is>
          <t>Штаб CX</t>
        </is>
      </c>
      <c r="J10" s="96" t="n"/>
      <c r="K10" s="355" t="n"/>
      <c r="L10" s="96" t="n"/>
      <c r="M10" s="70">
        <f>IF(A10="","",VLOOKUP(A:A,[2]Свод!$A:$B,2,0))</f>
        <v>14.3</v>
      </c>
    </row>
    <row r="11">
      <c r="A11" t="str">
        <f>CONCATENATE($B$11,"_",D11)</f>
        <v>МВС_Алерты</v>
      </c>
      <c r="B11" s="384" t="inlineStr">
        <is>
          <t>МВС</t>
        </is>
      </c>
      <c r="C11" s="92" t="n"/>
      <c r="D11" s="97" t="inlineStr">
        <is>
          <t>Алерты</t>
        </is>
      </c>
      <c r="E11" s="109" t="inlineStr">
        <is>
          <t>Внедрить систему оповещений</t>
        </is>
      </c>
      <c r="F11" s="92" t="n"/>
      <c r="G11" s="97" t="n">
        <v>4.3</v>
      </c>
      <c r="H11" s="92" t="n"/>
      <c r="I11" s="97" t="inlineStr">
        <is>
          <t>Штаб CX</t>
        </is>
      </c>
      <c r="J11" s="93" t="n"/>
      <c r="K11" s="388" t="n">
        <v>0.41</v>
      </c>
      <c r="L11" s="389">
        <f>K11+SUM(G11:G16)/100</f>
        <v>0.63100000000000001</v>
      </c>
      <c r="M11" s="70">
        <f>IF(A11="","",VLOOKUP(A:A,[2]Свод!$A:$B,2,0))</f>
        <v>4.3</v>
      </c>
    </row>
    <row r="12" ht="108" customHeight="1" s="181">
      <c r="A12" t="str">
        <f>CONCATENATE($B$11,"_",D12)</f>
        <v>МВС_Цели</v>
      </c>
      <c r="B12" s="386" t="n"/>
      <c r="D12" s="98" t="inlineStr">
        <is>
          <t>Цели</t>
        </is>
      </c>
      <c r="E12" s="107" t="inlineStr">
        <is>
          <t>Сформировать прогнозные значения, вывести в Навигатор;
Декомпозировать значения целей на драйверы, вывести в Навигатор</t>
        </is>
      </c>
      <c r="G12" s="98" t="n">
        <v>4.3</v>
      </c>
      <c r="I12" s="98" t="inlineStr">
        <is>
          <t>Штаб CX</t>
        </is>
      </c>
      <c r="J12" s="107" t="inlineStr">
        <is>
          <t>Сложно достижимая цель. Есть более простые: 
- Настроить мониторинг по воронкам оттока и привлечения (+3,3 п.п.);
- Обогатить метриками мониторинг по воронке оттока (+3,3 п.п.)</t>
        </is>
      </c>
      <c r="K12" s="352" t="n"/>
      <c r="L12" s="94" t="n"/>
      <c r="M12" s="70">
        <f>IF(A12="","",VLOOKUP(A:A,[2]Свод!$A:$B,2,0))</f>
        <v>6.5</v>
      </c>
    </row>
    <row r="13" ht="42" customHeight="1" s="181">
      <c r="A13" t="str">
        <f>CONCATENATE($B$11,"_",D13)</f>
        <v>МВС_Гипотезы и инициативы</v>
      </c>
      <c r="B13" s="386" t="n"/>
      <c r="D13" s="98" t="inlineStr">
        <is>
          <t>Гипотезы и инициативы</t>
        </is>
      </c>
      <c r="E13" s="108" t="inlineStr">
        <is>
          <t>Сфокусировать бэклог аналитиков на research-задачи:
- Сформировать перечень инициатив
- Повысить качество проводимых исследований</t>
        </is>
      </c>
      <c r="G13" s="98" t="n">
        <v>8.6</v>
      </c>
      <c r="I13" s="98" t="inlineStr">
        <is>
          <t>Продукт/Сегмент</t>
        </is>
      </c>
      <c r="J13" s="94" t="n"/>
      <c r="K13" s="352" t="n"/>
      <c r="L13" s="94" t="n"/>
      <c r="M13" s="70">
        <f>IF(A13="","",VLOOKUP(A:A,[2]Свод!$A:$B,2,0))</f>
        <v>10.8</v>
      </c>
    </row>
    <row r="14" ht="27" customHeight="1" s="181">
      <c r="A14" t="str">
        <f>CONCATENATE($B$11,"_",D14)</f>
        <v>МВС_Знание ключевых метрик</v>
      </c>
      <c r="B14" s="386" t="n"/>
      <c r="D14" s="98" t="inlineStr">
        <is>
          <t>Знание ключевых метрик</t>
        </is>
      </c>
      <c r="E14" s="107" t="inlineStr">
        <is>
          <t>Необходимо улучшить знание своих метрики</t>
        </is>
      </c>
      <c r="G14" s="98" t="n">
        <v>0.5</v>
      </c>
      <c r="I14" s="98" t="inlineStr">
        <is>
          <t>Продукт/Сегмент</t>
        </is>
      </c>
      <c r="J14" s="94" t="n"/>
      <c r="K14" s="352" t="n"/>
      <c r="L14" s="94" t="n"/>
      <c r="M14" s="70">
        <f>IF(A14="","",VLOOKUP(A:A,[2]Свод!$A:$B,2,0))</f>
        <v>0.5</v>
      </c>
    </row>
    <row r="15" ht="32.25" customHeight="1" s="181">
      <c r="A15" t="str">
        <f>CONCATENATE($B$11,"_",D15)</f>
        <v>МВС_Воронка привлечения</v>
      </c>
      <c r="B15" s="386" t="n"/>
      <c r="D15" s="98" t="inlineStr">
        <is>
          <t>Воронка привлечения</t>
        </is>
      </c>
      <c r="E15" s="103" t="inlineStr">
        <is>
          <t>Обогатить метриками мониторинг по воронке привлечения/оттока -
Провести анализ привлечения, выявить точки роста</t>
        </is>
      </c>
      <c r="G15" s="98" t="n">
        <v>3.3</v>
      </c>
      <c r="I15" s="98" t="n"/>
      <c r="J15" s="94" t="n"/>
      <c r="K15" s="352" t="n"/>
      <c r="L15" s="94" t="n"/>
      <c r="M15" s="70">
        <f>IF(A15="","",VLOOKUP(A:A,[2]Свод!$A:$B,2,0))</f>
        <v>6.6000000000000005</v>
      </c>
    </row>
    <row r="16" ht="16.5" customHeight="1" s="181" thickBot="1">
      <c r="A16" t="str">
        <f>CONCATENATE($B$11,"_",D16)</f>
        <v>МВС_Механики</v>
      </c>
      <c r="B16" s="387" t="n"/>
      <c r="C16" s="95" t="n"/>
      <c r="D16" s="110" t="inlineStr">
        <is>
          <t>Механики</t>
        </is>
      </c>
      <c r="E16" s="111" t="inlineStr">
        <is>
          <t>Проработать механики повышения уровня клиента</t>
        </is>
      </c>
      <c r="F16" s="95" t="n"/>
      <c r="G16" s="99" t="n">
        <v>1.1000000000000001</v>
      </c>
      <c r="H16" s="95" t="n"/>
      <c r="I16" s="99" t="n"/>
      <c r="J16" s="96" t="n"/>
      <c r="K16" s="355" t="n"/>
      <c r="L16" s="96" t="n"/>
      <c r="M16" s="70">
        <f>IF(A16="","",VLOOKUP(A:A,[2]Свод!$A:$B,2,0))</f>
        <v>16.100000000000001</v>
      </c>
    </row>
    <row r="17">
      <c r="A17" t="str">
        <f>CONCATENATE($B$17,"_",D17)</f>
        <v>Дети_Алерты</v>
      </c>
      <c r="B17" s="384" t="inlineStr">
        <is>
          <t>Дети</t>
        </is>
      </c>
      <c r="C17" s="92" t="n"/>
      <c r="D17" s="97" t="inlineStr">
        <is>
          <t>Алерты</t>
        </is>
      </c>
      <c r="E17" s="102" t="inlineStr">
        <is>
          <t>Внедрить систему оповещений</t>
        </is>
      </c>
      <c r="F17" s="92" t="n"/>
      <c r="G17" s="97" t="n">
        <v>4.9000000000000004</v>
      </c>
      <c r="H17" s="92" t="n"/>
      <c r="I17" s="97" t="inlineStr">
        <is>
          <t>Штаб CX</t>
        </is>
      </c>
      <c r="J17" s="93" t="n"/>
      <c r="K17" s="388" t="n">
        <v>0.54</v>
      </c>
      <c r="L17" s="389">
        <f>K17+SUM(G17:G20)/100</f>
        <v>0.68100000000000005</v>
      </c>
      <c r="M17" s="70">
        <f>IF(A17="","",VLOOKUP(A:A,[2]Свод!$A:$B,2,0))</f>
        <v>4.9000000000000004</v>
      </c>
    </row>
    <row r="18" ht="108" customHeight="1" s="181">
      <c r="A18" t="str">
        <f>CONCATENATE($B$17,"_",D18)</f>
        <v>Дети_Цели</v>
      </c>
      <c r="B18" s="386" t="n"/>
      <c r="D18" s="98" t="inlineStr">
        <is>
          <t>Цели</t>
        </is>
      </c>
      <c r="E18" s="107" t="inlineStr">
        <is>
          <t>Сформировать прогнозные значения, вывести в Навигатор</t>
        </is>
      </c>
      <c r="G18" s="98" t="n">
        <v>4.9000000000000004</v>
      </c>
      <c r="I18" s="98" t="inlineStr">
        <is>
          <t>Штаб CX</t>
        </is>
      </c>
      <c r="J18" s="107" t="inlineStr">
        <is>
          <t>Сложно достижимая цель. Проще обогатить цели в Навигаторе (+2,5 п.п.), настроить мониторинг по воронке оттока (+1,2 п.п.), обогатить метриками мониторинг по воронкам привлечения и оттока (+2,4 п.п.)</t>
        </is>
      </c>
      <c r="K18" s="352" t="n"/>
      <c r="L18" s="94" t="n"/>
      <c r="M18" s="70">
        <f>IF(A18="","",VLOOKUP(A:A,[2]Свод!$A:$B,2,0))</f>
        <v>7.4</v>
      </c>
    </row>
    <row r="19" ht="30.75" customHeight="1" s="181">
      <c r="A19" t="str">
        <f>CONCATENATE($B$17,"_",D19)</f>
        <v>Дети_Гипотезы и инициативы</v>
      </c>
      <c r="B19" s="386" t="n"/>
      <c r="D19" s="98" t="inlineStr">
        <is>
          <t>Гипотезы и инициативы</t>
        </is>
      </c>
      <c r="E19" s="108" t="inlineStr">
        <is>
          <t xml:space="preserve">Сфокусировать бэклог аналитиков на research-задачи:
правильно формировать задачи
</t>
        </is>
      </c>
      <c r="G19" s="98" t="n">
        <v>2.4</v>
      </c>
      <c r="I19" s="220" t="inlineStr">
        <is>
          <t>Продукт/Сегмент</t>
        </is>
      </c>
      <c r="J19" s="94" t="n"/>
      <c r="K19" s="352" t="n"/>
      <c r="L19" s="94" t="n"/>
      <c r="M19" s="70">
        <f>IF(A19="","",VLOOKUP(A:A,[2]Свод!$A:$B,2,0))</f>
        <v>7.4</v>
      </c>
    </row>
    <row r="20" ht="27.75" customHeight="1" s="181" thickBot="1">
      <c r="A20" t="str">
        <f>CONCATENATE($B$17,"_",D20)</f>
        <v>Дети_Знание ключевых метрик</v>
      </c>
      <c r="B20" s="387" t="n"/>
      <c r="C20" s="95" t="n"/>
      <c r="D20" s="99" t="inlineStr">
        <is>
          <t>Знание ключевых метрик</t>
        </is>
      </c>
      <c r="E20" s="112" t="inlineStr">
        <is>
          <t>Необходимо улучшить знание своих метрики</t>
        </is>
      </c>
      <c r="F20" s="95" t="n"/>
      <c r="G20" s="99" t="n">
        <v>1.9</v>
      </c>
      <c r="H20" s="95" t="n"/>
      <c r="I20" s="98" t="inlineStr">
        <is>
          <t>Продукт/Сегмент</t>
        </is>
      </c>
      <c r="J20" s="96" t="n"/>
      <c r="K20" s="355" t="n"/>
      <c r="L20" s="96" t="n"/>
      <c r="M20" s="70">
        <f>IF(A20="","",VLOOKUP(A:A,[2]Свод!$A:$B,2,0))</f>
        <v>1.9</v>
      </c>
    </row>
    <row r="21">
      <c r="A21" t="str">
        <f>CONCATENATE($B$21,"_",D21)</f>
        <v>Молодежь_Алерты</v>
      </c>
      <c r="B21" s="384" t="inlineStr">
        <is>
          <t>Молодежь</t>
        </is>
      </c>
      <c r="C21" s="92" t="n"/>
      <c r="D21" s="97" t="inlineStr">
        <is>
          <t>Алерты</t>
        </is>
      </c>
      <c r="E21" s="102" t="inlineStr">
        <is>
          <t>Внедрить систему оповещений</t>
        </is>
      </c>
      <c r="F21" s="92" t="n"/>
      <c r="G21" s="97" t="n">
        <v>5.0999999999999996</v>
      </c>
      <c r="H21" s="92" t="n"/>
      <c r="I21" s="97" t="inlineStr">
        <is>
          <t>Штаб CX</t>
        </is>
      </c>
      <c r="J21" s="93" t="n"/>
      <c r="K21" s="388" t="n">
        <v>0.48</v>
      </c>
      <c r="L21" s="389">
        <f>K21+SUM(G21:G24)/100</f>
        <v>0.66899999999999993</v>
      </c>
      <c r="M21" s="70">
        <f>IF(A21="","",VLOOKUP(A:A,[2]Свод!$A:$B,2,0))</f>
        <v>5.0999999999999996</v>
      </c>
    </row>
    <row r="22">
      <c r="A22" t="str">
        <f>CONCATENATE($B$21,"_",D22)</f>
        <v>Молодежь_Цели</v>
      </c>
      <c r="B22" s="386" t="n"/>
      <c r="D22" s="98" t="inlineStr">
        <is>
          <t>Цели</t>
        </is>
      </c>
      <c r="E22" s="107" t="inlineStr">
        <is>
          <t>Сформировать прогнозные значения, вывести в Навигатор</t>
        </is>
      </c>
      <c r="G22" s="98" t="n">
        <v>5.0999999999999996</v>
      </c>
      <c r="I22" s="98" t="inlineStr">
        <is>
          <t>Штаб CX</t>
        </is>
      </c>
      <c r="J22" s="107" t="inlineStr">
        <is>
          <t>Сложно достижимая цель</t>
        </is>
      </c>
      <c r="K22" s="352" t="n"/>
      <c r="L22" s="94" t="n"/>
      <c r="M22" s="70">
        <f>IF(A22="","",VLOOKUP(A:A,[2]Свод!$A:$B,2,0))</f>
        <v>7.6</v>
      </c>
    </row>
    <row r="23" ht="40.5" customHeight="1" s="181">
      <c r="A23" t="str">
        <f>CONCATENATE($B$21,"_",D23)</f>
        <v>Молодежь_Гипотезы и инициативы</v>
      </c>
      <c r="B23" s="386" t="n"/>
      <c r="D23" s="98" t="inlineStr">
        <is>
          <t>Гипотезы и инициативы</t>
        </is>
      </c>
      <c r="E23" s="107" t="inlineStr">
        <is>
          <t xml:space="preserve">Сфокусировать бэклог аналитиков на research-задачи:
правильно формировать задачи
</t>
        </is>
      </c>
      <c r="G23" s="98" t="n">
        <v>5.0999999999999996</v>
      </c>
      <c r="I23" s="98" t="inlineStr">
        <is>
          <t>Продукт/Сегмент</t>
        </is>
      </c>
      <c r="J23" s="94" t="n"/>
      <c r="K23" s="352" t="n"/>
      <c r="L23" s="94" t="n"/>
      <c r="M23" s="70">
        <f>IF(A23="","",VLOOKUP(A:A,[2]Свод!$A:$B,2,0))</f>
        <v>10.199999999999999</v>
      </c>
    </row>
    <row r="24" ht="27.75" customHeight="1" s="181" thickBot="1">
      <c r="A24" t="str">
        <f>CONCATENATE($B$21,"_",D24)</f>
        <v>Молодежь_Знание ключевых метрик</v>
      </c>
      <c r="B24" s="387" t="n"/>
      <c r="C24" s="95" t="n"/>
      <c r="D24" s="99" t="inlineStr">
        <is>
          <t>Знание ключевых метрик</t>
        </is>
      </c>
      <c r="E24" s="112" t="inlineStr">
        <is>
          <t>Необходимо улучшить знание своих метрики</t>
        </is>
      </c>
      <c r="F24" s="95" t="n"/>
      <c r="G24" s="99" t="n">
        <v>3.6</v>
      </c>
      <c r="H24" s="95" t="n"/>
      <c r="I24" s="98" t="inlineStr">
        <is>
          <t>Продукт/Сегмент</t>
        </is>
      </c>
      <c r="J24" s="96" t="n"/>
      <c r="K24" s="355" t="n"/>
      <c r="L24" s="96" t="n"/>
      <c r="M24" s="70">
        <f>IF(A24="","",VLOOKUP(A:A,[2]Свод!$A:$B,2,0))</f>
        <v>3.7</v>
      </c>
    </row>
    <row r="25">
      <c r="A25" t="str">
        <f>CONCATENATE($B$25,"_",D25)</f>
        <v>Зрелость_Алерты</v>
      </c>
      <c r="B25" s="384" t="inlineStr">
        <is>
          <t>Зрелость</t>
        </is>
      </c>
      <c r="C25" s="92" t="n"/>
      <c r="D25" s="97" t="inlineStr">
        <is>
          <t>Алерты</t>
        </is>
      </c>
      <c r="E25" s="102" t="inlineStr">
        <is>
          <t>Внедрить систему оповещений</t>
        </is>
      </c>
      <c r="F25" s="92" t="n"/>
      <c r="G25" s="97" t="n">
        <v>4.8</v>
      </c>
      <c r="H25" s="92" t="n"/>
      <c r="I25" s="97" t="inlineStr">
        <is>
          <t>Штаб CX</t>
        </is>
      </c>
      <c r="J25" s="93" t="n"/>
      <c r="K25" s="388" t="n">
        <v>0.38</v>
      </c>
      <c r="L25" s="389">
        <f>K25+SUM(G25:G27)/100</f>
        <v>0.47599999999999998</v>
      </c>
      <c r="M25" s="70">
        <f>IF(A25="","",VLOOKUP(A:A,[2]Свод!$A:$B,2,0))</f>
        <v>4.8</v>
      </c>
    </row>
    <row r="26" ht="40.5" customHeight="1" s="181">
      <c r="A26" t="str">
        <f>CONCATENATE($B$25,"_",D26)</f>
        <v>Зрелость_Цели</v>
      </c>
      <c r="B26" s="386" t="n"/>
      <c r="D26" s="98" t="inlineStr">
        <is>
          <t>Цели</t>
        </is>
      </c>
      <c r="E26" s="107" t="inlineStr">
        <is>
          <t>Сформировать прогнозные значения, вывести в Навигатор</t>
        </is>
      </c>
      <c r="G26" s="98" t="n">
        <v>2.4</v>
      </c>
      <c r="I26" s="98" t="inlineStr">
        <is>
          <t>Штаб CX</t>
        </is>
      </c>
      <c r="J26" s="289" t="inlineStr">
        <is>
          <t>Сложно достижимые цели. Проще Настроить мониторинг по воронкам оттока и привлечения (+4,9 п.п.), обогатить метриками мониторинг по воронкам оттока и привлечения (+4,8 п.п.)</t>
        </is>
      </c>
      <c r="K26" s="352" t="n"/>
      <c r="L26" s="94" t="n"/>
      <c r="M26" s="70">
        <f>IF(A26="","",VLOOKUP(A:A,[2]Свод!$A:$B,2,0))</f>
        <v>4.8</v>
      </c>
    </row>
    <row r="27" ht="48.75" customHeight="1" s="181" thickBot="1">
      <c r="A27" t="str">
        <f>CONCATENATE($B$25,"_",D27)</f>
        <v>Зрелость_Гипотезы и инициативы</v>
      </c>
      <c r="B27" s="387" t="n"/>
      <c r="C27" s="95" t="n"/>
      <c r="D27" s="99" t="inlineStr">
        <is>
          <t>Гипотезы и инициативы</t>
        </is>
      </c>
      <c r="E27" s="112" t="inlineStr">
        <is>
          <t>Сфокусировать бэклог аналитиков на research-задачи:
правильно формировать задачи</t>
        </is>
      </c>
      <c r="F27" s="95" t="n"/>
      <c r="G27" s="99" t="n">
        <v>2.4</v>
      </c>
      <c r="H27" s="95" t="n"/>
      <c r="I27" s="220" t="inlineStr">
        <is>
          <t>Продукт/Сегмент</t>
        </is>
      </c>
      <c r="J27" s="390" t="n"/>
      <c r="K27" s="355" t="n"/>
      <c r="L27" s="96" t="n"/>
      <c r="M27" s="70">
        <f>IF(A27="","",VLOOKUP(A:A,[2]Свод!$A:$B,2,0))</f>
        <v>7.1999999999999993</v>
      </c>
    </row>
    <row r="28" ht="20.25" customHeight="1" s="181">
      <c r="A28" t="str">
        <f>CONCATENATE($B$28,"_",D28)</f>
        <v>PB_Цели</v>
      </c>
      <c r="B28" s="384" t="inlineStr">
        <is>
          <t>PB</t>
        </is>
      </c>
      <c r="C28" s="92" t="n"/>
      <c r="D28" s="97" t="inlineStr">
        <is>
          <t>Цели</t>
        </is>
      </c>
      <c r="E28" s="102" t="inlineStr">
        <is>
          <t>Сформировать прогнозные значения, вывести в Навигатор</t>
        </is>
      </c>
      <c r="F28" s="92" t="n"/>
      <c r="G28" s="97" t="n">
        <v>2.2999999999999998</v>
      </c>
      <c r="H28" s="92" t="n"/>
      <c r="I28" s="97" t="inlineStr">
        <is>
          <t>Штаб CX</t>
        </is>
      </c>
      <c r="J28" s="93" t="n"/>
      <c r="K28" s="388" t="n">
        <v>0.52</v>
      </c>
      <c r="L28" s="389">
        <f>K28+SUM(G28:G30)/100</f>
        <v>0.60499999999999998</v>
      </c>
      <c r="M28" s="70">
        <f>IF(A28="","",VLOOKUP(A:A,[2]Свод!$A:$B,2,0))</f>
        <v>4.4000000000000004</v>
      </c>
    </row>
    <row r="29" ht="30" customHeight="1" s="181">
      <c r="A29" t="str">
        <f>CONCATENATE($B$28,"_",D29)</f>
        <v>PB_Гипотезы и инициативы</v>
      </c>
      <c r="B29" s="386" t="n"/>
      <c r="D29" s="98" t="inlineStr">
        <is>
          <t>Гипотезы и инициативы</t>
        </is>
      </c>
      <c r="E29" s="107" t="inlineStr">
        <is>
          <t>Сфокусировать бэклог аналитиков на research-задачи:
правильно формировать задачи</t>
        </is>
      </c>
      <c r="G29" s="98" t="n">
        <v>4.5</v>
      </c>
      <c r="I29" s="98" t="inlineStr">
        <is>
          <t>Продукт/Сегмент</t>
        </is>
      </c>
      <c r="J29" s="94" t="n"/>
      <c r="K29" s="352" t="n"/>
      <c r="L29" s="94" t="n"/>
      <c r="M29" s="70">
        <f>IF(A29="","",VLOOKUP(A:A,[2]Свод!$A:$B,2,0))</f>
        <v>9</v>
      </c>
    </row>
    <row r="30" ht="27.75" customHeight="1" s="181" thickBot="1">
      <c r="A30" t="str">
        <f>CONCATENATE($B$28,"_",D30)</f>
        <v>PB_Знание ключевых метрик</v>
      </c>
      <c r="B30" s="387" t="n"/>
      <c r="C30" s="95" t="n"/>
      <c r="D30" s="99" t="inlineStr">
        <is>
          <t>Знание ключевых метрик</t>
        </is>
      </c>
      <c r="E30" s="112" t="inlineStr">
        <is>
          <t>Необходимо улучшить знание своих метрики</t>
        </is>
      </c>
      <c r="F30" s="95" t="n"/>
      <c r="G30" s="99" t="n">
        <v>1.7</v>
      </c>
      <c r="H30" s="95" t="n"/>
      <c r="I30" s="98" t="inlineStr">
        <is>
          <t>Продукт/Сегмент</t>
        </is>
      </c>
      <c r="J30" s="96" t="n"/>
      <c r="K30" s="355" t="n"/>
      <c r="L30" s="96" t="n"/>
      <c r="M30" s="70">
        <f>IF(A30="","",VLOOKUP(A:A,[2]Свод!$A:$B,2,0))</f>
        <v>1.7000000000000002</v>
      </c>
    </row>
    <row r="31" ht="27" customHeight="1" s="181">
      <c r="A31" t="str">
        <f>CONCATENATE($B$31,"_",D31)</f>
        <v>Top Affluent_Цели</v>
      </c>
      <c r="B31" s="384" t="inlineStr">
        <is>
          <t>Top Affluent</t>
        </is>
      </c>
      <c r="C31" s="92" t="n"/>
      <c r="D31" s="97" t="inlineStr">
        <is>
          <t>Цели</t>
        </is>
      </c>
      <c r="E31" s="109" t="inlineStr">
        <is>
          <t>Сформировать прогнозные значения, вывести в Навигатор;
Декомпозировать значения целей на драйверы, вывести в Навигатор</t>
        </is>
      </c>
      <c r="F31" s="92" t="n"/>
      <c r="G31" s="97" t="n">
        <v>4.2</v>
      </c>
      <c r="H31" s="92" t="n"/>
      <c r="I31" s="97" t="inlineStr">
        <is>
          <t>Штаб CX</t>
        </is>
      </c>
      <c r="J31" s="93" t="n"/>
      <c r="K31" s="388" t="n">
        <v>0.53</v>
      </c>
      <c r="L31" s="389">
        <f>K31+SUM(G31:G34)/100</f>
        <v>0.60899999999999999</v>
      </c>
      <c r="M31" s="70">
        <f>IF(A31="","",VLOOKUP(A:A,[2]Свод!$A:$B,2,0))</f>
        <v>6.3000000000000007</v>
      </c>
    </row>
    <row r="32" ht="27" customHeight="1" s="181">
      <c r="A32" t="str">
        <f>CONCATENATE($B$31,"_",D32)</f>
        <v>Top Affluent_Гипотезы и инициативы</v>
      </c>
      <c r="B32" s="386" t="n"/>
      <c r="D32" s="98" t="inlineStr">
        <is>
          <t>Гипотезы и инициативы</t>
        </is>
      </c>
      <c r="E32" s="107" t="inlineStr">
        <is>
          <t>Сфокусировать бэклог аналитиков на research-задачи:
правильно формировать задачи</t>
        </is>
      </c>
      <c r="G32" s="98" t="n">
        <v>2.1</v>
      </c>
      <c r="I32" s="98" t="inlineStr">
        <is>
          <t>Продукт/Сегмент</t>
        </is>
      </c>
      <c r="J32" s="94" t="n"/>
      <c r="K32" s="352" t="n"/>
      <c r="L32" s="94" t="n"/>
      <c r="M32" s="70">
        <f>IF(A32="","",VLOOKUP(A:A,[2]Свод!$A:$B,2,0))</f>
        <v>10.5</v>
      </c>
    </row>
    <row r="33" ht="27" customHeight="1" s="181">
      <c r="A33" t="str">
        <f>CONCATENATE($B$31,"_",D33)</f>
        <v>Top Affluent_Знание ключевых метрик</v>
      </c>
      <c r="B33" s="386" t="n"/>
      <c r="D33" s="98" t="inlineStr">
        <is>
          <t>Знание ключевых метрик</t>
        </is>
      </c>
      <c r="E33" s="107" t="inlineStr">
        <is>
          <t>Необходимо улучшить знание своих метрики</t>
        </is>
      </c>
      <c r="G33" s="98" t="n">
        <v>0.5</v>
      </c>
      <c r="I33" s="98" t="inlineStr">
        <is>
          <t>Продукт/Сегмент</t>
        </is>
      </c>
      <c r="J33" s="94" t="n"/>
      <c r="K33" s="352" t="n"/>
      <c r="L33" s="94" t="n"/>
      <c r="M33" s="70">
        <f>IF(A33="","",VLOOKUP(A:A,[2]Свод!$A:$B,2,0))</f>
        <v>0.5</v>
      </c>
    </row>
    <row r="34" ht="27.75" customHeight="1" s="181" thickBot="1">
      <c r="A34" t="str">
        <f>CONCATENATE($B$31,"_",D34)</f>
        <v>Top Affluent_Воронка привлечения</v>
      </c>
      <c r="B34" s="387" t="n"/>
      <c r="C34" s="95" t="n"/>
      <c r="D34" s="99" t="inlineStr">
        <is>
          <t>Воронка привлечения</t>
        </is>
      </c>
      <c r="E34" s="112" t="inlineStr">
        <is>
          <t>Обогатить метриками мониторинг по воронке привлечения</t>
        </is>
      </c>
      <c r="F34" s="95" t="n"/>
      <c r="G34" s="99" t="n">
        <v>1.1000000000000001</v>
      </c>
      <c r="H34" s="95" t="n"/>
      <c r="I34" s="99" t="inlineStr">
        <is>
          <t>Штаб CX</t>
        </is>
      </c>
      <c r="J34" s="96" t="n"/>
      <c r="K34" s="355" t="n"/>
      <c r="L34" s="96" t="n"/>
      <c r="M34" s="70">
        <f>IF(A34="","",VLOOKUP(A:A,[2]Свод!$A:$B,2,0))</f>
        <v>3.2</v>
      </c>
    </row>
    <row r="35">
      <c r="D35" s="98" t="n"/>
      <c r="I35" s="98" t="n"/>
      <c r="K35" s="113" t="n">
        <v>0.57999999999999996</v>
      </c>
      <c r="L35" s="113">
        <f>AVERAGE(L2:L34)-AVERAGE(K2:K34)+K35</f>
        <v>0.71249999999999991</v>
      </c>
    </row>
    <row r="36">
      <c r="D36" s="101" t="n"/>
    </row>
    <row r="38"/>
  </sheetData>
  <autoFilter ref="B1:J34"/>
  <mergeCells count="25">
    <mergeCell ref="B31:B34"/>
    <mergeCell ref="K21:K24"/>
    <mergeCell ref="L25:L27"/>
    <mergeCell ref="B21:B24"/>
    <mergeCell ref="B6:B10"/>
    <mergeCell ref="B2:B5"/>
    <mergeCell ref="L6:L10"/>
    <mergeCell ref="K28:K30"/>
    <mergeCell ref="B17:B20"/>
    <mergeCell ref="K31:K34"/>
    <mergeCell ref="B11:B16"/>
    <mergeCell ref="K25:K27"/>
    <mergeCell ref="K11:K16"/>
    <mergeCell ref="B25:B27"/>
    <mergeCell ref="K2:K5"/>
    <mergeCell ref="K6:K10"/>
    <mergeCell ref="J26:J27"/>
    <mergeCell ref="K17:K20"/>
    <mergeCell ref="L31:L34"/>
    <mergeCell ref="L28:L30"/>
    <mergeCell ref="L21:L24"/>
    <mergeCell ref="L17:L20"/>
    <mergeCell ref="L2:L5"/>
    <mergeCell ref="L11:L16"/>
    <mergeCell ref="B28:B30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3"/>
  <sheetViews>
    <sheetView workbookViewId="0">
      <selection activeCell="B3" sqref="B3"/>
    </sheetView>
  </sheetViews>
  <sheetFormatPr baseColWidth="8" defaultRowHeight="15.75"/>
  <cols>
    <col width="4.5" customWidth="1" style="181" min="1" max="1"/>
    <col width="13.25" customWidth="1" style="181" min="3" max="3"/>
    <col width="16" customWidth="1" style="181" min="4" max="4"/>
    <col width="40.625" customWidth="1" style="181" min="5" max="5"/>
    <col width="15.375" customWidth="1" style="181" min="6" max="6"/>
    <col width="19.625" customWidth="1" style="181" min="7" max="7"/>
    <col width="20.875" customWidth="1" style="181" min="9" max="9"/>
    <col width="28.625" customWidth="1" style="181" min="10" max="10"/>
  </cols>
  <sheetData>
    <row r="1" ht="27" customHeight="1" s="181">
      <c r="B1" s="3" t="inlineStr">
        <is>
          <t>Продукт</t>
        </is>
      </c>
      <c r="C1" s="3" t="inlineStr">
        <is>
          <t>Квартал</t>
        </is>
      </c>
      <c r="D1" s="3" t="inlineStr">
        <is>
          <t>Блок для развития</t>
        </is>
      </c>
      <c r="E1" s="3" t="inlineStr">
        <is>
          <t>Планируемое мероприятие</t>
        </is>
      </c>
      <c r="F1" s="3" t="inlineStr">
        <is>
          <t>Срок исполнения</t>
        </is>
      </c>
      <c r="G1" s="5" t="inlineStr">
        <is>
          <t>Ожидание прироста индекса DD, п.п.</t>
        </is>
      </c>
      <c r="H1" s="3" t="inlineStr">
        <is>
          <t>Статус</t>
        </is>
      </c>
      <c r="I1" s="3" t="inlineStr">
        <is>
          <t>Контактное лицо (ФИО)</t>
        </is>
      </c>
      <c r="J1" s="9" t="inlineStr">
        <is>
          <t>Верификация мероприятий Штабом B2C</t>
        </is>
      </c>
    </row>
    <row r="3">
      <c r="B3" s="135" t="inlineStr">
        <is>
          <t>Средний DD-индекс 74% - Зрелые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zoomScale="93" zoomScaleNormal="93" workbookViewId="0">
      <selection activeCell="K1" sqref="K1:L1"/>
    </sheetView>
  </sheetViews>
  <sheetFormatPr baseColWidth="8" defaultRowHeight="15.75"/>
  <cols>
    <col width="4.5" customWidth="1" style="181" min="1" max="1"/>
    <col width="20.125" customWidth="1" style="181" min="2" max="2"/>
    <col width="13.25" customWidth="1" style="181" min="3" max="3"/>
    <col width="14.5" customWidth="1" style="181" min="4" max="4"/>
    <col width="43.125" customWidth="1" style="181" min="5" max="5"/>
    <col width="13.875" customWidth="1" style="181" min="6" max="6"/>
    <col width="19.625" customWidth="1" style="181" min="7" max="7"/>
    <col width="19.75" customWidth="1" style="181" min="9" max="9"/>
    <col width="27.25" customWidth="1" style="181" min="10" max="10"/>
    <col width="11.875" customWidth="1" style="181" min="11" max="11"/>
    <col width="12.125" customWidth="1" style="181" min="12" max="12"/>
  </cols>
  <sheetData>
    <row r="1" ht="27.75" customHeight="1" s="181" thickBot="1">
      <c r="B1" s="46" t="inlineStr">
        <is>
          <t>Продукт</t>
        </is>
      </c>
      <c r="C1" s="46" t="inlineStr">
        <is>
          <t>Квартал</t>
        </is>
      </c>
      <c r="D1" s="46" t="inlineStr">
        <is>
          <t>Блок для развития</t>
        </is>
      </c>
      <c r="E1" s="46" t="inlineStr">
        <is>
          <t>Планируемое мероприятие</t>
        </is>
      </c>
      <c r="F1" s="46" t="inlineStr">
        <is>
          <t>Срок исполнения</t>
        </is>
      </c>
      <c r="G1" s="47" t="inlineStr">
        <is>
          <t>Ожидание прироста индекса DD, п.п.</t>
        </is>
      </c>
      <c r="H1" s="46" t="inlineStr">
        <is>
          <t>Статус</t>
        </is>
      </c>
      <c r="I1" s="46" t="inlineStr">
        <is>
          <t>Контактное лицо (ФИО)</t>
        </is>
      </c>
      <c r="J1" s="47" t="inlineStr">
        <is>
          <t>Верификация мероприятий Штабом B2C</t>
        </is>
      </c>
      <c r="K1" s="67" t="inlineStr">
        <is>
          <t>Текущий индекс DD</t>
        </is>
      </c>
      <c r="L1" s="67" t="inlineStr">
        <is>
          <t>Прогноз индекса DD</t>
        </is>
      </c>
      <c r="M1" s="157" t="inlineStr">
        <is>
          <t>Аплифт</t>
        </is>
      </c>
    </row>
    <row r="2" ht="27" customHeight="1" s="181">
      <c r="A2" t="str">
        <f>CONCATENATE($B$2,"_",D2)</f>
        <v>СберKids_Цели</v>
      </c>
      <c r="B2" s="391" t="inlineStr">
        <is>
          <t>СберKids</t>
        </is>
      </c>
      <c r="C2" s="123" t="inlineStr">
        <is>
          <t>Q3</t>
        </is>
      </c>
      <c r="D2" s="123" t="inlineStr">
        <is>
          <t>Цели</t>
        </is>
      </c>
      <c r="E2" s="123" t="inlineStr">
        <is>
          <t>Вывести в Навигатор факторный анализ драйверов 1-2 ур. и прогноз</t>
        </is>
      </c>
      <c r="F2" s="137" t="n">
        <v>46295</v>
      </c>
      <c r="G2" s="125" t="n">
        <v>7</v>
      </c>
      <c r="H2" s="126" t="n"/>
      <c r="I2" s="123" t="inlineStr">
        <is>
          <t>Пашковская Анна</t>
        </is>
      </c>
      <c r="J2" s="127" t="n"/>
      <c r="K2" s="392" t="n">
        <v>0.57999999999999996</v>
      </c>
      <c r="L2" s="393">
        <f>K2+SUM(G2:G3)/100</f>
        <v>0.72199999999999998</v>
      </c>
      <c r="M2" s="70">
        <f>IF(A2="","",VLOOKUP(A:A,[2]Свод!$A:$B,2,0))</f>
        <v>7</v>
      </c>
    </row>
    <row r="3" ht="27.75" customHeight="1" s="181" thickBot="1">
      <c r="A3" t="str">
        <f>CONCATENATE($B$2,"_",D3)</f>
        <v>СберKids_Механики</v>
      </c>
      <c r="B3" s="394" t="n"/>
      <c r="C3" s="128" t="inlineStr">
        <is>
          <t>Q4</t>
        </is>
      </c>
      <c r="D3" s="128" t="inlineStr">
        <is>
          <t>Механики</t>
        </is>
      </c>
      <c r="E3" s="128" t="inlineStr">
        <is>
          <t>Настроить механики реактивации и удержания оттекающих клиентов</t>
        </is>
      </c>
      <c r="F3" s="138" t="n">
        <v>46387</v>
      </c>
      <c r="G3" s="130" t="n">
        <v>7.2</v>
      </c>
      <c r="H3" s="131" t="n"/>
      <c r="I3" s="131" t="n"/>
      <c r="J3" s="132" t="n"/>
      <c r="K3" s="394" t="n"/>
      <c r="L3" s="395" t="n"/>
      <c r="M3" s="70">
        <f>IF(A3="","",VLOOKUP(A:A,[2]Свод!$A:$B,2,0))</f>
        <v>7.2</v>
      </c>
    </row>
    <row r="4" ht="40.5" customHeight="1" s="181">
      <c r="A4" t="str">
        <f>CONCATENATE($B$4,"_",D4)</f>
        <v>СберИнвестор_Цели</v>
      </c>
      <c r="B4" s="391" t="inlineStr">
        <is>
          <t>СберИнвестор</t>
        </is>
      </c>
      <c r="C4" s="123" t="inlineStr">
        <is>
          <t>Q3</t>
        </is>
      </c>
      <c r="D4" s="123" t="inlineStr">
        <is>
          <t>Цели</t>
        </is>
      </c>
      <c r="E4" s="123" t="inlineStr">
        <is>
          <t>Декомпозировать значения целей на драйверы, сформировать прогнозные значения, вывести в Навигатор</t>
        </is>
      </c>
      <c r="F4" s="124" t="n">
        <v>46295</v>
      </c>
      <c r="G4" s="125" t="n">
        <v>10.5</v>
      </c>
      <c r="H4" s="126" t="n"/>
      <c r="I4" s="126" t="n"/>
      <c r="J4" s="127" t="n"/>
      <c r="K4" s="392" t="n">
        <v>0.46</v>
      </c>
      <c r="L4" s="393">
        <f>K4+SUM(G4:G6)/100</f>
        <v>0.63600000000000001</v>
      </c>
      <c r="M4" s="70">
        <f>IF(A4="","",VLOOKUP(A:A,[2]Свод!$A:$B,2,0))</f>
        <v>10.5</v>
      </c>
    </row>
    <row r="5">
      <c r="A5" t="str">
        <f>CONCATENATE($B$4,"_",D5)</f>
        <v>СберИнвестор_Механики</v>
      </c>
      <c r="B5" s="353" t="n"/>
      <c r="C5" s="1" t="inlineStr">
        <is>
          <t>Q3</t>
        </is>
      </c>
      <c r="D5" s="1" t="inlineStr">
        <is>
          <t>Механики</t>
        </is>
      </c>
      <c r="E5" s="1" t="inlineStr">
        <is>
          <t>Проработать механики реактивации клиентов</t>
        </is>
      </c>
      <c r="F5" s="122" t="n">
        <v>46295</v>
      </c>
      <c r="G5" s="2" t="n">
        <v>1.8</v>
      </c>
      <c r="J5" s="133" t="n"/>
      <c r="K5" s="353" t="n"/>
      <c r="L5" s="354" t="n"/>
      <c r="M5" s="70">
        <f>IF(A5="","",VLOOKUP(A:A,[2]Свод!$A:$B,2,0))</f>
        <v>7.1</v>
      </c>
    </row>
    <row r="6" ht="41.25" customHeight="1" s="181" thickBot="1">
      <c r="A6" t="str">
        <f>CONCATENATE($B$4,"_",D6)</f>
        <v>СберИнвестор_Воронка оттока</v>
      </c>
      <c r="B6" s="394" t="n"/>
      <c r="C6" s="128" t="inlineStr">
        <is>
          <t>Q3</t>
        </is>
      </c>
      <c r="D6" s="128" t="inlineStr">
        <is>
          <t>Воронка оттока</t>
        </is>
      </c>
      <c r="E6" s="128" t="inlineStr">
        <is>
          <t>Провести анализ оттока, выявить точки роста. Сформировать перечень мероприятий по снижению оттока</t>
        </is>
      </c>
      <c r="F6" s="129" t="n">
        <v>46295</v>
      </c>
      <c r="G6" s="130" t="n">
        <v>5.3</v>
      </c>
      <c r="H6" s="131" t="n"/>
      <c r="I6" s="131" t="n"/>
      <c r="J6" s="132" t="n"/>
      <c r="K6" s="394" t="n"/>
      <c r="L6" s="395" t="n"/>
      <c r="M6" s="70">
        <f>IF(A6="","",VLOOKUP(A:A,[2]Свод!$A:$B,2,0))</f>
        <v>8</v>
      </c>
    </row>
    <row r="7" ht="27" customHeight="1" s="181">
      <c r="A7" t="str">
        <f>CONCATENATE($B$7,"_",D7)</f>
        <v>Уведомления_Механики</v>
      </c>
      <c r="B7" s="391" t="inlineStr">
        <is>
          <t>Уведомления</t>
        </is>
      </c>
      <c r="C7" s="123" t="inlineStr">
        <is>
          <t>Q3</t>
        </is>
      </c>
      <c r="D7" s="123" t="inlineStr">
        <is>
          <t>Механики</t>
        </is>
      </c>
      <c r="E7" s="1" t="inlineStr">
        <is>
          <t>Проработать механики реактивации и удержания клиентов</t>
        </is>
      </c>
      <c r="F7" s="124" t="n">
        <v>46295</v>
      </c>
      <c r="G7" s="125" t="n">
        <v>5.5</v>
      </c>
      <c r="H7" s="126" t="n"/>
      <c r="I7" s="126" t="n"/>
      <c r="J7" s="127" t="n"/>
      <c r="K7" s="392" t="n">
        <v>0.53</v>
      </c>
      <c r="L7" s="393">
        <f>K7+SUM(G7:G8)/100</f>
        <v>0.622</v>
      </c>
      <c r="M7" s="70">
        <f>IF(A7="","",VLOOKUP(A:A,[2]Свод!$A:$B,2,0))</f>
        <v>7.3</v>
      </c>
    </row>
    <row r="8" ht="27.75" customHeight="1" s="181" thickBot="1">
      <c r="A8" t="str">
        <f>CONCATENATE($B$7,"_",D8)</f>
        <v>Уведомления_Гипотезы и инициативы</v>
      </c>
      <c r="B8" s="394" t="n"/>
      <c r="C8" s="128" t="inlineStr">
        <is>
          <t>Q3</t>
        </is>
      </c>
      <c r="D8" s="128" t="inlineStr">
        <is>
          <t>Гипотезы и инициативы</t>
        </is>
      </c>
      <c r="E8" s="128" t="inlineStr">
        <is>
          <t>Повысить качество проведенных исседований</t>
        </is>
      </c>
      <c r="F8" s="129" t="n">
        <v>46295</v>
      </c>
      <c r="G8" s="130" t="n">
        <v>3.7</v>
      </c>
      <c r="H8" s="131" t="n"/>
      <c r="I8" s="131" t="n"/>
      <c r="J8" s="132" t="n"/>
      <c r="K8" s="394" t="n"/>
      <c r="L8" s="395" t="n"/>
      <c r="M8" s="70">
        <f>IF(A8="","",VLOOKUP(A:A,[2]Свод!$A:$B,2,0))</f>
        <v>7.4</v>
      </c>
    </row>
    <row r="10">
      <c r="G10" s="158" t="n"/>
    </row>
    <row r="11">
      <c r="G11" s="158" t="n"/>
    </row>
    <row r="12">
      <c r="G12" s="158" t="n"/>
    </row>
    <row r="13">
      <c r="G13" s="158" t="n"/>
    </row>
  </sheetData>
  <mergeCells count="9">
    <mergeCell ref="K4:K6"/>
    <mergeCell ref="L4:L6"/>
    <mergeCell ref="B4:B6"/>
    <mergeCell ref="B7:B8"/>
    <mergeCell ref="K7:K8"/>
    <mergeCell ref="B2:B3"/>
    <mergeCell ref="L7:L8"/>
    <mergeCell ref="K2:K3"/>
    <mergeCell ref="L2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zoomScale="89" zoomScaleNormal="89" workbookViewId="0">
      <selection activeCell="G6" sqref="G6"/>
    </sheetView>
  </sheetViews>
  <sheetFormatPr baseColWidth="8" defaultRowHeight="15.75"/>
  <cols>
    <col width="3.875" customWidth="1" style="181" min="1" max="1"/>
    <col width="13.75" customWidth="1" style="181" min="2" max="2"/>
    <col width="13.25" customWidth="1" style="181" min="3" max="3"/>
    <col width="16" customWidth="1" style="181" min="4" max="4"/>
    <col width="37.875" customWidth="1" style="181" min="5" max="5"/>
    <col width="15.375" customWidth="1" style="181" min="6" max="6"/>
    <col width="19.625" customWidth="1" style="181" min="7" max="7"/>
    <col width="20.875" customWidth="1" style="181" min="9" max="9"/>
    <col width="28.625" customWidth="1" style="181" min="10" max="10"/>
    <col width="10.25" customWidth="1" style="181" min="11" max="11"/>
    <col width="15" customWidth="1" style="181" min="12" max="12"/>
  </cols>
  <sheetData>
    <row r="1" ht="40.5" customHeight="1" s="181">
      <c r="B1" s="3" t="inlineStr">
        <is>
          <t>Продукт / Канал</t>
        </is>
      </c>
      <c r="C1" s="3" t="inlineStr">
        <is>
          <t>Квартал</t>
        </is>
      </c>
      <c r="D1" s="3" t="inlineStr">
        <is>
          <t>Блок для развития</t>
        </is>
      </c>
      <c r="E1" s="3" t="inlineStr">
        <is>
          <t>Планируемое мероприятие</t>
        </is>
      </c>
      <c r="F1" s="3" t="inlineStr">
        <is>
          <t>Срок исполнения</t>
        </is>
      </c>
      <c r="G1" s="5" t="inlineStr">
        <is>
          <t>Ожидание прироста индекса DD, п.п.</t>
        </is>
      </c>
      <c r="H1" s="3" t="inlineStr">
        <is>
          <t>Статус</t>
        </is>
      </c>
      <c r="I1" s="3" t="inlineStr">
        <is>
          <t>Контактное лицо (ФИО)</t>
        </is>
      </c>
      <c r="J1" s="3" t="inlineStr">
        <is>
          <t>Верификация мероприятий Штабом B2C</t>
        </is>
      </c>
      <c r="K1" s="3" t="inlineStr">
        <is>
          <t>DD индекс 2 кв. 2026</t>
        </is>
      </c>
      <c r="L1" s="3" t="inlineStr">
        <is>
          <t>Прогноз DD индекс 3 кв. 2026</t>
        </is>
      </c>
      <c r="M1" s="157" t="inlineStr">
        <is>
          <t>Аплифт</t>
        </is>
      </c>
    </row>
    <row r="2">
      <c r="B2" s="116" t="inlineStr">
        <is>
          <t>Колл-центр</t>
        </is>
      </c>
      <c r="K2" s="117" t="n">
        <v>0.9</v>
      </c>
    </row>
    <row r="3" ht="18.75" customHeight="1" s="181">
      <c r="B3" s="116" t="inlineStr">
        <is>
          <t>Телемаркетинг</t>
        </is>
      </c>
      <c r="K3" s="117" t="n">
        <v>0.84</v>
      </c>
    </row>
    <row r="4">
      <c r="B4" s="116" t="inlineStr">
        <is>
          <t>Чат</t>
        </is>
      </c>
      <c r="K4" s="121" t="n">
        <v>0.72</v>
      </c>
    </row>
    <row r="5" ht="27" customHeight="1" s="181">
      <c r="A5" t="str">
        <f>CONCATENATE($B$5,"_",D5)</f>
        <v>Выписки, справки_Воронка привлечения</v>
      </c>
      <c r="B5" s="293" t="inlineStr">
        <is>
          <t>Выписки, справки</t>
        </is>
      </c>
      <c r="D5" s="118" t="inlineStr">
        <is>
          <t>Воронка привлечения</t>
        </is>
      </c>
      <c r="E5" s="118" t="inlineStr">
        <is>
          <t>Настроить отчетность, чтобы построить воронку оформления</t>
        </is>
      </c>
      <c r="G5" s="120" t="n">
        <v>6.2</v>
      </c>
      <c r="K5" s="295" t="n">
        <v>0.54</v>
      </c>
      <c r="L5" s="295">
        <f>K5+SUM(G5:G7)/100</f>
        <v>0.69400000000000006</v>
      </c>
      <c r="M5" s="70">
        <f>IF(A5="","",VLOOKUP(A:A,[2]Свод!$A:$B,2,0))</f>
        <v>21.5</v>
      </c>
    </row>
    <row r="6" ht="33" customHeight="1" s="181">
      <c r="A6" t="str">
        <f>CONCATENATE($B$5,"_",D6)</f>
        <v>Выписки, справки_Воронка оттока</v>
      </c>
      <c r="D6" s="118" t="inlineStr">
        <is>
          <t>Воронка оттока</t>
        </is>
      </c>
      <c r="E6" s="119" t="inlineStr">
        <is>
          <t>Наличие бенчмарков - удалить из расчета в 3 кв., т.к. неприменимо</t>
        </is>
      </c>
      <c r="G6" s="120" t="n">
        <v>3.1</v>
      </c>
      <c r="M6" s="70">
        <f>IF(A6="","",VLOOKUP(A:A,[2]Свод!$A:$B,2,0))</f>
        <v>3.1</v>
      </c>
    </row>
    <row r="7" ht="40.5" customHeight="1" s="181">
      <c r="A7" t="str">
        <f>CONCATENATE($B$5,"_",D7)</f>
        <v>Выписки, справки_Гипотезы и инициативы</v>
      </c>
      <c r="D7" s="118" t="inlineStr">
        <is>
          <t>Гипотезы и инициативы</t>
        </is>
      </c>
      <c r="E7" s="118" t="inlineStr">
        <is>
          <t>Доля исследовательских задач &gt;=40%. Введение ролевой модели и калькулятора достаточности ресурса DA</t>
        </is>
      </c>
      <c r="G7" s="120" t="n">
        <v>6.1</v>
      </c>
      <c r="M7" s="70">
        <f>IF(A7="","",VLOOKUP(A:A,[2]Свод!$A:$B,2,0))</f>
        <v>12.2</v>
      </c>
    </row>
  </sheetData>
  <mergeCells count="3">
    <mergeCell ref="L5:L7"/>
    <mergeCell ref="B5:B7"/>
    <mergeCell ref="K5:K7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5"/>
  <sheetViews>
    <sheetView zoomScale="82" zoomScaleNormal="82" workbookViewId="0">
      <selection activeCell="M3" sqref="M3"/>
    </sheetView>
  </sheetViews>
  <sheetFormatPr baseColWidth="8" defaultRowHeight="15.75"/>
  <cols>
    <col width="4.5" customWidth="1" style="181" min="1" max="1"/>
    <col width="10.375" customWidth="1" style="181" min="2" max="2"/>
    <col width="13.25" customWidth="1" style="181" min="3" max="3"/>
    <col width="16" customWidth="1" style="181" min="4" max="4"/>
    <col width="40.625" customWidth="1" style="181" min="5" max="5"/>
    <col width="15.375" customWidth="1" style="181" min="6" max="6"/>
    <col width="19.625" customWidth="1" style="181" min="7" max="7"/>
    <col width="20.875" customWidth="1" style="181" min="9" max="9"/>
    <col width="28.625" customWidth="1" style="181" min="10" max="10"/>
    <col width="10.375" customWidth="1" style="181" min="11" max="11"/>
    <col width="12.125" customWidth="1" style="181" min="12" max="12"/>
  </cols>
  <sheetData>
    <row r="1" ht="40.5" customHeight="1" s="181">
      <c r="B1" s="3" t="inlineStr">
        <is>
          <t>Продукт</t>
        </is>
      </c>
      <c r="C1" s="3" t="inlineStr">
        <is>
          <t>Квартал</t>
        </is>
      </c>
      <c r="D1" s="3" t="inlineStr">
        <is>
          <t>Блок для развития</t>
        </is>
      </c>
      <c r="E1" s="3" t="inlineStr">
        <is>
          <t>Планируемое мероприятие</t>
        </is>
      </c>
      <c r="F1" s="3" t="inlineStr">
        <is>
          <t>Срок исполнения</t>
        </is>
      </c>
      <c r="G1" s="5" t="inlineStr">
        <is>
          <t>Ожидание прироста индекса DD, п.п.</t>
        </is>
      </c>
      <c r="H1" s="3" t="inlineStr">
        <is>
          <t>Статус</t>
        </is>
      </c>
      <c r="I1" s="3" t="inlineStr">
        <is>
          <t>Контактное лицо (ФИО)</t>
        </is>
      </c>
      <c r="J1" s="3" t="inlineStr">
        <is>
          <t>Верификация мероприятий Штабом B2C</t>
        </is>
      </c>
      <c r="K1" s="9" t="inlineStr">
        <is>
          <t>DD индекс 2 кв. 2026</t>
        </is>
      </c>
      <c r="L1" s="9" t="inlineStr">
        <is>
          <t>Прогноз DD индекс 3 кв. 2026</t>
        </is>
      </c>
      <c r="M1" s="157" t="inlineStr">
        <is>
          <t>Аплифт</t>
        </is>
      </c>
    </row>
    <row r="2" ht="64.5" customHeight="1" s="181">
      <c r="B2" s="1" t="inlineStr">
        <is>
          <t>Сделка вторичка,
Загородка</t>
        </is>
      </c>
      <c r="C2" s="1" t="inlineStr">
        <is>
          <t>3Q2026</t>
        </is>
      </c>
      <c r="D2" s="98" t="inlineStr">
        <is>
          <t>Алерты</t>
        </is>
      </c>
      <c r="E2" s="98" t="inlineStr">
        <is>
          <t>Внедрение «дерева метрик» в разрезе по дивизионам (в тч загородка) позволит проработать отклонение в «Алертах по системным сбоям»</t>
        </is>
      </c>
      <c r="G2" s="6" t="n">
        <v>5.7</v>
      </c>
      <c r="K2" s="115" t="n">
        <v>0.74</v>
      </c>
      <c r="L2" s="115">
        <f>K2+G2/100</f>
        <v>0.79700000000000004</v>
      </c>
      <c r="M2" s="70" t="n">
        <v>5.7</v>
      </c>
    </row>
    <row r="3" ht="60.75" customHeight="1" s="181">
      <c r="B3" s="1" t="inlineStr">
        <is>
          <t>Сделка ИЖС, Загородка</t>
        </is>
      </c>
      <c r="C3" s="1" t="inlineStr">
        <is>
          <t>3Q2026</t>
        </is>
      </c>
      <c r="D3" s="98" t="inlineStr">
        <is>
          <t>Воронка оттока</t>
        </is>
      </c>
      <c r="E3" s="98" t="inlineStr">
        <is>
          <t>Внедрение «дерева метрик» в разрезе по дивизионам (в тч загородка) позволит прорабоотать отклонение в «Анализе воронки оттока»</t>
        </is>
      </c>
      <c r="G3" s="6" t="n">
        <v>8</v>
      </c>
      <c r="K3" s="296" t="n">
        <v>0.53</v>
      </c>
      <c r="L3" s="296">
        <f>K3+SUM(G3:G5)/100</f>
        <v>0.67</v>
      </c>
      <c r="M3" s="70" t="n">
        <v>12</v>
      </c>
    </row>
    <row r="4" ht="85.5" customHeight="1" s="181">
      <c r="B4" s="330" t="n"/>
      <c r="C4" s="1" t="inlineStr">
        <is>
          <t>3Q2026</t>
        </is>
      </c>
      <c r="D4" s="98" t="inlineStr">
        <is>
          <t>Гипотезы и инициативы</t>
        </is>
      </c>
      <c r="E4" s="114" t="inlineStr">
        <is>
          <t>Доля задач DA, связанных с исследованиями (Discovery) ≥40% бэклога: 
Конвертация существующих задач на выгрузку в исследовательские через интервью заказчика, выявление истинной потребности</t>
        </is>
      </c>
      <c r="G4" s="6" t="n">
        <v>2</v>
      </c>
      <c r="K4" s="330" t="n"/>
      <c r="L4" s="330" t="n"/>
      <c r="M4" s="70" t="n">
        <v>6</v>
      </c>
    </row>
    <row r="5" ht="88.5" customHeight="1" s="181">
      <c r="B5" s="332" t="n"/>
      <c r="C5" s="1" t="inlineStr">
        <is>
          <t>3Q2026</t>
        </is>
      </c>
      <c r="D5" s="98" t="inlineStr">
        <is>
          <t>Воронка привлечения</t>
        </is>
      </c>
      <c r="E5" s="98" t="inlineStr">
        <is>
          <t>Запуск пилота акции лояльности в неипотеке, даем скидки партнеру на ипотечные сделки за неипотеку для увеличению партнерской базы.
На регулярной основе CRM рассылки, продуктовые акции на пути клиента (например, Регистрация и Расчеты за 490р)</t>
        </is>
      </c>
      <c r="G5" s="136" t="n">
        <v>4</v>
      </c>
      <c r="K5" s="330" t="n"/>
      <c r="L5" s="330" t="n"/>
      <c r="M5" s="70" t="n">
        <v>6</v>
      </c>
    </row>
  </sheetData>
  <mergeCells count="3">
    <mergeCell ref="K3:K5"/>
    <mergeCell ref="B3:B5"/>
    <mergeCell ref="L3:L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Рычкова Ирина Юрьевна</dc:creator>
  <dcterms:created xsi:type="dcterms:W3CDTF">2026-08-11T08:03:36Z</dcterms:created>
  <dcterms:modified xsi:type="dcterms:W3CDTF">2026-09-09T14:01:42Z</dcterms:modified>
  <cp:lastModifiedBy>Рычкова Ирина Юрьевна</cp:lastModifiedBy>
</cp:coreProperties>
</file>