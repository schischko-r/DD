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/>
  <mc:AlternateContent xmlns:mc="http://schemas.openxmlformats.org/markup-compatibility/2006">
    <mc:Choice Requires="x15">
      <x15ac:absPath xmlns:x15ac="http://schemas.microsoft.com/office/spreadsheetml/2010/11/ac" url="/Users/21090527/Documents/"/>
    </mc:Choice>
  </mc:AlternateContent>
  <xr:revisionPtr revIDLastSave="0" documentId="8_{F838668A-13C7-B94E-8E79-7666266D0CB9}" xr6:coauthVersionLast="47" xr6:coauthVersionMax="47" xr10:uidLastSave="{00000000-0000-0000-0000-000000000000}"/>
  <bookViews>
    <workbookView xWindow="0" yWindow="660" windowWidth="29400" windowHeight="18460" activeTab="7" xr2:uid="{00000000-000D-0000-FFFF-FFFF00000000}"/>
  </bookViews>
  <sheets>
    <sheet name="УБ" sheetId="10" r:id="rId1"/>
    <sheet name="DB" sheetId="6" r:id="rId2"/>
    <sheet name="СВР" sheetId="2" r:id="rId3"/>
    <sheet name="CX" sheetId="11" r:id="rId4"/>
    <sheet name="Data" sheetId="5" r:id="rId5"/>
    <sheet name="DP" sheetId="7" r:id="rId6"/>
    <sheet name="PC" sheetId="8" r:id="rId7"/>
    <sheet name="ДомКлик" sheetId="9" r:id="rId8"/>
  </sheets>
  <definedNames>
    <definedName name="_xlnm._FilterDatabase" localSheetId="0" hidden="1">УБ!$B$1:$H$313</definedName>
    <definedName name="_xlnm._FilterDatabase" localSheetId="3" hidden="1">CX!$B$1:$H$34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8" i="10" l="1"/>
  <c r="F338" i="10" s="1"/>
  <c r="E337" i="10"/>
  <c r="F337" i="10" s="1"/>
  <c r="E336" i="10"/>
  <c r="F336" i="10" s="1"/>
  <c r="E335" i="10"/>
  <c r="F335" i="10" s="1"/>
  <c r="E334" i="10"/>
  <c r="F334" i="10" s="1"/>
  <c r="E333" i="10"/>
  <c r="F333" i="10" s="1"/>
  <c r="E332" i="10"/>
  <c r="F332" i="10" s="1"/>
  <c r="E331" i="10"/>
  <c r="F331" i="10" s="1"/>
  <c r="E330" i="10"/>
  <c r="F330" i="10" s="1"/>
  <c r="E329" i="10"/>
  <c r="F329" i="10" s="1"/>
  <c r="E328" i="10"/>
  <c r="F328" i="10" s="1"/>
  <c r="E327" i="10"/>
  <c r="F327" i="10" s="1"/>
  <c r="E326" i="10"/>
  <c r="F326" i="10" s="1"/>
  <c r="E325" i="10"/>
  <c r="F325" i="10" s="1"/>
  <c r="E324" i="10"/>
  <c r="F324" i="10" s="1"/>
  <c r="E323" i="10"/>
  <c r="F323" i="10" s="1"/>
  <c r="E322" i="10"/>
  <c r="F322" i="10" s="1"/>
  <c r="E321" i="10"/>
  <c r="F321" i="10" s="1"/>
  <c r="E320" i="10"/>
  <c r="F320" i="10" s="1"/>
  <c r="E319" i="10"/>
  <c r="F319" i="10" s="1"/>
  <c r="E318" i="10"/>
  <c r="F318" i="10" s="1"/>
  <c r="G20" i="6" l="1"/>
</calcChain>
</file>

<file path=xl/sharedStrings.xml><?xml version="1.0" encoding="utf-8"?>
<sst xmlns="http://schemas.openxmlformats.org/spreadsheetml/2006/main" count="1110" uniqueCount="342">
  <si>
    <t>Продукт</t>
  </si>
  <si>
    <t>Квартал</t>
  </si>
  <si>
    <t>Блок для развития</t>
  </si>
  <si>
    <t>Планируемое мероприятие</t>
  </si>
  <si>
    <t>Срок исполнения</t>
  </si>
  <si>
    <t>Ожидание прироста индекса DD, п.п.</t>
  </si>
  <si>
    <t>Статус</t>
  </si>
  <si>
    <t>Контактное лицо (ФИО)</t>
  </si>
  <si>
    <t>СберСова</t>
  </si>
  <si>
    <t>3Q2026</t>
  </si>
  <si>
    <t>Цели</t>
  </si>
  <si>
    <t>Цели выведены в Навигатор</t>
  </si>
  <si>
    <t>Выполнен</t>
  </si>
  <si>
    <t>Цели декомпозированы на драйверы и выведены в Навигатор</t>
  </si>
  <si>
    <t>Сформированы прогнозные значения и выведены в Навигатор</t>
  </si>
  <si>
    <t>Знание ключевых метрик</t>
  </si>
  <si>
    <t>Проработано понимание доступной отчетности и регулярного мониторинга</t>
  </si>
  <si>
    <t>Воронка привлечения</t>
  </si>
  <si>
    <t>Настроена отчетность по воронке привлечения</t>
  </si>
  <si>
    <t>Отчетность по воронке привлечения обогащена метриками (полнота)</t>
  </si>
  <si>
    <t>Механики</t>
  </si>
  <si>
    <t>В работе</t>
  </si>
  <si>
    <t>Механики Cross-sell проработаны</t>
  </si>
  <si>
    <t>БПИФ</t>
  </si>
  <si>
    <t>4Q2026</t>
  </si>
  <si>
    <r>
      <rPr>
        <b/>
        <sz val="10.5"/>
        <color rgb="FF172B4D"/>
        <rFont val="Liberation Sans"/>
      </rPr>
      <t>Совместно со штабом</t>
    </r>
    <r>
      <rPr>
        <sz val="10.5"/>
        <color rgb="FF172B4D"/>
        <rFont val="Liberation Sans"/>
      </rPr>
      <t> обогатить целями в Навигаторе</t>
    </r>
  </si>
  <si>
    <t>Ожидание</t>
  </si>
  <si>
    <t>Воронка оттока</t>
  </si>
  <si>
    <t>Настроить мониторинг по воронке оттока</t>
  </si>
  <si>
    <t>Обогатить метриками мониторинг по воронке привлечения</t>
  </si>
  <si>
    <t>Провести анализ привлечения, выявить точки роста</t>
  </si>
  <si>
    <t>Сформировать бенчмарки по продуктовым метрикам</t>
  </si>
  <si>
    <t>Провести анализ оттока, выявить точки роста</t>
  </si>
  <si>
    <r>
      <rPr>
        <b/>
        <sz val="10.5"/>
        <color rgb="FF172B4D"/>
        <rFont val="Liberation Sans"/>
      </rPr>
      <t>Совместно со штабом</t>
    </r>
    <r>
      <rPr>
        <sz val="10.5"/>
        <color rgb="FF172B4D"/>
        <rFont val="Liberation Sans"/>
      </rPr>
      <t> декомпозировать значения целей на драйверы, вывести в Навигатор</t>
    </r>
  </si>
  <si>
    <r>
      <rPr>
        <b/>
        <sz val="10.5"/>
        <color rgb="FF172B4D"/>
        <rFont val="Liberation Sans"/>
      </rPr>
      <t>Совместно со штабом</t>
    </r>
    <r>
      <rPr>
        <sz val="10.5"/>
        <color rgb="FF172B4D"/>
        <rFont val="Liberation Sans"/>
      </rPr>
      <t> сформировать прогнозные значения, вывести в Навигатор</t>
    </r>
  </si>
  <si>
    <t>Брокерский счет</t>
  </si>
  <si>
    <t>Q32026</t>
  </si>
  <si>
    <t>Совместно со Штабом УБ проведена синхронизация отчетности и знаний продукта</t>
  </si>
  <si>
    <t>Совместно со Штабом УБ проведена синхронизация и вывод драйверов целей ЛТ/ЛЮ</t>
  </si>
  <si>
    <t>Гипотезы и инициативы</t>
  </si>
  <si>
    <t>Запустить A/B-тестирование открытия счета</t>
  </si>
  <si>
    <t>ВЗР</t>
  </si>
  <si>
    <t>Объем целевого рынка в России</t>
  </si>
  <si>
    <t>Проведение встречи после отправки ДК (до 14.08) для синхронизации и согласования логики расчетов</t>
  </si>
  <si>
    <t>Текущее значение в дешборде  0%</t>
  </si>
  <si>
    <t>Мероприятие: синхронизация по логике расчета</t>
  </si>
  <si>
    <t>Как считает продуктовая команда:</t>
  </si>
  <si>
    <t>Согласно оф.данным Росстата (https://rosstat.gov.ru/statistics/turizm)</t>
  </si>
  <si>
    <t> число выездных туристских поездок граждан России в зарубежные страны за 1q26 = 5,63 млн. Т.о в год : 5,63*4 = 22,5 млн. поездок. Это объем целевого рынка в России.</t>
  </si>
  <si>
    <t>Объем целевого рынка в Сбере</t>
  </si>
  <si>
    <t>Т.о.  объем целевого рынка в Сбере = 12,8 млн. поездок</t>
  </si>
  <si>
    <t>Клиенты  с продуктом</t>
  </si>
  <si>
    <t>Факт за период с янв.26 по июль 26 = 115 257 шт. ; план с авг.26 по дек.26 = 82 000 шт.; ИТОГО = 195 257</t>
  </si>
  <si>
    <t>MAU продукта</t>
  </si>
  <si>
    <t>Знание продуктов спутников</t>
  </si>
  <si>
    <t>Текущее значение в дешборде  50%.</t>
  </si>
  <si>
    <t>Мероприятие: совместно с штабом УБ синхронизировать логику, чтобы довести до 100%</t>
  </si>
  <si>
    <t>Знание об отчетности в Навигаторе</t>
  </si>
  <si>
    <t>Полнота отчета (Источники, CR, объемы, сегменты)</t>
  </si>
  <si>
    <t>Регулярность. Автоматически (daily / weekly) или по запросу</t>
  </si>
  <si>
    <t>Наличие бенчмарков. Цели / динамика / рынок</t>
  </si>
  <si>
    <t>Наличие Self-service. Self-service / кампейнинг, успешность</t>
  </si>
  <si>
    <t>Мероприятие: синхронизация по логике расчета. У продуктовой команды есть выделенный сотрудник для работы Self-service</t>
  </si>
  <si>
    <t>Настроен Дэшборд по отображению кампаний продаж в кампейнинге - https://qlik.sigma.sbrf.ru/qs_b2c_data/scim_sigma/sense/app/25e1a8c8-9a7c-4072-bf29-055bba63e97e/sheet/996accc8-5be9-4cf2-92f5-eb932bbf3980/state/analysis</t>
  </si>
  <si>
    <t>Наличие успешных бизнес-запусков. Self-service / кампейнинг, успешность</t>
  </si>
  <si>
    <t>Алерты</t>
  </si>
  <si>
    <t>Оповещения по бизнес-метрикам. Светофоры целей, драйверов, воронок</t>
  </si>
  <si>
    <t>Discovery &gt;=40% бэклога. Доля исследовательских задач DA</t>
  </si>
  <si>
    <t>Мероприятие: синхронизация по логике расчета. Продуктовая команда регулярно проверяет гипотезы</t>
  </si>
  <si>
    <t>Оценка исследований &gt;=7,5. Средняя оценка проведенных исследований</t>
  </si>
  <si>
    <t>Мероприятие: синхронизация по логике расчета. Продуктовая команда проводит исследования</t>
  </si>
  <si>
    <t>Доп. инициативы сверх БП. Наличие доходных/расходных инициатив сверх БП</t>
  </si>
  <si>
    <t>Мероприятие: синхронизация по логике расчета.</t>
  </si>
  <si>
    <t>Факторный анализ - драйверы 1-2 ур.. Драйверы согласно модели бизнес-планирования выведены в Навигатор</t>
  </si>
  <si>
    <t>Мероприятие: синхронизация по логике расчета. </t>
  </si>
  <si>
    <t>Настроена отчетность. По воронке оттока</t>
  </si>
  <si>
    <t>Полнота отчета. Retention, CR, удержание</t>
  </si>
  <si>
    <t>Возврат клиентов. Реактивация оттекающих клиентов.</t>
  </si>
  <si>
    <t>Гибкое изменение условий продукта. Возможность изменить набор опций по продукту без IT-разработки</t>
  </si>
  <si>
    <t>Cross-sell. В оформлении и после покупки</t>
  </si>
  <si>
    <t>Клиентский опыт</t>
  </si>
  <si>
    <t>CX Score. Зеленая зона клиентского пути</t>
  </si>
  <si>
    <t>ДСЖ ПК</t>
  </si>
  <si>
    <t>Совместно со Штабом УБ проведена синхронизация отчетности и знаний продукта. В рамках данного мероприятия отдельно с каждым несогласным продуктом будет проводиться точечная выверка методологии и корректность расчета в ДБ «Активные Клиенты &amp; MAU Продуктов и Сервисов».</t>
  </si>
  <si>
    <r>
      <rPr>
        <sz val="12"/>
        <color rgb="FF000000"/>
        <rFont val="Times New Roman"/>
        <family val="1"/>
        <charset val="204"/>
      </rPr>
      <t>Совместно со Штабом УБ проведена синхронизация и вывод драйверов целей ЛТ/ЛЮ»</t>
    </r>
  </si>
  <si>
    <t>ДСЖ КК</t>
  </si>
  <si>
    <t>Обогатить метриками мониторинг по воронке оттока</t>
  </si>
  <si>
    <t>Выведен уровень проникновения в новые карты. Дополнить другими каналами продаж, кампаниями продаж</t>
  </si>
  <si>
    <t>Внедрить систему оповещений</t>
  </si>
  <si>
    <t>Увеличить покрытие черновиков</t>
  </si>
  <si>
    <t>Настроить мониторинг по ключевым механикам</t>
  </si>
  <si>
    <t>Сфокусировать бэклог аналитиков на research-задачи</t>
  </si>
  <si>
    <t>Повысить качество проведенных исследований</t>
  </si>
  <si>
    <t>Развитие кампейнинга</t>
  </si>
  <si>
    <t>Выстроить процесс гибкого изменения условий без IT</t>
  </si>
  <si>
    <t>Верификация мероприятий Штабом B2C</t>
  </si>
  <si>
    <r>
      <rPr>
        <sz val="10.5"/>
        <color rgb="FFFF0000"/>
        <rFont val="Liberation Sans"/>
        <charset val="204"/>
      </rPr>
      <t>Исключить</t>
    </r>
    <r>
      <rPr>
        <sz val="10.5"/>
        <color rgb="FF172B4D"/>
        <rFont val="Liberation Sans"/>
      </rPr>
      <t xml:space="preserve"> из расчета "Гибкое изменение условий продукта" - </t>
    </r>
    <r>
      <rPr>
        <sz val="10.5"/>
        <color rgb="FFFF0000"/>
        <rFont val="Liberation Sans"/>
        <charset val="204"/>
      </rPr>
      <t>Не применимо для продукта</t>
    </r>
  </si>
  <si>
    <t>1) Посчитаем частоту поездок в год на 1 россиянина: 22,5 млн. поездок / 146 млн. чел. = 15,4 %.</t>
  </si>
  <si>
    <t>2) Применим частоту поездок в год на 1 россиянина к объему активных пользователей Сбера: 100 млн. активн.польз * 15,4% = 15,4 млн. Далее вычитаем 2,6 млн. владельцы ПУ, где включена страховка</t>
  </si>
  <si>
    <t>По продукту "Страхование путешественников" отсутствует автопролонгация / подписка. Доля годовых полисов 0,33% от общего числа (н-р: за июль 26г. 74 шт. годовых полиса из общего числа 22 474 шт.). 99,7% полисов - краткосрочные полисы со средним сроком поездки = 12, таким образом считаем кол-во оформленных полисов.</t>
  </si>
  <si>
    <t>MAU считается по кол-ву уник. клиентов, которые перешли на карточку продукта в МП СБОЛ. Таких 100 000 клиентов</t>
  </si>
  <si>
    <t>MAU — количество уникальных пользователей, которые совершили хотя бы одно целевое действие на протяжении 30 дней. Целевое действие = переход на карточку продукта, если смотреть целевое действие = оформление продукта, то это будет та же самая цифра, что и "Клиенты с продуктом"</t>
  </si>
  <si>
    <t>Залоговое страхование (корпоративное страхование)</t>
  </si>
  <si>
    <t>Актуализировать информацию на соотвествие показателей для продукта</t>
  </si>
  <si>
    <t>Добавить доступ к задачам по аналитике</t>
  </si>
  <si>
    <t>Добавить существующую отчетность по продукту</t>
  </si>
  <si>
    <t>Скорректировать логику отчета по пролонгации в инструменте Навигатор</t>
  </si>
  <si>
    <t>ЗЛС</t>
  </si>
  <si>
    <t>Проведение встреч со Штабом УБ до 31.08.2026.</t>
  </si>
  <si>
    <t>Мероприятие: синхронизация по логике расчета Штаб УБ и В2С</t>
  </si>
  <si>
    <t>Лица от 18 до 80 лет</t>
  </si>
  <si>
    <t>MAU считается по кол-ву уникальных клиентов, которые перешли на детальные карточки продукта в МП СБОЛ. Таких 100 000 клиентов</t>
  </si>
  <si>
    <t>MAU - количество уникальных пользователей, которые совершили хотя бы одно целевое действие на протяжении 30 дней. Целевое действие = переход на карточку продукта, если смотреть цеелвое действие = оформление продукта, то это будет та же самая цифра, что и "Клиенты с продуктом".</t>
  </si>
  <si>
    <t>Ссылка на отчет в Навигаторе: https://navigator.sigma.sbrf.ru/gdash/1000000820/1000012918?period=2026-06-01%7C%7C%7C2026-06-30</t>
  </si>
  <si>
    <t>Текущее значение в дешборде  50%</t>
  </si>
  <si>
    <t>Мероприятие: совместно с штабом УБ синхронизировать методологию, чтобы довести до 100%</t>
  </si>
  <si>
    <t>Полнота отчета</t>
  </si>
  <si>
    <t>Мероприятия: задача поставлена на Штаб УБ, ожидаем реализацию, ссылка на задачу в jira: https://jira.sberbank.ru/browse/DASHBOARD-6101.</t>
  </si>
  <si>
    <t>Также реализован отчет по воронкам разных источниов переходов, ссылка на отчет в Навигаторе: https://navigator.sigma.sbrf.ru/gdash/1000000820/1000012918?period=2026-06-01%7C%7C%7C2026-06-30</t>
  </si>
  <si>
    <t>Наличие бенчмарков</t>
  </si>
  <si>
    <t>Мероприятие: синхронизация по логике расчета Штаб УБ, Штаб В2С, СБС</t>
  </si>
  <si>
    <t>Черновики в СБОЛ &gt;=70%</t>
  </si>
  <si>
    <t>Оповещения по бизнес-метрикам</t>
  </si>
  <si>
    <t>Настроены алерты из АС Рефлекса, настроена ежедневная рассылка по витрине ЗЛС.</t>
  </si>
  <si>
    <t>Мероприятие: совместно со штабом УБ синхронизировать логику, чтобы довести до 100%</t>
  </si>
  <si>
    <t>Discovery &gt;=40% бэклога</t>
  </si>
  <si>
    <t>Мероприятие: синхронизация по методологии. Продуктовая команда регулярно проверяет гипотезы</t>
  </si>
  <si>
    <t>Оценка исследований &gt;=7,5</t>
  </si>
  <si>
    <t>Запущена регулярная кампания опросов СХ по ЗЛС</t>
  </si>
  <si>
    <t>Мероприятие: синхронизация по методологии.</t>
  </si>
  <si>
    <t>A/B-тесты</t>
  </si>
  <si>
    <t>нет плана по A/B</t>
  </si>
  <si>
    <t>Регулярное проведение АБ-тестов: за 1 пг 2026 проведено 2 АБ-теста СБОЛ ЗЛС + в рамках КВУБ - 6 АБ-тестов.</t>
  </si>
  <si>
    <t>Доп. инициативы сверх БП</t>
  </si>
  <si>
    <t>Мероприятие: синхронизация по методологии. </t>
  </si>
  <si>
    <t>Цели выведены на мониторинг</t>
  </si>
  <si>
    <t>Мероприятие: синхронизироваться со Штабом УБ</t>
  </si>
  <si>
    <t>Ссылка на отчет в Навигаторе: https://navigator.sigma.sbrf.ru/gdash/1000003899/1000039655?sSetGroup=7</t>
  </si>
  <si>
    <t>Факторный анализ - драйверы 1-2 ур.</t>
  </si>
  <si>
    <t>Ссылки на отчет в Навигаторе:</t>
  </si>
  <si>
    <t>Отчет RR: https://navigator.sigma.sbrf.ru/gdash/1000001002/1000010105</t>
  </si>
  <si>
    <t>Модуль на клиента (факторный анализ): https://navigator.sigma.sbrf.ru/gdash/1000001002/1000010222</t>
  </si>
  <si>
    <t>Действующий факторный анализ: https://navigator.sigma.sbrf.ru/gdash/1000000820/1000007927 </t>
  </si>
  <si>
    <t>Отчет в Навигаторе - CR: https://navigator.sigma.sbrf.ru/gdash/1000000820/1000012918?period=2026-06-01%7C%7C%7C2026-06-30</t>
  </si>
  <si>
    <t>Отчет в Навигаторе  - удержание: https://navigator.sigma.sbrf.ru/gdash/1000000826/1000008041</t>
  </si>
  <si>
    <t>Проведение комплексного анализа воронки оттока</t>
  </si>
  <si>
    <t>Мероприятие: синхронизироваться по методолгии со Штабом УБ</t>
  </si>
  <si>
    <t>Мероприятия: сихронизироваться по методолгии со Штабом УБ, В2С, СБС.</t>
  </si>
  <si>
    <t>Возврат клиентов</t>
  </si>
  <si>
    <t>По продукту существует: подключение АП на карточке продукта, оплата очередного взноса в 1 клик, пролонгация.</t>
  </si>
  <si>
    <t>Гибкое изменение условий продукта</t>
  </si>
  <si>
    <t>Продукт 360 и страховой конвейер.</t>
  </si>
  <si>
    <t>Cross-sell</t>
  </si>
  <si>
    <t>Не применимо для продукта ЗЛС.</t>
  </si>
  <si>
    <t>ЗПИФ</t>
  </si>
  <si>
    <t>Настроить отчетность по воронке привлечения</t>
  </si>
  <si>
    <t>Провести комплексный анализ воронки оттока (пошаговая воронка, CTR, объёмы, сегментный или когортный разрез, retention, механики удержания, UX/UI).</t>
  </si>
  <si>
    <r>
      <rPr>
        <b/>
        <sz val="10.5"/>
        <color rgb="FF172B4D"/>
        <rFont val="Liberation Sans"/>
      </rPr>
      <t>Совместно со штабом</t>
    </r>
    <r>
      <rPr>
        <sz val="10.5"/>
        <color rgb="FF172B4D"/>
        <rFont val="Liberation Sans"/>
      </rPr>
      <t> вывести в навигатор драйверы согласно модели бизнес-планирования</t>
    </r>
  </si>
  <si>
    <t>Изменим условия с персонализацией до клиентских подсегментов</t>
  </si>
  <si>
    <t>Настроенны механики  возврата клиентов через создание ценности продукта</t>
  </si>
  <si>
    <t>ИнвестКопилка</t>
  </si>
  <si>
    <t>Объем целевого рынка в Сбере + Клиенты с продуктом. Задача: Свести статистику потенциала сервиса ИнвестКопилки и пересчитать показатели дешборда DD. На стороне ИнвестКопилки.</t>
  </si>
  <si>
    <t>Факторный анализ = драйверы 1-2 ур. Задача: В мастер-дэше нет целей продукта - выведены цели ЛЮ/ЛТ, ссылку на детальный дашборд добавляем в 3м квартале (цели ЛТ), надо синхронизировать методологию учета по вопросу. На стороне Штаба УБ + ИнвестКопика</t>
  </si>
  <si>
    <t>Полнота отчетности + Проведение комплексного анализа воронок оттока. Задача: завести в Навигатор дэшборды анализа Retention, CR, удержание + подробная аналитика оттока. На стороне ИнвестКопилки</t>
  </si>
  <si>
    <r>
      <t>Оповещение по бизнес-метрикам. </t>
    </r>
    <r>
      <rPr>
        <sz val="10.5"/>
        <color rgb="FFFF0000"/>
        <rFont val="Liberation Sans"/>
        <charset val="204"/>
      </rPr>
      <t>Нерелевантно для нашего сервиса. Просим убрать метрику с нашего дэшборда.</t>
    </r>
  </si>
  <si>
    <r>
      <rPr>
        <b/>
        <sz val="10.5"/>
        <color rgb="FF172B4D"/>
        <rFont val="Liberation Sans"/>
        <charset val="204"/>
      </rPr>
      <t>Гибкое изменение условий продукта</t>
    </r>
    <r>
      <rPr>
        <sz val="10.5"/>
        <color rgb="FF172B4D"/>
        <rFont val="Liberation Sans"/>
      </rPr>
      <t>. </t>
    </r>
    <r>
      <rPr>
        <sz val="10.5"/>
        <color rgb="FFFF0000"/>
        <rFont val="Liberation Sans"/>
        <charset val="204"/>
      </rPr>
      <t>Нерелевантно для нашего сервиса. Просим убрать метрику с нашего дешборда.</t>
    </r>
    <r>
      <rPr>
        <sz val="10.5"/>
        <color rgb="FF172B4D"/>
        <rFont val="Liberation Sans"/>
      </rPr>
      <t xml:space="preserve"> Изменение условий рассматриваем как простройку суб-проектов в рамках Микроинвестирования. Потребуется отдельный мониторинг этих проектов в будущем.</t>
    </r>
  </si>
  <si>
    <r>
      <rPr>
        <b/>
        <sz val="10.5"/>
        <color indexed="64"/>
        <rFont val="Liberation Sans"/>
        <charset val="204"/>
      </rPr>
      <t>Допродажи (</t>
    </r>
    <r>
      <rPr>
        <b/>
        <sz val="10.5"/>
        <color rgb="FF172B4D"/>
        <rFont val="Liberation Sans"/>
        <charset val="204"/>
      </rPr>
      <t>upsell)</t>
    </r>
    <r>
      <rPr>
        <sz val="10.5"/>
        <color rgb="FF172B4D"/>
        <rFont val="Liberation Sans"/>
        <charset val="204"/>
      </rPr>
      <t>. </t>
    </r>
    <r>
      <rPr>
        <sz val="10.5"/>
        <color rgb="FFFF0000"/>
        <rFont val="Liberation Sans"/>
        <charset val="204"/>
      </rPr>
      <t>Просим скорректировать параметр</t>
    </r>
    <r>
      <rPr>
        <sz val="10.5"/>
        <color rgb="FF172B4D"/>
        <rFont val="Liberation Sans"/>
        <charset val="204"/>
      </rPr>
      <t>, так как у нас есть и переход из сервиса в Сбер Сову. И мы тестировали функционал «О развитии в инвестициях» с переходом в открытие брокерского счета. А таже проводим А/Б тесты на стороне продаж для развития когорты клиентов: перевод в другие продукты и/или повышение чеков Автонакоплений. С нашей стороны upsell выполнен.</t>
    </r>
  </si>
  <si>
    <t>https://sbertrack.sberbank.ru/swtr/board/fc08e852-22a0-41c4-bd30-416aade9a5b2?space=INVESTMB&amp;tenant=default&amp;spaces=%5B%7B%22label%22%3A%22InvestMoneyBox%22%2C%22value%22%3A%22INVESTMB%22%7D%5D</t>
  </si>
  <si>
    <t>Discovery &gt;=40% бэклога. Ссылка на доску Дата-аналитика:</t>
  </si>
  <si>
    <r>
      <rPr>
        <b/>
        <sz val="10.5"/>
        <color indexed="64"/>
        <rFont val="Liberation Sans"/>
      </rPr>
      <t>Оценка исследований &gt;=7,5</t>
    </r>
    <r>
      <rPr>
        <sz val="10.5"/>
        <color indexed="64"/>
        <rFont val="Liberation Sans"/>
      </rPr>
      <t> Задача: Проработать вопрос со Штабом УБ, так как у нас нет запросов в Штаб, мы все делаем сами. Может поэтому не попадаем в отчетность. На стороне ИнвестКопилки.</t>
    </r>
  </si>
  <si>
    <r>
      <t xml:space="preserve">Если имеется в виду Discovery не только по анализу данных, то у нас есть несколько выделенных ролей в команде на исследования разного уровня. Включая работу Discovery в смежных командах (например продажи). </t>
    </r>
    <r>
      <rPr>
        <sz val="10.5"/>
        <color rgb="FFFF0000"/>
        <rFont val="Liberation Sans"/>
        <charset val="204"/>
      </rPr>
      <t>Прошу скорректировать параметр на 100%.</t>
    </r>
  </si>
  <si>
    <r>
      <rPr>
        <b/>
        <sz val="10.5"/>
        <color rgb="FF172B4D"/>
        <rFont val="Liberation Sans"/>
      </rPr>
      <t>Настроена отчетность</t>
    </r>
    <r>
      <rPr>
        <sz val="10.5"/>
        <color indexed="64"/>
        <rFont val="Liberation Sans"/>
      </rPr>
      <t xml:space="preserve">. Воронка у нас автоматическая в Кликстрим. </t>
    </r>
    <r>
      <rPr>
        <sz val="10.5"/>
        <color rgb="FFFF0000"/>
        <rFont val="Liberation Sans"/>
        <charset val="204"/>
      </rPr>
      <t>Прошу скорректировать параметр на 100%.</t>
    </r>
  </si>
  <si>
    <r>
      <rPr>
        <b/>
        <sz val="10.5"/>
        <color rgb="FF172B4D"/>
        <rFont val="Liberation Sans"/>
      </rPr>
      <t>Полнота отчета. </t>
    </r>
    <r>
      <rPr>
        <sz val="10.5"/>
        <color indexed="64"/>
        <rFont val="Liberation Sans"/>
      </rPr>
      <t xml:space="preserve">Объемы, сегменты, когорты у нас автоматически выставляются фильтрами в Навигатор. </t>
    </r>
    <r>
      <rPr>
        <sz val="10.5"/>
        <color rgb="FFFF0000"/>
        <rFont val="Liberation Sans"/>
        <charset val="204"/>
      </rPr>
      <t>Прошу скорректировать параметр на 100%</t>
    </r>
  </si>
  <si>
    <r>
      <rPr>
        <b/>
        <sz val="10.5"/>
        <color indexed="64"/>
        <rFont val="Liberation Sans"/>
      </rPr>
      <t>Регулярность</t>
    </r>
    <r>
      <rPr>
        <sz val="10.5"/>
        <color indexed="64"/>
        <rFont val="Liberation Sans"/>
      </rPr>
      <t xml:space="preserve">. Мы регулярно отслеживаем воронки привлечения, в период акции на ежедневной основе, в остальное несколько раз в неделю. Кликстрим автоматический, Навигатор автоматический. </t>
    </r>
    <r>
      <rPr>
        <sz val="10.5"/>
        <color rgb="FFFF0000"/>
        <rFont val="Liberation Sans"/>
        <charset val="204"/>
      </rPr>
      <t>Прошу скорректировать параметр на 100%.</t>
    </r>
  </si>
  <si>
    <t>Кампейнинг</t>
  </si>
  <si>
    <r>
      <rPr>
        <b/>
        <sz val="10.5"/>
        <color rgb="FF172B4D"/>
        <rFont val="Liberation Sans"/>
        <charset val="204"/>
      </rPr>
      <t>Наличие Self-servcie + Наличие успешных бизнес-запусков</t>
    </r>
    <r>
      <rPr>
        <sz val="10.5"/>
        <color rgb="FF172B4D"/>
        <rFont val="Liberation Sans"/>
      </rPr>
      <t>. Задача: Разобраться что за Self-servcie, потому что каждый месяц запускаются пилоты и коммуникации и акции. Есть успешные, даже проводилась отчетность по А/Б на уровень Р.Н.Вестеровского. На стороне ИнвестКопилки разобраться.</t>
    </r>
  </si>
  <si>
    <r>
      <rPr>
        <b/>
        <sz val="10.5"/>
        <color rgb="FF172B4D"/>
        <rFont val="Liberation Sans"/>
        <charset val="204"/>
      </rPr>
      <t>Черновики</t>
    </r>
    <r>
      <rPr>
        <sz val="10.5"/>
        <color rgb="FF172B4D"/>
        <rFont val="Liberation Sans"/>
      </rPr>
      <t xml:space="preserve">. С понедельника этой недели черновики не только уходят по ПУШ, но и через Баннеры. </t>
    </r>
    <r>
      <rPr>
        <sz val="10.5"/>
        <color rgb="FFFF0000"/>
        <rFont val="Liberation Sans"/>
        <charset val="204"/>
      </rPr>
      <t>Прошу скорректировать параметр на 100%</t>
    </r>
    <r>
      <rPr>
        <sz val="10.5"/>
        <color rgb="FF172B4D"/>
        <rFont val="Liberation Sans"/>
      </rPr>
      <t>.</t>
    </r>
  </si>
  <si>
    <t>ИСЖ</t>
  </si>
  <si>
    <t>Проработка понимания доступной отчетности и регулярного мониторинга в Navigator. </t>
  </si>
  <si>
    <t>Настроить метрики и мониторинг по воронке привлечения</t>
  </si>
  <si>
    <t>Настроить метрики и мониторинг по воронке оттоков</t>
  </si>
  <si>
    <t>Провести АВ тестирование карточек. Повысить качество проведенных исследований</t>
  </si>
  <si>
    <t>Проведение анализа привлечения, выявление точек роста</t>
  </si>
  <si>
    <t>Проведение анализа оттоков, выявление точек роста</t>
  </si>
  <si>
    <t>КАСКО</t>
  </si>
  <si>
    <r>
      <rPr>
        <b/>
        <sz val="10.5"/>
        <color rgb="FF172B4D"/>
        <rFont val="Liberation Sans"/>
      </rPr>
      <t>Совместно со штабом </t>
    </r>
    <r>
      <rPr>
        <sz val="10.5"/>
        <color rgb="FF172B4D"/>
        <rFont val="Liberation Sans"/>
      </rPr>
      <t>синхронизация методологии расчетов, актуализация текущей методики по определению метрик</t>
    </r>
  </si>
  <si>
    <t>Доп инициативы сверх бизнес плана не применима для продукта, так как на 2026г была зашита амбиция Х2 к факту 2025года, а не плавный рост</t>
  </si>
  <si>
    <t>Гибкое изменение условий продукта - сбиться по методологии для каско, часть условий выведено в бизнес-параметры для оперативного изменения</t>
  </si>
  <si>
    <t>По оценке исследований изучить методику оценки, заполнять запрашиваемый файл ворд в соответствии с требованиями, проверять самостоятельно в потоке</t>
  </si>
  <si>
    <r>
      <rPr>
        <b/>
        <sz val="10.5"/>
        <color rgb="FF172B4D"/>
        <rFont val="Liberation Sans"/>
        <charset val="204"/>
      </rPr>
      <t>Допродажи</t>
    </r>
    <r>
      <rPr>
        <sz val="10.5"/>
        <color rgb="FF172B4D"/>
        <rFont val="Liberation Sans"/>
      </rPr>
      <t xml:space="preserve">, Переход клиента на более ценный продукт или расширенный пакет услуг - в каско реализовано. </t>
    </r>
    <r>
      <rPr>
        <sz val="10.5"/>
        <color rgb="FFFF0000"/>
        <rFont val="Liberation Sans"/>
        <charset val="204"/>
      </rPr>
      <t>Отправила видео Марии Черковой для синхронизации понимания наличия опции</t>
    </r>
  </si>
  <si>
    <t>Пересмотр методологии для скорринговых продуктов. Нам необходимо отправлять черновики только тем, кому готовы дать предложение, а не всем </t>
  </si>
  <si>
    <t>Скорректировать ответ в опросе в соответствии с фактическим наличием отчетов в Навигаторе</t>
  </si>
  <si>
    <t>НСЖ</t>
  </si>
  <si>
    <t>ОПИФ</t>
  </si>
  <si>
    <r>
      <rPr>
        <b/>
        <sz val="10.5"/>
        <color rgb="FF172B4D"/>
        <rFont val="Liberation Sans"/>
      </rPr>
      <t>Совместно со штабом</t>
    </r>
    <r>
      <rPr>
        <sz val="10.5"/>
        <color rgb="FF172B4D"/>
        <rFont val="Liberation Sans"/>
      </rPr>
      <t> обогатить метриками мониторинг по воронке оттока</t>
    </r>
  </si>
  <si>
    <t>Добавить условия с персонализацией до клиентских подсегментов</t>
  </si>
  <si>
    <t>ОСАГО</t>
  </si>
  <si>
    <t>Синхронизация методологии расчетов, актуализация текущей методики по определению метрик.</t>
  </si>
  <si>
    <t>Скорректировать ответ в опросе в соответствии с фактическим наличием отчетов в навигаторе.</t>
  </si>
  <si>
    <t>31.09.2026</t>
  </si>
  <si>
    <t>Доп инициативы сверх бизнес плана не применимы для продукта, так как на 2026г была зашита амбиция +60% к плану 2025года, а не плавный рост.</t>
  </si>
  <si>
    <t>Допродажи, изменение методологии под ОСАГО не применимы, т.к. допродажи запрещены законом. </t>
  </si>
  <si>
    <t>Гибкое изменение условий продукта - сбиться по методологии для ОСАГО, часть условий выведено в бизнес-параметры для оперативного изменения.</t>
  </si>
  <si>
    <t>По оценке исследований изучить методику оценки, заполнять запрашиваемый файл ворд в соответствии с требованиями, проверять самостоятельно в потоке.</t>
  </si>
  <si>
    <t>ПДС</t>
  </si>
  <si>
    <t>Страхование залога</t>
  </si>
  <si>
    <t>Кампейнинг - Черновик в СБОЛ &gt;70%</t>
  </si>
  <si>
    <t>Кампейнинг - Наличие Self-Service</t>
  </si>
  <si>
    <t>Кампейнинг - Наличие успешных бизнес-запусков  Self-Service</t>
  </si>
  <si>
    <t>Отчетность - Полнота отчета</t>
  </si>
  <si>
    <t>Отчетность - Проведение комплексного анализа воронки оттока</t>
  </si>
  <si>
    <r>
      <rPr>
        <b/>
        <sz val="10.5"/>
        <color rgb="FFFF0000"/>
        <rFont val="Liberation Sans"/>
      </rPr>
      <t>(Совместно со Штабом УБ синхронизация) </t>
    </r>
    <r>
      <rPr>
        <sz val="10.5"/>
        <color rgb="FFFF0000"/>
        <rFont val="Liberation Sans"/>
      </rPr>
      <t>Знание об отчетности в Навигаторе</t>
    </r>
  </si>
  <si>
    <r>
      <rPr>
        <b/>
        <sz val="10.5"/>
        <color rgb="FFFF0000"/>
        <rFont val="Liberation Sans"/>
      </rPr>
      <t>(Совместно со Штабом УБ синхронизация)</t>
    </r>
    <r>
      <rPr>
        <sz val="10.5"/>
        <color rgb="FFFF0000"/>
        <rFont val="Liberation Sans"/>
      </rPr>
      <t>  Факторный анализ - драйверы 1-2 ур.</t>
    </r>
  </si>
  <si>
    <r>
      <rPr>
        <b/>
        <sz val="10.5"/>
        <color rgb="FFFF0000"/>
        <rFont val="Liberation Sans"/>
      </rPr>
      <t>(Требуется синхронизация) </t>
    </r>
    <r>
      <rPr>
        <sz val="10.5"/>
        <color rgb="FFFF0000"/>
        <rFont val="Liberation Sans"/>
      </rPr>
      <t>Настроена отчетность по воронке привлечения</t>
    </r>
  </si>
  <si>
    <r>
      <rPr>
        <b/>
        <sz val="10.5"/>
        <color rgb="FFFF0000"/>
        <rFont val="Liberation Sans"/>
      </rPr>
      <t>(Требуется синхронизация) </t>
    </r>
    <r>
      <rPr>
        <sz val="10.5"/>
        <color rgb="FFFF0000"/>
        <rFont val="Liberation Sans"/>
      </rPr>
      <t>Полнота отчета - Источники/CR/CTR/CPC</t>
    </r>
  </si>
  <si>
    <r>
      <rPr>
        <b/>
        <sz val="10.5"/>
        <color rgb="FFFF0000"/>
        <rFont val="Liberation Sans"/>
      </rPr>
      <t>(Требуется синхронизация)  </t>
    </r>
    <r>
      <rPr>
        <sz val="10.5"/>
        <color rgb="FFFF0000"/>
        <rFont val="Liberation Sans"/>
      </rPr>
      <t>Регулярность автоматически (daily / weekly)</t>
    </r>
  </si>
  <si>
    <t>ЦФА</t>
  </si>
  <si>
    <t>Определить объем целевого рынка России и Сбера совместно со Штабом УБ</t>
  </si>
  <si>
    <t>Настроить мониторинг по воронке оттока совместно со Штабом УБ</t>
  </si>
  <si>
    <t>Анализ - Проведение комплексного анализа воронки привлечения. Оценка эффективности, поиск точек роста</t>
  </si>
  <si>
    <t>есть</t>
  </si>
  <si>
    <t>Наличие ДК</t>
  </si>
  <si>
    <t>Текущий индекс DD</t>
  </si>
  <si>
    <t>Ожидание прироста индекса DD, п.п</t>
  </si>
  <si>
    <t>есть, но недостаточно</t>
  </si>
  <si>
    <t>формально есть, но мероприятия непонятны и не конкретны, ожидания прироста нереалистичны</t>
  </si>
  <si>
    <t>не хватает конкретики</t>
  </si>
  <si>
    <r>
      <t xml:space="preserve">Совместно со Штабом УБ проведена синхронизация отчетности и знаний продукта.
1) </t>
    </r>
    <r>
      <rPr>
        <b/>
        <sz val="10.5"/>
        <color rgb="FF172B4D"/>
        <rFont val="Liberation Sans"/>
        <charset val="204"/>
      </rPr>
      <t>Объем целевого рынка в Сбере</t>
    </r>
    <r>
      <rPr>
        <sz val="10.5"/>
        <color rgb="FF172B4D"/>
        <rFont val="Liberation Sans"/>
      </rPr>
      <t xml:space="preserve">. Выведен в Навигатор, но требуется корректировка показателя. Требуется наложить фильтры, при которых мы не можем страховать клиента
2) </t>
    </r>
    <r>
      <rPr>
        <b/>
        <sz val="10.5"/>
        <color rgb="FF172B4D"/>
        <rFont val="Liberation Sans"/>
        <charset val="204"/>
      </rPr>
      <t>Клиенты с продуктом</t>
    </r>
    <r>
      <rPr>
        <sz val="10.5"/>
        <color rgb="FF172B4D"/>
        <rFont val="Liberation Sans"/>
      </rPr>
      <t xml:space="preserve">. Выведен в Навигатор, но требуется корректировка показателя. Выводит только оплаченные страховки по ДСЖ КК, без учета клиентов, которые не оплатили страховку. Проверить учет нового продукта ПУ Страховка с выгодой.
3) </t>
    </r>
    <r>
      <rPr>
        <b/>
        <sz val="10.5"/>
        <color rgb="FF172B4D"/>
        <rFont val="Liberation Sans"/>
        <charset val="204"/>
      </rPr>
      <t>MAU продукта</t>
    </r>
    <r>
      <rPr>
        <sz val="10.5"/>
        <color rgb="FF172B4D"/>
        <rFont val="Liberation Sans"/>
      </rPr>
      <t xml:space="preserve">. Требуется доработка в разрезе каналов.
</t>
    </r>
  </si>
  <si>
    <r>
      <t xml:space="preserve">Совместно со Штабом УБ проведена синхронизация и вывод драйверов целей ЛТ/ЛЮ
</t>
    </r>
    <r>
      <rPr>
        <sz val="10.5"/>
        <color rgb="FFFF0000"/>
        <rFont val="Liberation Sans"/>
        <charset val="204"/>
      </rPr>
      <t>Скорректировать оценку</t>
    </r>
    <r>
      <rPr>
        <sz val="10.5"/>
        <color rgb="FF172B4D"/>
        <rFont val="Liberation Sans"/>
      </rPr>
      <t>. Драйверы согласно модели бизнес-планирования выведены в Навигатор. Факторный анализ - драйверы 1-2 ур. </t>
    </r>
  </si>
  <si>
    <r>
      <rPr>
        <sz val="10.5"/>
        <color rgb="FFFF0000"/>
        <rFont val="Liberation Sans"/>
        <charset val="204"/>
      </rPr>
      <t>Текущее покрытие по коммуникациям составляет 77%</t>
    </r>
    <r>
      <rPr>
        <sz val="10.5"/>
        <color rgb="FF172B4D"/>
        <rFont val="Liberation Sans"/>
      </rPr>
      <t>, ссылка на отчет Навигаторе: https://navigator.sigma.sbrf.ru/gdash/1000003969</t>
    </r>
  </si>
  <si>
    <t>мероприятия в основном - синхронизация по логике расчета, ожидания прироста нереалистичны</t>
  </si>
  <si>
    <t>Личная защита Плюс</t>
  </si>
  <si>
    <t>нет</t>
  </si>
  <si>
    <t>Страхование жизни</t>
  </si>
  <si>
    <t>ДУ</t>
  </si>
  <si>
    <t>Формально есть, но непонятны мероприятия, нет конкретики</t>
  </si>
  <si>
    <t>Прогноз индекса DD</t>
  </si>
  <si>
    <t>Нет конкретных мероприятий, взяли рекомендации из дэшборда по DD. Ожидаемого прироста недостаточно для цели</t>
  </si>
  <si>
    <t>SberPay NFC</t>
  </si>
  <si>
    <t>Переводы по РФ</t>
  </si>
  <si>
    <t>Оплата улыбкой</t>
  </si>
  <si>
    <t>Торговый Эквайринг</t>
  </si>
  <si>
    <t>Кредитные карты</t>
  </si>
  <si>
    <t>Дебетовая карта</t>
  </si>
  <si>
    <t>Сценарии оплаты</t>
  </si>
  <si>
    <t>SberPay Ecom</t>
  </si>
  <si>
    <t>Платежи</t>
  </si>
  <si>
    <t>Детская карта</t>
  </si>
  <si>
    <t>СберЧаевые</t>
  </si>
  <si>
    <t>Трансграничные переводы</t>
  </si>
  <si>
    <t>Переводы подарков</t>
  </si>
  <si>
    <t>Интернет-Эквайринг</t>
  </si>
  <si>
    <t>Как зарплатный</t>
  </si>
  <si>
    <t>Школьные сервисы</t>
  </si>
  <si>
    <t>Трансграничный эквайринг</t>
  </si>
  <si>
    <t>Пенсионный продукт</t>
  </si>
  <si>
    <t>Зарплатный продукт</t>
  </si>
  <si>
    <t>Военная пенсия</t>
  </si>
  <si>
    <t>Транспортный эквайринг</t>
  </si>
  <si>
    <t>1. Проверить воронку TAM/SAM (+3пп)
2. Вывести прогноз в Навигатор (+2,3пп)</t>
  </si>
  <si>
    <t>Проверить воронку TAM/SAM</t>
  </si>
  <si>
    <t>Повысить долю исследований &gt;=40%</t>
  </si>
  <si>
    <r>
      <t xml:space="preserve">Проверить воронку TAM/SAM (+1,7пп)
</t>
    </r>
    <r>
      <rPr>
        <b/>
        <sz val="11"/>
        <color rgb="FFFF0000"/>
        <rFont val="Calibri"/>
        <family val="2"/>
        <charset val="204"/>
        <scheme val="minor"/>
      </rPr>
      <t>Штабу B2C:</t>
    </r>
    <r>
      <rPr>
        <sz val="11"/>
        <color theme="1"/>
        <rFont val="Calibri"/>
        <family val="2"/>
        <scheme val="minor"/>
      </rPr>
      <t xml:space="preserve">
1. Исключить блок бенчмарков, нерелевантно по словам ВП (+1,9пп)</t>
    </r>
  </si>
  <si>
    <r>
      <t xml:space="preserve">Проверить воронку TAM/SAM, рассказать ВП о дэшах (+3,7пп)
</t>
    </r>
    <r>
      <rPr>
        <b/>
        <sz val="11"/>
        <color rgb="FFFF0000"/>
        <rFont val="Calibri"/>
        <family val="2"/>
        <charset val="204"/>
        <scheme val="minor"/>
      </rPr>
      <t>Штабу B2C:</t>
    </r>
    <r>
      <rPr>
        <sz val="11"/>
        <color theme="1"/>
        <rFont val="Calibri"/>
        <family val="2"/>
        <scheme val="minor"/>
      </rPr>
      <t xml:space="preserve">
1. Учесть июньские DD (+3,8пп)
2. Скорректировать знание продуктов-спутников (ВП ответил)</t>
    </r>
  </si>
  <si>
    <t>Исключить из оценки и расчета</t>
  </si>
  <si>
    <r>
      <t xml:space="preserve">Вывести прогноз в Навигатор (+4пп)
</t>
    </r>
    <r>
      <rPr>
        <b/>
        <sz val="11"/>
        <color rgb="FFFF0000"/>
        <rFont val="Calibri"/>
        <family val="2"/>
        <charset val="204"/>
        <scheme val="minor"/>
      </rPr>
      <t>Штабу B2C:</t>
    </r>
    <r>
      <rPr>
        <sz val="11"/>
        <color theme="1"/>
        <rFont val="Calibri"/>
        <family val="2"/>
        <charset val="204"/>
        <scheme val="minor"/>
      </rPr>
      <t xml:space="preserve">
1. Объединить Сценарии оплаты и Платежи (+10пп)
2. Засчитать DD по выставленным счетам (+4пп)
3. Засчитать наличие бенчмарков (+4пп)</t>
    </r>
  </si>
  <si>
    <t>1. Подготовить DD (+3,9 пп)</t>
  </si>
  <si>
    <r>
      <t xml:space="preserve">Подготовить DD (+4,2пп)
</t>
    </r>
    <r>
      <rPr>
        <b/>
        <sz val="11"/>
        <color rgb="FFFF0000"/>
        <rFont val="Calibri"/>
        <family val="2"/>
        <charset val="204"/>
        <scheme val="minor"/>
      </rPr>
      <t>Штабу B2C:</t>
    </r>
    <r>
      <rPr>
        <sz val="11"/>
        <color theme="1"/>
        <rFont val="Calibri"/>
        <family val="2"/>
        <charset val="204"/>
        <scheme val="minor"/>
      </rPr>
      <t xml:space="preserve">
1. Исключить блок бенчмарков, нерелевантно по словам ВП (+2,1пп)
2. Цели выведены в Навигатор, дэшборд Переводы за рубеж (+4,2пп)</t>
    </r>
  </si>
  <si>
    <t>1. Подготовить DD (+4,8пп)
2. Вывести дэшборд с основными показателями (+4,9пп)
3. Рассказать про продукты-спутники (+0,5пп)</t>
  </si>
  <si>
    <t>не нашли опросник</t>
  </si>
  <si>
    <t>мероприятия не запланированы, т.к. Зрелая команда</t>
  </si>
  <si>
    <t>SberPay Вжух</t>
  </si>
  <si>
    <t>Знание ключевых метрик
Цели</t>
  </si>
  <si>
    <t>ПУ СберПремьер</t>
  </si>
  <si>
    <t>ПУ СберПервый</t>
  </si>
  <si>
    <t>Продукт / Сегмент</t>
  </si>
  <si>
    <t>Дети</t>
  </si>
  <si>
    <t>PB</t>
  </si>
  <si>
    <t>Молодежь</t>
  </si>
  <si>
    <t>МВС</t>
  </si>
  <si>
    <t>Зрелость</t>
  </si>
  <si>
    <r>
      <t xml:space="preserve">Внедрить систему оповещений
</t>
    </r>
    <r>
      <rPr>
        <sz val="10.5"/>
        <color rgb="FF172B4D"/>
        <rFont val="Liberation Sans"/>
        <charset val="204"/>
      </rPr>
      <t>Образ результата: Вопрос на проработке у Ю.Петуховой, вернутся в ближайшее время. По результату донести на РГ DD до трайбов</t>
    </r>
  </si>
  <si>
    <r>
      <t xml:space="preserve">Сформировать прогнозные значения, вывести в Навигатор
</t>
    </r>
    <r>
      <rPr>
        <sz val="10.5"/>
        <color rgb="FF172B4D"/>
        <rFont val="Liberation Sans"/>
        <charset val="204"/>
      </rPr>
      <t>Централизованно проверить для всех трайбов (частично решена)</t>
    </r>
  </si>
  <si>
    <r>
      <t xml:space="preserve">Сфокусировать бэклог аналитиков на research-задачи
</t>
    </r>
    <r>
      <rPr>
        <sz val="10.5"/>
        <color rgb="FF172B4D"/>
        <rFont val="Liberation Sans"/>
        <charset val="204"/>
      </rPr>
      <t>Направлены правила заполнения задач, необходимо на РГ data-driven рассказать, как правильно заводить задачи</t>
    </r>
  </si>
  <si>
    <r>
      <t xml:space="preserve">Знание метрик и инструментов
</t>
    </r>
    <r>
      <rPr>
        <sz val="10.5"/>
        <color rgb="FF172B4D"/>
        <rFont val="Liberation Sans"/>
        <charset val="204"/>
      </rPr>
      <t>Результат на основе опроса. Трайбам необходимо лучше знать свои метрики</t>
    </r>
  </si>
  <si>
    <t>TA</t>
  </si>
  <si>
    <t>Проработать механики повышения уровня клиента</t>
  </si>
  <si>
    <r>
      <t xml:space="preserve">Сфокусировать бэклог аналитиков на research-задачи
- </t>
    </r>
    <r>
      <rPr>
        <sz val="10.5"/>
        <color rgb="FF172B4D"/>
        <rFont val="Liberation Sans"/>
        <charset val="204"/>
      </rPr>
      <t>Направлены правила заполнения задач, необходимо на РГ data-driven рассказать, как правильно заводить задачи;
- Сформировать перечень инициатив</t>
    </r>
  </si>
  <si>
    <r>
      <t xml:space="preserve">Сформировать прогнозные значения, вывести в Навигатор
</t>
    </r>
    <r>
      <rPr>
        <sz val="10.5"/>
        <color rgb="FF172B4D"/>
        <rFont val="Liberation Sans"/>
        <charset val="204"/>
      </rPr>
      <t>Централизованно проверить для всех трайбов (частично решена);
Декомпозировать значения целей на драйверы, вывести в Навигатор</t>
    </r>
  </si>
  <si>
    <r>
      <t>Обогатить метриками мониторинг по воронке привлечения/оттока - з</t>
    </r>
    <r>
      <rPr>
        <sz val="10.5"/>
        <color rgb="FF172B4D"/>
        <rFont val="Liberation Sans"/>
        <charset val="204"/>
      </rPr>
      <t>адача в работе у Е.Волобуева;
Провести анализ привлечения, выявить точки роста</t>
    </r>
  </si>
  <si>
    <t>Сформировать прогнозные значения, вывести в Навигатор;
Декомпозировать значения целей на драйверы, вывести в Навигатор</t>
  </si>
  <si>
    <t>Необходимо улучшить знание своих метрики</t>
  </si>
  <si>
    <r>
      <t>Обогатить метриками мониторинг по воронке привлечения/оттока -</t>
    </r>
    <r>
      <rPr>
        <sz val="10.5"/>
        <color rgb="FF172B4D"/>
        <rFont val="Liberation Sans"/>
        <charset val="204"/>
      </rPr>
      <t xml:space="preserve">
Провести анализ привлечения, выявить точки роста</t>
    </r>
  </si>
  <si>
    <r>
      <rPr>
        <b/>
        <sz val="10.5"/>
        <color rgb="FF172B4D"/>
        <rFont val="Liberation Sans"/>
        <charset val="204"/>
      </rPr>
      <t>Сфокусировать бэклог аналитиков на research-задачи:</t>
    </r>
    <r>
      <rPr>
        <sz val="10.5"/>
        <color rgb="FF172B4D"/>
        <rFont val="Liberation Sans"/>
        <charset val="204"/>
      </rPr>
      <t xml:space="preserve">
- Сформировать перечень инициатив
- Повысить качество проводимых исследований</t>
    </r>
  </si>
  <si>
    <r>
      <rPr>
        <b/>
        <sz val="10.5"/>
        <color rgb="FF172B4D"/>
        <rFont val="Liberation Sans"/>
        <charset val="204"/>
      </rPr>
      <t>Сфокусировать бэклог аналитиков на research-задачи:</t>
    </r>
    <r>
      <rPr>
        <sz val="10.5"/>
        <color rgb="FF172B4D"/>
        <rFont val="Liberation Sans"/>
        <charset val="204"/>
      </rPr>
      <t xml:space="preserve">
правильно формировать задачи
</t>
    </r>
  </si>
  <si>
    <t>Сформировать прогнозные значения, вывести в Навигатор</t>
  </si>
  <si>
    <t xml:space="preserve">Сфокусировать бэклог аналитиков на research-задачи:
правильно формировать задачи
</t>
  </si>
  <si>
    <t>Сфокусировать бэклог аналитиков на research-задачи:
правильно формировать задачи</t>
  </si>
  <si>
    <r>
      <t xml:space="preserve">Необходимо </t>
    </r>
    <r>
      <rPr>
        <b/>
        <sz val="10.5"/>
        <color rgb="FF172B4D"/>
        <rFont val="Liberation Sans"/>
        <charset val="204"/>
      </rPr>
      <t>улучшить знание своих метрики</t>
    </r>
  </si>
  <si>
    <t>Сделка вторичка,
Загородка</t>
  </si>
  <si>
    <t>Сделка ИЖС, Загородка</t>
  </si>
  <si>
    <t>Внедрение «дерева метрик» в разрезе по дивизионам (в тч загородка) позволит прорабоотать отклонение в «Анализе воронки оттока»</t>
  </si>
  <si>
    <r>
      <rPr>
        <b/>
        <sz val="10.5"/>
        <color rgb="FF172B4D"/>
        <rFont val="Liberation Sans"/>
        <charset val="204"/>
      </rPr>
      <t>Доля задач DA, связанных с исследованиями (Discovery) ≥40% бэклога:</t>
    </r>
    <r>
      <rPr>
        <sz val="10.5"/>
        <color rgb="FF172B4D"/>
        <rFont val="Liberation Sans"/>
      </rPr>
      <t xml:space="preserve"> 
Конвертация существующих задач на выгрузку в исследовательские через интервью заказчика, выявление истинной потребности</t>
    </r>
  </si>
  <si>
    <t>Запуск пилота акции лояльности в неипотеке, даем скидки партнеру на ипотечные сделки за неипотеку для увеличению партнерской базы.
На регулярной основе CRM рассылки, продуктовые акции на пути клиента (например, Регистрация и Расчеты за 490р)</t>
  </si>
  <si>
    <t>Продукт / Канал</t>
  </si>
  <si>
    <t>Колл-центр</t>
  </si>
  <si>
    <t>Телемаркетинг</t>
  </si>
  <si>
    <t>Чат</t>
  </si>
  <si>
    <t>Выписки и справки</t>
  </si>
  <si>
    <r>
      <rPr>
        <b/>
        <sz val="10.5"/>
        <color rgb="FF172B4D"/>
        <rFont val="Liberation Sans"/>
        <charset val="204"/>
      </rPr>
      <t>Наличие бенчмарков</t>
    </r>
    <r>
      <rPr>
        <sz val="10.5"/>
        <color rgb="FF172B4D"/>
        <rFont val="Liberation Sans"/>
      </rPr>
      <t xml:space="preserve"> - </t>
    </r>
    <r>
      <rPr>
        <sz val="10.5"/>
        <color rgb="FFFF0000"/>
        <rFont val="Liberation Sans"/>
        <charset val="204"/>
      </rPr>
      <t>удалить из расчета</t>
    </r>
    <r>
      <rPr>
        <sz val="10.5"/>
        <color rgb="FF172B4D"/>
        <rFont val="Liberation Sans"/>
      </rPr>
      <t xml:space="preserve"> в 3 кв., т.к. неприменимо</t>
    </r>
  </si>
  <si>
    <t>Доля исследовательских задач &gt;=40%. Введение ролевой модели и калькулятора достаточности ресурса DA</t>
  </si>
  <si>
    <t>Настроить отчетность, чтобы построить воронку оформления</t>
  </si>
  <si>
    <t>Внедрение «дерева метрик» в разрезе по дивизионам (в тч загородка) позволит проработать отклонение в «Алертах по системным сбоям»</t>
  </si>
  <si>
    <t>4Q</t>
  </si>
  <si>
    <t>пилотирование расширения воронки по черновикам</t>
  </si>
  <si>
    <t>сентябрь - пилот
октябрь - корректировка триггера и рост метрики</t>
  </si>
  <si>
    <t>запланированы пилоты</t>
  </si>
  <si>
    <t>3Q</t>
  </si>
  <si>
    <t xml:space="preserve">запуск успешных пилотов через SS </t>
  </si>
  <si>
    <t>CX Score</t>
  </si>
  <si>
    <t>доработка и уточнение методологии расчетов</t>
  </si>
  <si>
    <t>Вклады + НС</t>
  </si>
  <si>
    <t>ПК</t>
  </si>
  <si>
    <t xml:space="preserve">Знание ключевых метрик </t>
  </si>
  <si>
    <t>Гемба для команды по отчетности в Навигаторе (совместно со штабом: Герасимова Ольга)</t>
  </si>
  <si>
    <t>Цели уровня ЛЮ/ЛТ</t>
  </si>
  <si>
    <t xml:space="preserve">Вывод планов и прогнозов в мастер-дэш по КПЭ ЛТ и Картине недели </t>
  </si>
  <si>
    <t>Гемба для команды по ключевым метрикам, в т.ч. объем целевого рынка России и Сбера</t>
  </si>
  <si>
    <t>Q3</t>
  </si>
  <si>
    <t>Q4</t>
  </si>
  <si>
    <t>СберИнвестор</t>
  </si>
  <si>
    <t>Уведомления</t>
  </si>
  <si>
    <t>Гипотезы</t>
  </si>
  <si>
    <t>СберKids</t>
  </si>
  <si>
    <t>Средний DD-индекс 74% - Зрелые</t>
  </si>
  <si>
    <t>Вывести в Навигатор факторный анализ драйверов 1-2 ур. и прогноз</t>
  </si>
  <si>
    <t>Настроить механики реактивации и удержания оттекающих клиентов</t>
  </si>
  <si>
    <t>Декомпозировать значения целей на драйверы, сформировать прогнозные значения, вывести в Навигатор</t>
  </si>
  <si>
    <t>Проработать механики реактивации клиентов</t>
  </si>
  <si>
    <t>Провести анализ оттока, выявить точки роста. Сформировать перечень мероприятий по снижению оттока</t>
  </si>
  <si>
    <t>Проработать механики реактивации и удержания клиентов</t>
  </si>
  <si>
    <t>Повысить качество проведенных исседований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</si>
</sst>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24">
    <font>
      <sz val="12"/>
      <color theme="1"/>
      <name val="Times New Roman"/>
      <family val="2"/>
      <charset val="204"/>
    </font>
    <font>
      <sz val="12"/>
      <color theme="1"/>
      <name val="Times New Roman"/>
      <family val="2"/>
      <charset val="204"/>
    </font>
    <font>
      <sz val="12"/>
      <color rgb="FF006100"/>
      <name val="Times New Roman"/>
      <family val="2"/>
      <charset val="204"/>
    </font>
    <font>
      <sz val="12"/>
      <color rgb="FF9C0006"/>
      <name val="Times New Roman"/>
      <family val="2"/>
      <charset val="204"/>
    </font>
    <font>
      <sz val="12"/>
      <color rgb="FF9C6500"/>
      <name val="Times New Roman"/>
      <family val="2"/>
      <charset val="204"/>
    </font>
    <font>
      <sz val="10.5"/>
      <color rgb="FF172B4D"/>
      <name val="Liberation Sans"/>
    </font>
    <font>
      <b/>
      <sz val="10.5"/>
      <color rgb="FF172B4D"/>
      <name val="Liberation Sans"/>
      <charset val="204"/>
    </font>
    <font>
      <b/>
      <sz val="10.5"/>
      <color rgb="FF172B4D"/>
      <name val="Liberation Sans"/>
    </font>
    <font>
      <u/>
      <sz val="11"/>
      <color theme="10"/>
      <name val="Liberation Sans"/>
    </font>
    <font>
      <sz val="10"/>
      <color indexed="64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0.5"/>
      <color rgb="FFFF0000"/>
      <name val="Liberation Sans"/>
      <charset val="204"/>
    </font>
    <font>
      <sz val="10.5"/>
      <color rgb="FF172B4D"/>
      <name val="Liberation Sans"/>
      <charset val="204"/>
    </font>
    <font>
      <sz val="10.5"/>
      <color rgb="FFFF0000"/>
      <name val="Liberation Sans"/>
    </font>
    <font>
      <sz val="10.5"/>
      <color indexed="64"/>
      <name val="Liberation Sans"/>
    </font>
    <font>
      <b/>
      <sz val="10.5"/>
      <color indexed="64"/>
      <name val="Liberation Sans"/>
    </font>
    <font>
      <b/>
      <sz val="10.5"/>
      <color indexed="64"/>
      <name val="Liberation Sans"/>
      <charset val="204"/>
    </font>
    <font>
      <u/>
      <sz val="12"/>
      <color theme="10"/>
      <name val="Times New Roman"/>
      <family val="2"/>
      <charset val="204"/>
    </font>
    <font>
      <b/>
      <sz val="10.5"/>
      <color rgb="FFFF0000"/>
      <name val="Liberation Sans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i/>
      <sz val="12"/>
      <color rgb="FF0070C0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DEEBFF"/>
        <bgColor rgb="FFDEEB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30">
    <border>
      <left/>
      <right/>
      <top/>
      <bottom/>
      <diagonal/>
    </border>
    <border>
      <left style="thin">
        <color rgb="FFC1C7D0"/>
      </left>
      <right style="thin">
        <color rgb="FFC1C7D0"/>
      </right>
      <top style="thin">
        <color rgb="FFC1C7D0"/>
      </top>
      <bottom style="thin">
        <color rgb="FFC1C7D0"/>
      </bottom>
      <diagonal/>
    </border>
    <border>
      <left style="thin">
        <color rgb="FFC1C7D0"/>
      </left>
      <right style="thin">
        <color rgb="FFC1C7D0"/>
      </right>
      <top style="thin">
        <color rgb="FFC1C7D0"/>
      </top>
      <bottom/>
      <diagonal/>
    </border>
    <border>
      <left style="thin">
        <color rgb="FFC1C7D0"/>
      </left>
      <right style="thin">
        <color rgb="FFC1C7D0"/>
      </right>
      <top/>
      <bottom/>
      <diagonal/>
    </border>
    <border>
      <left style="thin">
        <color rgb="FFC1C7D0"/>
      </left>
      <right style="thin">
        <color rgb="FFC1C7D0"/>
      </right>
      <top/>
      <bottom style="thin">
        <color rgb="FFC1C7D0"/>
      </bottom>
      <diagonal/>
    </border>
    <border>
      <left style="thin">
        <color rgb="FFC1C7D0"/>
      </left>
      <right/>
      <top/>
      <bottom/>
      <diagonal/>
    </border>
    <border>
      <left/>
      <right/>
      <top style="thin">
        <color rgb="FFC1C7D0"/>
      </top>
      <bottom/>
      <diagonal/>
    </border>
    <border>
      <left/>
      <right/>
      <top/>
      <bottom style="thin">
        <color rgb="FFC1C7D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theme="2" tint="-0.249977111117893"/>
      </top>
      <bottom/>
      <diagonal/>
    </border>
    <border>
      <left style="thin">
        <color rgb="FFC1C7D0"/>
      </left>
      <right style="thin">
        <color rgb="FFC1C7D0"/>
      </right>
      <top style="medium">
        <color theme="2" tint="-0.249977111117893"/>
      </top>
      <bottom/>
      <diagonal/>
    </border>
    <border>
      <left style="thin">
        <color rgb="FFC1C7D0"/>
      </left>
      <right/>
      <top style="medium">
        <color theme="2" tint="-0.249977111117893"/>
      </top>
      <bottom/>
      <diagonal/>
    </border>
    <border>
      <left style="medium">
        <color theme="2" tint="-0.249977111117893"/>
      </left>
      <right style="thin">
        <color rgb="FFC1C7D0"/>
      </right>
      <top/>
      <bottom/>
      <diagonal/>
    </border>
    <border>
      <left style="medium">
        <color theme="2" tint="-0.249977111117893"/>
      </left>
      <right style="thin">
        <color rgb="FFC1C7D0"/>
      </right>
      <top/>
      <bottom style="medium">
        <color theme="2" tint="-0.249977111117893"/>
      </bottom>
      <diagonal/>
    </border>
    <border>
      <left/>
      <right/>
      <top/>
      <bottom style="medium">
        <color theme="2" tint="-0.249977111117893"/>
      </bottom>
      <diagonal/>
    </border>
    <border>
      <left style="thin">
        <color rgb="FFC1C7D0"/>
      </left>
      <right style="thin">
        <color rgb="FFC1C7D0"/>
      </right>
      <top/>
      <bottom style="medium">
        <color theme="2" tint="-0.249977111117893"/>
      </bottom>
      <diagonal/>
    </border>
    <border>
      <left style="thin">
        <color rgb="FFC1C7D0"/>
      </left>
      <right/>
      <top/>
      <bottom style="medium">
        <color theme="2" tint="-0.249977111117893"/>
      </bottom>
      <diagonal/>
    </border>
    <border>
      <left style="medium">
        <color theme="2" tint="-0.249977111117893"/>
      </left>
      <right style="thin">
        <color rgb="FFC1C7D0"/>
      </right>
      <top style="medium">
        <color theme="2" tint="-0.249977111117893"/>
      </top>
      <bottom/>
      <diagonal/>
    </border>
    <border>
      <left/>
      <right style="thin">
        <color rgb="FFC1C7D0"/>
      </right>
      <top/>
      <bottom style="medium">
        <color theme="2" tint="-0.249977111117893"/>
      </bottom>
      <diagonal/>
    </border>
    <border>
      <left style="medium">
        <color theme="0" tint="-0.14999847407452621"/>
      </left>
      <right style="thin">
        <color rgb="FFC1C7D0"/>
      </right>
      <top style="medium">
        <color theme="0" tint="-0.14999847407452621"/>
      </top>
      <bottom/>
      <diagonal/>
    </border>
    <border>
      <left style="thin">
        <color rgb="FFC1C7D0"/>
      </left>
      <right style="thin">
        <color rgb="FFC1C7D0"/>
      </right>
      <top style="medium">
        <color theme="0" tint="-0.14999847407452621"/>
      </top>
      <bottom style="thin">
        <color rgb="FFC1C7D0"/>
      </bottom>
      <diagonal/>
    </border>
    <border>
      <left/>
      <right/>
      <top style="medium">
        <color theme="0" tint="-0.14999847407452621"/>
      </top>
      <bottom/>
      <diagonal/>
    </border>
    <border>
      <left style="medium">
        <color theme="0" tint="-0.14999847407452621"/>
      </left>
      <right style="thin">
        <color rgb="FFC1C7D0"/>
      </right>
      <top/>
      <bottom style="medium">
        <color theme="0" tint="-0.14999847407452621"/>
      </bottom>
      <diagonal/>
    </border>
    <border>
      <left style="thin">
        <color rgb="FFC1C7D0"/>
      </left>
      <right style="thin">
        <color rgb="FFC1C7D0"/>
      </right>
      <top style="thin">
        <color rgb="FFC1C7D0"/>
      </top>
      <bottom style="medium">
        <color theme="0" tint="-0.14999847407452621"/>
      </bottom>
      <diagonal/>
    </border>
    <border>
      <left/>
      <right/>
      <top/>
      <bottom style="medium">
        <color theme="0" tint="-0.14999847407452621"/>
      </bottom>
      <diagonal/>
    </border>
    <border>
      <left style="medium">
        <color theme="0" tint="-0.14999847407452621"/>
      </left>
      <right style="thin">
        <color rgb="FFC1C7D0"/>
      </right>
      <top/>
      <bottom/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 style="medium">
        <color theme="0" tint="-0.14999847407452621"/>
      </left>
      <right/>
      <top/>
      <bottom style="medium">
        <color theme="0" tint="-0.14999847407452621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17" fillId="0" borderId="0" applyNumberFormat="0" applyFill="0" applyBorder="0" applyAlignment="0" applyProtection="0"/>
  </cellStyleXfs>
  <cellXfs count="148">
    <xf numFmtId="0" fontId="0" fillId="0" borderId="0" xfId="0"/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left" vertical="top" wrapText="1"/>
    </xf>
    <xf numFmtId="164" fontId="6" fillId="5" borderId="1" xfId="0" applyNumberFormat="1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/>
    </xf>
    <xf numFmtId="0" fontId="6" fillId="5" borderId="3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top" wrapText="1"/>
    </xf>
    <xf numFmtId="0" fontId="17" fillId="0" borderId="0" xfId="5" applyFill="1" applyBorder="1" applyAlignment="1">
      <alignment horizontal="left" vertical="top" wrapText="1"/>
    </xf>
    <xf numFmtId="0" fontId="4" fillId="4" borderId="1" xfId="4" applyBorder="1" applyAlignment="1">
      <alignment horizontal="center" vertical="top" wrapText="1"/>
    </xf>
    <xf numFmtId="0" fontId="3" fillId="3" borderId="1" xfId="3" applyBorder="1" applyAlignment="1">
      <alignment horizontal="center" vertical="top" wrapText="1"/>
    </xf>
    <xf numFmtId="0" fontId="2" fillId="2" borderId="1" xfId="2" applyBorder="1" applyAlignment="1">
      <alignment horizontal="center" vertical="top" wrapText="1"/>
    </xf>
    <xf numFmtId="0" fontId="0" fillId="0" borderId="0" xfId="0" applyAlignment="1">
      <alignment horizontal="center" vertical="center"/>
    </xf>
    <xf numFmtId="0" fontId="13" fillId="0" borderId="1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0" fontId="9" fillId="0" borderId="0" xfId="0" applyFont="1" applyAlignment="1">
      <alignment horizontal="left" vertical="top"/>
    </xf>
    <xf numFmtId="0" fontId="8" fillId="0" borderId="4" xfId="0" applyFont="1" applyBorder="1" applyAlignment="1">
      <alignment horizontal="left" vertical="top"/>
    </xf>
    <xf numFmtId="0" fontId="5" fillId="0" borderId="4" xfId="0" applyFont="1" applyBorder="1" applyAlignment="1">
      <alignment horizontal="left" vertical="top"/>
    </xf>
    <xf numFmtId="0" fontId="13" fillId="0" borderId="4" xfId="0" applyFont="1" applyBorder="1" applyAlignment="1">
      <alignment horizontal="left" vertical="top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top"/>
    </xf>
    <xf numFmtId="0" fontId="12" fillId="0" borderId="0" xfId="0" applyFont="1" applyAlignment="1">
      <alignment horizontal="left" vertical="top"/>
    </xf>
    <xf numFmtId="9" fontId="0" fillId="0" borderId="8" xfId="0" applyNumberFormat="1" applyBorder="1" applyAlignment="1">
      <alignment horizontal="center"/>
    </xf>
    <xf numFmtId="165" fontId="0" fillId="0" borderId="8" xfId="1" applyNumberFormat="1" applyFont="1" applyBorder="1" applyAlignment="1">
      <alignment horizontal="left"/>
    </xf>
    <xf numFmtId="9" fontId="0" fillId="0" borderId="8" xfId="0" applyNumberFormat="1" applyBorder="1" applyAlignment="1">
      <alignment horizontal="center" vertical="center"/>
    </xf>
    <xf numFmtId="165" fontId="0" fillId="0" borderId="8" xfId="1" applyNumberFormat="1" applyFont="1" applyBorder="1" applyAlignment="1">
      <alignment horizontal="left" vertical="center"/>
    </xf>
    <xf numFmtId="0" fontId="0" fillId="0" borderId="8" xfId="0" applyBorder="1"/>
    <xf numFmtId="9" fontId="2" fillId="2" borderId="8" xfId="2" applyNumberFormat="1" applyBorder="1" applyAlignment="1">
      <alignment horizontal="center"/>
    </xf>
    <xf numFmtId="9" fontId="2" fillId="2" borderId="8" xfId="2" applyNumberFormat="1" applyBorder="1" applyAlignment="1">
      <alignment horizontal="center" vertical="center"/>
    </xf>
    <xf numFmtId="165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center" vertical="center"/>
    </xf>
    <xf numFmtId="165" fontId="3" fillId="3" borderId="8" xfId="3" applyNumberFormat="1" applyBorder="1" applyAlignment="1">
      <alignment horizontal="center" vertical="center"/>
    </xf>
    <xf numFmtId="0" fontId="5" fillId="0" borderId="2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4" fillId="4" borderId="2" xfId="4" applyBorder="1" applyAlignment="1">
      <alignment horizontal="center" vertical="top" wrapText="1"/>
    </xf>
    <xf numFmtId="14" fontId="5" fillId="0" borderId="2" xfId="0" applyNumberFormat="1" applyFont="1" applyBorder="1" applyAlignment="1">
      <alignment horizontal="left" vertical="top" wrapText="1"/>
    </xf>
    <xf numFmtId="0" fontId="19" fillId="0" borderId="0" xfId="0" applyFont="1" applyAlignment="1">
      <alignment wrapText="1"/>
    </xf>
    <xf numFmtId="0" fontId="6" fillId="5" borderId="2" xfId="0" applyFont="1" applyFill="1" applyBorder="1" applyAlignment="1">
      <alignment horizontal="center" vertical="center" wrapText="1"/>
    </xf>
    <xf numFmtId="164" fontId="6" fillId="5" borderId="2" xfId="0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left"/>
    </xf>
    <xf numFmtId="14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horizontal="left" vertical="center" wrapText="1"/>
    </xf>
    <xf numFmtId="0" fontId="19" fillId="0" borderId="0" xfId="0" applyFont="1" applyAlignment="1">
      <alignment horizontal="center" wrapText="1"/>
    </xf>
    <xf numFmtId="0" fontId="0" fillId="0" borderId="0" xfId="0" applyAlignment="1">
      <alignment vertical="top"/>
    </xf>
    <xf numFmtId="14" fontId="0" fillId="0" borderId="0" xfId="0" applyNumberForma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0" fontId="19" fillId="0" borderId="0" xfId="0" applyFont="1" applyAlignment="1">
      <alignment horizontal="left" vertical="top"/>
    </xf>
    <xf numFmtId="0" fontId="19" fillId="0" borderId="0" xfId="0" applyFont="1" applyAlignment="1">
      <alignment vertical="top"/>
    </xf>
    <xf numFmtId="0" fontId="19" fillId="0" borderId="0" xfId="0" applyFont="1" applyAlignment="1">
      <alignment vertical="top" wrapText="1"/>
    </xf>
    <xf numFmtId="0" fontId="19" fillId="6" borderId="0" xfId="0" applyFont="1" applyFill="1" applyAlignment="1">
      <alignment horizontal="left"/>
    </xf>
    <xf numFmtId="0" fontId="22" fillId="0" borderId="0" xfId="0" applyFont="1" applyAlignment="1">
      <alignment vertical="top" wrapText="1"/>
    </xf>
    <xf numFmtId="0" fontId="23" fillId="0" borderId="0" xfId="0" applyFont="1"/>
    <xf numFmtId="14" fontId="0" fillId="0" borderId="0" xfId="0" applyNumberFormat="1" applyAlignment="1">
      <alignment horizontal="center" vertical="center"/>
    </xf>
    <xf numFmtId="0" fontId="19" fillId="6" borderId="9" xfId="0" applyFont="1" applyFill="1" applyBorder="1" applyAlignment="1">
      <alignment horizontal="left"/>
    </xf>
    <xf numFmtId="0" fontId="0" fillId="6" borderId="0" xfId="0" applyFill="1"/>
    <xf numFmtId="0" fontId="20" fillId="6" borderId="0" xfId="0" applyFont="1" applyFill="1" applyAlignment="1">
      <alignment wrapText="1"/>
    </xf>
    <xf numFmtId="0" fontId="0" fillId="6" borderId="9" xfId="0" applyFill="1" applyBorder="1"/>
    <xf numFmtId="0" fontId="20" fillId="6" borderId="9" xfId="0" applyFont="1" applyFill="1" applyBorder="1" applyAlignment="1">
      <alignment wrapText="1"/>
    </xf>
    <xf numFmtId="0" fontId="12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top" wrapText="1"/>
    </xf>
    <xf numFmtId="14" fontId="5" fillId="0" borderId="0" xfId="0" applyNumberFormat="1" applyFont="1" applyAlignment="1">
      <alignment horizontal="left" vertical="top" wrapText="1"/>
    </xf>
    <xf numFmtId="0" fontId="5" fillId="0" borderId="0" xfId="0" applyFont="1" applyAlignment="1">
      <alignment horizontal="center" vertical="top" wrapText="1"/>
    </xf>
    <xf numFmtId="0" fontId="6" fillId="0" borderId="8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top" wrapText="1"/>
    </xf>
    <xf numFmtId="0" fontId="13" fillId="0" borderId="8" xfId="0" applyFont="1" applyBorder="1" applyAlignment="1">
      <alignment horizontal="left" vertical="top" wrapText="1"/>
    </xf>
    <xf numFmtId="0" fontId="0" fillId="0" borderId="10" xfId="0" applyBorder="1"/>
    <xf numFmtId="0" fontId="0" fillId="0" borderId="15" xfId="0" applyBorder="1"/>
    <xf numFmtId="0" fontId="5" fillId="0" borderId="11" xfId="0" applyFont="1" applyBorder="1" applyAlignment="1">
      <alignment vertical="top" wrapText="1"/>
    </xf>
    <xf numFmtId="0" fontId="5" fillId="0" borderId="3" xfId="0" applyFont="1" applyBorder="1" applyAlignment="1">
      <alignment vertical="top" wrapText="1"/>
    </xf>
    <xf numFmtId="0" fontId="5" fillId="0" borderId="16" xfId="0" applyFont="1" applyBorder="1" applyAlignment="1">
      <alignment vertical="top" wrapText="1"/>
    </xf>
    <xf numFmtId="0" fontId="0" fillId="0" borderId="0" xfId="0" applyAlignment="1">
      <alignment wrapText="1"/>
    </xf>
    <xf numFmtId="0" fontId="6" fillId="0" borderId="12" xfId="0" applyFont="1" applyBorder="1" applyAlignment="1">
      <alignment vertical="top" wrapText="1"/>
    </xf>
    <xf numFmtId="0" fontId="6" fillId="0" borderId="5" xfId="0" applyFont="1" applyBorder="1" applyAlignment="1">
      <alignment vertical="top" wrapText="1"/>
    </xf>
    <xf numFmtId="0" fontId="6" fillId="0" borderId="17" xfId="0" applyFont="1" applyBorder="1" applyAlignment="1">
      <alignment vertical="top" wrapText="1"/>
    </xf>
    <xf numFmtId="0" fontId="0" fillId="0" borderId="16" xfId="0" applyBorder="1"/>
    <xf numFmtId="0" fontId="0" fillId="0" borderId="19" xfId="0" applyBorder="1"/>
    <xf numFmtId="0" fontId="12" fillId="0" borderId="5" xfId="0" applyFont="1" applyBorder="1" applyAlignment="1">
      <alignment vertical="top" wrapText="1"/>
    </xf>
    <xf numFmtId="0" fontId="12" fillId="0" borderId="5" xfId="0" quotePrefix="1" applyFont="1" applyBorder="1" applyAlignment="1">
      <alignment vertical="top" wrapText="1"/>
    </xf>
    <xf numFmtId="0" fontId="12" fillId="0" borderId="12" xfId="0" applyFont="1" applyBorder="1" applyAlignment="1">
      <alignment vertical="top" wrapText="1"/>
    </xf>
    <xf numFmtId="0" fontId="5" fillId="0" borderId="15" xfId="0" applyFont="1" applyBorder="1" applyAlignment="1">
      <alignment vertical="top" wrapText="1"/>
    </xf>
    <xf numFmtId="0" fontId="6" fillId="0" borderId="15" xfId="0" applyFont="1" applyBorder="1" applyAlignment="1">
      <alignment vertical="top" wrapText="1"/>
    </xf>
    <xf numFmtId="0" fontId="12" fillId="0" borderId="17" xfId="0" applyFont="1" applyBorder="1" applyAlignment="1">
      <alignment vertical="top" wrapText="1"/>
    </xf>
    <xf numFmtId="0" fontId="12" fillId="0" borderId="3" xfId="0" applyFont="1" applyBorder="1" applyAlignment="1">
      <alignment vertical="top" wrapText="1"/>
    </xf>
    <xf numFmtId="0" fontId="5" fillId="0" borderId="1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12" fillId="0" borderId="3" xfId="0" applyFont="1" applyBorder="1" applyAlignment="1">
      <alignment horizontal="left" vertical="center" wrapText="1"/>
    </xf>
    <xf numFmtId="164" fontId="5" fillId="0" borderId="1" xfId="1" applyNumberFormat="1" applyFont="1" applyBorder="1" applyAlignment="1">
      <alignment horizontal="right" vertical="center" wrapText="1"/>
    </xf>
    <xf numFmtId="14" fontId="5" fillId="0" borderId="1" xfId="0" applyNumberFormat="1" applyFont="1" applyBorder="1" applyAlignment="1">
      <alignment horizontal="center" vertical="top" wrapText="1"/>
    </xf>
    <xf numFmtId="0" fontId="5" fillId="0" borderId="21" xfId="0" applyFont="1" applyBorder="1" applyAlignment="1">
      <alignment horizontal="left" vertical="top" wrapText="1"/>
    </xf>
    <xf numFmtId="14" fontId="5" fillId="0" borderId="21" xfId="0" applyNumberFormat="1" applyFont="1" applyBorder="1" applyAlignment="1">
      <alignment horizontal="center" vertical="top" wrapText="1"/>
    </xf>
    <xf numFmtId="0" fontId="5" fillId="0" borderId="21" xfId="0" applyFont="1" applyBorder="1" applyAlignment="1">
      <alignment horizontal="center" vertical="top" wrapText="1"/>
    </xf>
    <xf numFmtId="0" fontId="0" fillId="0" borderId="22" xfId="0" applyBorder="1"/>
    <xf numFmtId="0" fontId="5" fillId="0" borderId="24" xfId="0" applyFont="1" applyBorder="1" applyAlignment="1">
      <alignment horizontal="left" vertical="top" wrapText="1"/>
    </xf>
    <xf numFmtId="14" fontId="5" fillId="0" borderId="24" xfId="0" applyNumberFormat="1" applyFont="1" applyBorder="1" applyAlignment="1">
      <alignment horizontal="center" vertical="top" wrapText="1"/>
    </xf>
    <xf numFmtId="0" fontId="5" fillId="0" borderId="24" xfId="0" applyFont="1" applyBorder="1" applyAlignment="1">
      <alignment horizontal="center" vertical="top" wrapText="1"/>
    </xf>
    <xf numFmtId="0" fontId="0" fillId="0" borderId="25" xfId="0" applyBorder="1"/>
    <xf numFmtId="14" fontId="5" fillId="0" borderId="21" xfId="0" applyNumberFormat="1" applyFont="1" applyBorder="1" applyAlignment="1">
      <alignment horizontal="left" vertical="top" wrapText="1"/>
    </xf>
    <xf numFmtId="164" fontId="5" fillId="0" borderId="21" xfId="0" applyNumberFormat="1" applyFont="1" applyBorder="1" applyAlignment="1">
      <alignment horizontal="center" vertical="top" wrapText="1"/>
    </xf>
    <xf numFmtId="14" fontId="5" fillId="0" borderId="24" xfId="0" applyNumberFormat="1" applyFont="1" applyBorder="1" applyAlignment="1">
      <alignment horizontal="left" vertical="top" wrapText="1"/>
    </xf>
    <xf numFmtId="164" fontId="5" fillId="0" borderId="24" xfId="0" applyNumberFormat="1" applyFont="1" applyBorder="1" applyAlignment="1">
      <alignment horizontal="center" vertical="top" wrapText="1"/>
    </xf>
    <xf numFmtId="0" fontId="5" fillId="0" borderId="1" xfId="0" applyFont="1" applyBorder="1" applyAlignment="1">
      <alignment horizontal="left" vertical="top"/>
    </xf>
    <xf numFmtId="164" fontId="5" fillId="0" borderId="3" xfId="0" applyNumberFormat="1" applyFont="1" applyBorder="1" applyAlignment="1">
      <alignment horizontal="center" vertical="top" wrapText="1"/>
    </xf>
    <xf numFmtId="14" fontId="5" fillId="0" borderId="21" xfId="0" applyNumberFormat="1" applyFont="1" applyBorder="1" applyAlignment="1">
      <alignment horizontal="center" vertical="center" wrapText="1"/>
    </xf>
    <xf numFmtId="14" fontId="5" fillId="0" borderId="24" xfId="0" applyNumberFormat="1" applyFont="1" applyBorder="1" applyAlignment="1">
      <alignment horizontal="center" vertical="center" wrapText="1"/>
    </xf>
    <xf numFmtId="0" fontId="5" fillId="0" borderId="20" xfId="0" applyFont="1" applyBorder="1" applyAlignment="1">
      <alignment horizontal="left" vertical="top" wrapText="1"/>
    </xf>
    <xf numFmtId="0" fontId="5" fillId="0" borderId="23" xfId="0" applyFont="1" applyBorder="1" applyAlignment="1">
      <alignment horizontal="left" vertical="top" wrapText="1"/>
    </xf>
    <xf numFmtId="0" fontId="5" fillId="0" borderId="26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14" fontId="5" fillId="0" borderId="6" xfId="0" applyNumberFormat="1" applyFont="1" applyBorder="1" applyAlignment="1">
      <alignment horizontal="left" vertical="top" wrapText="1"/>
    </xf>
    <xf numFmtId="14" fontId="5" fillId="0" borderId="7" xfId="0" applyNumberFormat="1" applyFont="1" applyBorder="1" applyAlignment="1">
      <alignment horizontal="left" vertical="top" wrapText="1"/>
    </xf>
    <xf numFmtId="0" fontId="4" fillId="4" borderId="6" xfId="4" applyBorder="1" applyAlignment="1">
      <alignment horizontal="center" vertical="top" wrapText="1"/>
    </xf>
    <xf numFmtId="0" fontId="4" fillId="4" borderId="7" xfId="4" applyBorder="1" applyAlignment="1">
      <alignment horizontal="center" vertical="top" wrapText="1"/>
    </xf>
    <xf numFmtId="0" fontId="5" fillId="0" borderId="7" xfId="0" applyFont="1" applyBorder="1" applyAlignment="1">
      <alignment horizontal="left" vertical="top" wrapText="1"/>
    </xf>
    <xf numFmtId="14" fontId="5" fillId="0" borderId="0" xfId="0" applyNumberFormat="1" applyFont="1" applyAlignment="1">
      <alignment horizontal="left" vertical="top" wrapText="1"/>
    </xf>
    <xf numFmtId="0" fontId="4" fillId="4" borderId="0" xfId="4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5" fillId="0" borderId="4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3" fillId="3" borderId="2" xfId="3" applyBorder="1" applyAlignment="1">
      <alignment horizontal="center" vertical="top" wrapText="1"/>
    </xf>
    <xf numFmtId="0" fontId="3" fillId="3" borderId="3" xfId="3" applyBorder="1" applyAlignment="1">
      <alignment horizontal="center" vertical="top" wrapText="1"/>
    </xf>
    <xf numFmtId="0" fontId="3" fillId="3" borderId="4" xfId="3" applyBorder="1" applyAlignment="1">
      <alignment horizontal="center" vertical="top" wrapText="1"/>
    </xf>
    <xf numFmtId="0" fontId="4" fillId="4" borderId="2" xfId="4" applyBorder="1" applyAlignment="1">
      <alignment horizontal="center" vertical="top" wrapText="1"/>
    </xf>
    <xf numFmtId="0" fontId="4" fillId="4" borderId="3" xfId="4" applyBorder="1" applyAlignment="1">
      <alignment horizontal="center" vertical="top" wrapText="1"/>
    </xf>
    <xf numFmtId="0" fontId="4" fillId="4" borderId="4" xfId="4" applyBorder="1" applyAlignment="1">
      <alignment horizontal="center" vertical="top" wrapText="1"/>
    </xf>
    <xf numFmtId="14" fontId="5" fillId="0" borderId="2" xfId="0" applyNumberFormat="1" applyFont="1" applyBorder="1" applyAlignment="1">
      <alignment horizontal="left" vertical="top" wrapText="1"/>
    </xf>
    <xf numFmtId="14" fontId="5" fillId="0" borderId="4" xfId="0" applyNumberFormat="1" applyFont="1" applyBorder="1" applyAlignment="1">
      <alignment horizontal="left" vertical="top" wrapText="1"/>
    </xf>
    <xf numFmtId="164" fontId="5" fillId="0" borderId="2" xfId="0" applyNumberFormat="1" applyFont="1" applyBorder="1" applyAlignment="1">
      <alignment horizontal="center" vertical="top" wrapText="1"/>
    </xf>
    <xf numFmtId="164" fontId="5" fillId="0" borderId="4" xfId="0" applyNumberFormat="1" applyFont="1" applyBorder="1" applyAlignment="1">
      <alignment horizontal="center" vertical="top" wrapText="1"/>
    </xf>
    <xf numFmtId="0" fontId="4" fillId="4" borderId="0" xfId="4" applyAlignment="1">
      <alignment horizontal="center" vertical="top" wrapText="1"/>
    </xf>
    <xf numFmtId="0" fontId="5" fillId="7" borderId="2" xfId="0" applyFont="1" applyFill="1" applyBorder="1" applyAlignment="1">
      <alignment horizontal="center" vertical="top" wrapText="1"/>
    </xf>
    <xf numFmtId="0" fontId="19" fillId="0" borderId="0" xfId="0" applyFont="1" applyAlignment="1">
      <alignment horizontal="left" vertical="top"/>
    </xf>
    <xf numFmtId="0" fontId="19" fillId="0" borderId="27" xfId="0" applyFont="1" applyBorder="1" applyAlignment="1">
      <alignment horizontal="left" vertical="top"/>
    </xf>
    <xf numFmtId="0" fontId="19" fillId="0" borderId="28" xfId="0" applyFont="1" applyBorder="1" applyAlignment="1">
      <alignment horizontal="left" vertical="top"/>
    </xf>
    <xf numFmtId="0" fontId="19" fillId="0" borderId="29" xfId="0" applyFont="1" applyBorder="1" applyAlignment="1">
      <alignment horizontal="left" vertical="top"/>
    </xf>
    <xf numFmtId="0" fontId="5" fillId="0" borderId="1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5" fillId="0" borderId="14" xfId="0" applyFont="1" applyBorder="1" applyAlignment="1">
      <alignment horizontal="left" vertical="top" wrapText="1"/>
    </xf>
  </cellXfs>
  <cellStyles count="6">
    <cellStyle name="Гиперссылка" xfId="5" builtinId="8"/>
    <cellStyle name="Нейтральный" xfId="4" builtinId="28"/>
    <cellStyle name="Обычный" xfId="0" builtinId="0"/>
    <cellStyle name="Плохой" xfId="3" builtinId="27"/>
    <cellStyle name="Процентный" xfId="1" builtinId="5"/>
    <cellStyle name="Хороший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navigator.sigma.sbrf.ru/gdash/1000000820/1000007927" TargetMode="External"/><Relationship Id="rId3" Type="http://schemas.openxmlformats.org/officeDocument/2006/relationships/hyperlink" Target="https://qlik.sigma.sbrf.ru/qs_b2c_data/scim_sigma/sense/app/25e1a8c8-9a7c-4072-bf29-055bba63e97e/sheet/996accc8-5be9-4cf2-92f5-eb932bbf3980/state/analysis" TargetMode="External"/><Relationship Id="rId7" Type="http://schemas.openxmlformats.org/officeDocument/2006/relationships/hyperlink" Target="https://navigator.sigma.sbrf.ru/gdash/1000001002/1000010222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qlik.sigma.sbrf.ru/qs_b2c_data/scim_sigma/sense/app/25e1a8c8-9a7c-4072-bf29-055bba63e97e/sheet/996accc8-5be9-4cf2-92f5-eb932bbf3980/state/analysis" TargetMode="External"/><Relationship Id="rId1" Type="http://schemas.openxmlformats.org/officeDocument/2006/relationships/hyperlink" Target="https://rosstat.gov.ru/statistics/turizm" TargetMode="External"/><Relationship Id="rId6" Type="http://schemas.openxmlformats.org/officeDocument/2006/relationships/hyperlink" Target="https://navigator.sigma.sbrf.ru/gdash/1000001002/1000010105" TargetMode="External"/><Relationship Id="rId11" Type="http://schemas.openxmlformats.org/officeDocument/2006/relationships/hyperlink" Target="https://sbertrack.sberbank.ru/swtr/board/fc08e852-22a0-41c4-bd30-416aade9a5b2?space=INVESTMB&amp;tenant=default&amp;spaces=%5B%7B%22label%22%3A%22InvestMoneyBox%22%2C%22value%22%3A%22INVESTMB%22%7D%5D" TargetMode="External"/><Relationship Id="rId5" Type="http://schemas.openxmlformats.org/officeDocument/2006/relationships/hyperlink" Target="https://navigator.sigma.sbrf.ru/gdash/1000003899/1000039655?sSetGroup=7" TargetMode="External"/><Relationship Id="rId10" Type="http://schemas.openxmlformats.org/officeDocument/2006/relationships/hyperlink" Target="https://navigator.sigma.sbrf.ru/gdash/1000000826/1000008041" TargetMode="External"/><Relationship Id="rId4" Type="http://schemas.openxmlformats.org/officeDocument/2006/relationships/hyperlink" Target="https://navigator.sigma.sbrf.ru/gdash/1000000820/1000012918?period=2026-06-01%7C%7C%7C2026-06-30" TargetMode="External"/><Relationship Id="rId9" Type="http://schemas.openxmlformats.org/officeDocument/2006/relationships/hyperlink" Target="https://navigator.sigma.sbrf.ru/gdash/1000000820/1000012918?period=2026-06-01%7C%7C%7C2026-06-3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338"/>
  <sheetViews>
    <sheetView zoomScale="106" zoomScaleNormal="83" workbookViewId="0">
      <pane ySplit="1" topLeftCell="A2" activePane="bottomLeft" state="frozen"/>
      <selection pane="bottomLeft" activeCell="E5" sqref="E5"/>
    </sheetView>
  </sheetViews>
  <sheetFormatPr baseColWidth="10" defaultColWidth="8.83203125" defaultRowHeight="16"/>
  <cols>
    <col min="1" max="1" width="4.5" customWidth="1"/>
    <col min="2" max="2" width="12.83203125" customWidth="1"/>
    <col min="3" max="3" width="14" customWidth="1"/>
    <col min="4" max="4" width="18.1640625" customWidth="1"/>
    <col min="5" max="5" width="94.6640625" customWidth="1"/>
    <col min="6" max="6" width="18.6640625" style="14" customWidth="1"/>
    <col min="7" max="7" width="14.83203125" style="23" customWidth="1"/>
    <col min="8" max="8" width="14" style="14" customWidth="1"/>
  </cols>
  <sheetData>
    <row r="1" spans="2:8" ht="60"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5" t="s">
        <v>5</v>
      </c>
      <c r="H1" s="3" t="s">
        <v>6</v>
      </c>
    </row>
    <row r="2" spans="2:8" ht="20.25" customHeight="1">
      <c r="B2" s="1" t="s">
        <v>8</v>
      </c>
      <c r="C2" s="1" t="s">
        <v>9</v>
      </c>
      <c r="D2" s="1" t="s">
        <v>10</v>
      </c>
      <c r="E2" s="1" t="s">
        <v>11</v>
      </c>
      <c r="F2" s="4">
        <v>46230</v>
      </c>
      <c r="G2" s="6">
        <v>5.7</v>
      </c>
      <c r="H2" s="13" t="s">
        <v>12</v>
      </c>
    </row>
    <row r="3" spans="2:8" ht="17">
      <c r="B3" s="1" t="s">
        <v>8</v>
      </c>
      <c r="C3" s="1" t="s">
        <v>9</v>
      </c>
      <c r="D3" s="1" t="s">
        <v>10</v>
      </c>
      <c r="E3" s="1" t="s">
        <v>13</v>
      </c>
      <c r="F3" s="4">
        <v>46230</v>
      </c>
      <c r="G3" s="6">
        <v>5.7</v>
      </c>
      <c r="H3" s="13" t="s">
        <v>12</v>
      </c>
    </row>
    <row r="4" spans="2:8" ht="17">
      <c r="B4" s="1" t="s">
        <v>8</v>
      </c>
      <c r="C4" s="1" t="s">
        <v>9</v>
      </c>
      <c r="D4" s="1" t="s">
        <v>10</v>
      </c>
      <c r="E4" s="1" t="s">
        <v>14</v>
      </c>
      <c r="F4" s="4">
        <v>46230</v>
      </c>
      <c r="G4" s="6">
        <v>5.7</v>
      </c>
      <c r="H4" s="13" t="s">
        <v>12</v>
      </c>
    </row>
    <row r="5" spans="2:8" ht="30">
      <c r="B5" s="1" t="s">
        <v>8</v>
      </c>
      <c r="C5" s="1" t="s">
        <v>9</v>
      </c>
      <c r="D5" s="1" t="s">
        <v>15</v>
      </c>
      <c r="E5" s="1" t="s">
        <v>16</v>
      </c>
      <c r="F5" s="4">
        <v>46230</v>
      </c>
      <c r="G5" s="6">
        <v>1.5</v>
      </c>
      <c r="H5" s="13" t="s">
        <v>12</v>
      </c>
    </row>
    <row r="6" spans="2:8" ht="20.25" customHeight="1">
      <c r="B6" s="1" t="s">
        <v>8</v>
      </c>
      <c r="C6" s="1" t="s">
        <v>9</v>
      </c>
      <c r="D6" s="1" t="s">
        <v>17</v>
      </c>
      <c r="E6" s="1" t="s">
        <v>18</v>
      </c>
      <c r="F6" s="4">
        <v>46230</v>
      </c>
      <c r="G6" s="6">
        <v>1.5</v>
      </c>
      <c r="H6" s="13" t="s">
        <v>12</v>
      </c>
    </row>
    <row r="7" spans="2:8" ht="31.5" customHeight="1">
      <c r="B7" s="1" t="s">
        <v>8</v>
      </c>
      <c r="C7" s="1" t="s">
        <v>9</v>
      </c>
      <c r="D7" s="1" t="s">
        <v>17</v>
      </c>
      <c r="E7" s="1" t="s">
        <v>19</v>
      </c>
      <c r="F7" s="4">
        <v>46230</v>
      </c>
      <c r="G7" s="6">
        <v>1.4</v>
      </c>
      <c r="H7" s="13" t="s">
        <v>12</v>
      </c>
    </row>
    <row r="8" spans="2:8" ht="28.5" customHeight="1">
      <c r="B8" s="1" t="s">
        <v>8</v>
      </c>
      <c r="C8" s="1" t="s">
        <v>9</v>
      </c>
      <c r="D8" s="1" t="s">
        <v>20</v>
      </c>
      <c r="E8" s="9" t="s">
        <v>96</v>
      </c>
      <c r="F8" s="4">
        <v>46295</v>
      </c>
      <c r="G8" s="6">
        <v>5.7</v>
      </c>
      <c r="H8" s="11" t="s">
        <v>21</v>
      </c>
    </row>
    <row r="9" spans="2:8" ht="23.25" customHeight="1">
      <c r="B9" s="1" t="s">
        <v>8</v>
      </c>
      <c r="C9" s="1" t="s">
        <v>9</v>
      </c>
      <c r="D9" s="1" t="s">
        <v>20</v>
      </c>
      <c r="E9" s="1" t="s">
        <v>22</v>
      </c>
      <c r="F9" s="4">
        <v>46265</v>
      </c>
      <c r="G9" s="6">
        <v>2.9</v>
      </c>
      <c r="H9" s="11" t="s">
        <v>21</v>
      </c>
    </row>
    <row r="10" spans="2:8" ht="27.75" customHeight="1">
      <c r="B10" s="1" t="s">
        <v>23</v>
      </c>
      <c r="C10" s="1" t="s">
        <v>9</v>
      </c>
      <c r="D10" s="1" t="s">
        <v>15</v>
      </c>
      <c r="E10" s="1" t="s">
        <v>16</v>
      </c>
      <c r="F10" s="4">
        <v>46239</v>
      </c>
      <c r="G10" s="6">
        <v>3.4</v>
      </c>
      <c r="H10" s="13" t="s">
        <v>12</v>
      </c>
    </row>
    <row r="11" spans="2:8" ht="30">
      <c r="B11" s="1" t="s">
        <v>23</v>
      </c>
      <c r="C11" s="1" t="s">
        <v>24</v>
      </c>
      <c r="D11" s="1" t="s">
        <v>15</v>
      </c>
      <c r="E11" s="1" t="s">
        <v>25</v>
      </c>
      <c r="F11" s="4">
        <v>46325</v>
      </c>
      <c r="G11" s="6">
        <v>2</v>
      </c>
      <c r="H11" s="12" t="s">
        <v>26</v>
      </c>
    </row>
    <row r="12" spans="2:8" ht="17">
      <c r="B12" s="1" t="s">
        <v>23</v>
      </c>
      <c r="C12" s="1" t="s">
        <v>9</v>
      </c>
      <c r="D12" s="1" t="s">
        <v>27</v>
      </c>
      <c r="E12" s="1" t="s">
        <v>28</v>
      </c>
      <c r="F12" s="4">
        <v>46265</v>
      </c>
      <c r="G12" s="6">
        <v>2</v>
      </c>
      <c r="H12" s="11" t="s">
        <v>21</v>
      </c>
    </row>
    <row r="13" spans="2:8" ht="18.75" customHeight="1">
      <c r="B13" s="1" t="s">
        <v>23</v>
      </c>
      <c r="C13" s="1" t="s">
        <v>9</v>
      </c>
      <c r="D13" s="1" t="s">
        <v>17</v>
      </c>
      <c r="E13" s="1" t="s">
        <v>29</v>
      </c>
      <c r="F13" s="4">
        <v>46265</v>
      </c>
      <c r="G13" s="6">
        <v>1</v>
      </c>
      <c r="H13" s="11" t="s">
        <v>21</v>
      </c>
    </row>
    <row r="14" spans="2:8" ht="30">
      <c r="B14" s="1" t="s">
        <v>23</v>
      </c>
      <c r="C14" s="1" t="s">
        <v>9</v>
      </c>
      <c r="D14" s="1" t="s">
        <v>17</v>
      </c>
      <c r="E14" s="1" t="s">
        <v>30</v>
      </c>
      <c r="F14" s="4">
        <v>46265</v>
      </c>
      <c r="G14" s="6">
        <v>2</v>
      </c>
      <c r="H14" s="11" t="s">
        <v>21</v>
      </c>
    </row>
    <row r="15" spans="2:8" ht="30">
      <c r="B15" s="1" t="s">
        <v>23</v>
      </c>
      <c r="C15" s="1" t="s">
        <v>9</v>
      </c>
      <c r="D15" s="1" t="s">
        <v>17</v>
      </c>
      <c r="E15" s="1" t="s">
        <v>31</v>
      </c>
      <c r="F15" s="4">
        <v>46265</v>
      </c>
      <c r="G15" s="6">
        <v>2</v>
      </c>
      <c r="H15" s="11" t="s">
        <v>21</v>
      </c>
    </row>
    <row r="16" spans="2:8" ht="17">
      <c r="B16" s="1" t="s">
        <v>23</v>
      </c>
      <c r="C16" s="1" t="s">
        <v>9</v>
      </c>
      <c r="D16" s="1" t="s">
        <v>27</v>
      </c>
      <c r="E16" s="1" t="s">
        <v>32</v>
      </c>
      <c r="F16" s="4">
        <v>46265</v>
      </c>
      <c r="G16" s="6">
        <v>2</v>
      </c>
      <c r="H16" s="11" t="s">
        <v>21</v>
      </c>
    </row>
    <row r="17" spans="2:8" ht="17">
      <c r="B17" s="1" t="s">
        <v>23</v>
      </c>
      <c r="C17" s="1" t="s">
        <v>9</v>
      </c>
      <c r="D17" s="1" t="s">
        <v>27</v>
      </c>
      <c r="E17" s="1" t="s">
        <v>31</v>
      </c>
      <c r="F17" s="4">
        <v>46265</v>
      </c>
      <c r="G17" s="6">
        <v>2</v>
      </c>
      <c r="H17" s="11" t="s">
        <v>21</v>
      </c>
    </row>
    <row r="18" spans="2:8" ht="28.5" customHeight="1">
      <c r="B18" s="1" t="s">
        <v>23</v>
      </c>
      <c r="C18" s="1" t="s">
        <v>24</v>
      </c>
      <c r="D18" s="1" t="s">
        <v>10</v>
      </c>
      <c r="E18" s="1" t="s">
        <v>33</v>
      </c>
      <c r="F18" s="4">
        <v>46325</v>
      </c>
      <c r="G18" s="6">
        <v>3.9</v>
      </c>
      <c r="H18" s="12" t="s">
        <v>26</v>
      </c>
    </row>
    <row r="19" spans="2:8" ht="28.5" customHeight="1">
      <c r="B19" s="1" t="s">
        <v>23</v>
      </c>
      <c r="C19" s="1" t="s">
        <v>24</v>
      </c>
      <c r="D19" s="1" t="s">
        <v>10</v>
      </c>
      <c r="E19" s="1" t="s">
        <v>34</v>
      </c>
      <c r="F19" s="4">
        <v>46325</v>
      </c>
      <c r="G19" s="6">
        <v>2</v>
      </c>
      <c r="H19" s="12" t="s">
        <v>26</v>
      </c>
    </row>
    <row r="20" spans="2:8" ht="27" customHeight="1">
      <c r="B20" s="1" t="s">
        <v>35</v>
      </c>
      <c r="C20" s="1" t="s">
        <v>36</v>
      </c>
      <c r="D20" s="1" t="s">
        <v>15</v>
      </c>
      <c r="E20" s="1" t="s">
        <v>37</v>
      </c>
      <c r="F20" s="4">
        <v>46356</v>
      </c>
      <c r="G20" s="6">
        <v>3.8</v>
      </c>
      <c r="H20" s="11" t="s">
        <v>21</v>
      </c>
    </row>
    <row r="21" spans="2:8" ht="29.25" customHeight="1">
      <c r="B21" s="1" t="s">
        <v>35</v>
      </c>
      <c r="C21" s="1" t="s">
        <v>36</v>
      </c>
      <c r="D21" s="1" t="s">
        <v>10</v>
      </c>
      <c r="E21" s="1" t="s">
        <v>38</v>
      </c>
      <c r="F21" s="4">
        <v>46356</v>
      </c>
      <c r="G21" s="6">
        <v>3.3</v>
      </c>
      <c r="H21" s="11" t="s">
        <v>21</v>
      </c>
    </row>
    <row r="22" spans="2:8" ht="18" customHeight="1">
      <c r="B22" s="1" t="s">
        <v>35</v>
      </c>
      <c r="C22" s="1" t="s">
        <v>36</v>
      </c>
      <c r="D22" s="1" t="s">
        <v>39</v>
      </c>
      <c r="E22" s="1" t="s">
        <v>40</v>
      </c>
      <c r="F22" s="4">
        <v>46356</v>
      </c>
      <c r="G22" s="6">
        <v>1.9</v>
      </c>
      <c r="H22" s="11" t="s">
        <v>21</v>
      </c>
    </row>
    <row r="23" spans="2:8" ht="15.75" customHeight="1">
      <c r="B23" s="123" t="s">
        <v>41</v>
      </c>
      <c r="C23" s="123" t="s">
        <v>9</v>
      </c>
      <c r="D23" s="123" t="s">
        <v>15</v>
      </c>
      <c r="E23" s="7" t="s">
        <v>42</v>
      </c>
      <c r="F23" s="123" t="s">
        <v>43</v>
      </c>
      <c r="G23" s="126">
        <v>4.5</v>
      </c>
      <c r="H23" s="132" t="s">
        <v>21</v>
      </c>
    </row>
    <row r="24" spans="2:8">
      <c r="B24" s="124"/>
      <c r="C24" s="124"/>
      <c r="D24" s="124"/>
      <c r="E24" s="16" t="s">
        <v>44</v>
      </c>
      <c r="F24" s="124"/>
      <c r="G24" s="127"/>
      <c r="H24" s="133"/>
    </row>
    <row r="25" spans="2:8">
      <c r="B25" s="124"/>
      <c r="C25" s="124"/>
      <c r="D25" s="124"/>
      <c r="E25" s="17" t="s">
        <v>45</v>
      </c>
      <c r="F25" s="124"/>
      <c r="G25" s="127"/>
      <c r="H25" s="133"/>
    </row>
    <row r="26" spans="2:8">
      <c r="B26" s="124"/>
      <c r="C26" s="124"/>
      <c r="D26" s="124"/>
      <c r="E26" s="16" t="s">
        <v>46</v>
      </c>
      <c r="F26" s="124"/>
      <c r="G26" s="127"/>
      <c r="H26" s="133"/>
    </row>
    <row r="27" spans="2:8">
      <c r="B27" s="124"/>
      <c r="C27" s="124"/>
      <c r="D27" s="124"/>
      <c r="E27" s="18" t="s">
        <v>47</v>
      </c>
      <c r="F27" s="124"/>
      <c r="G27" s="127"/>
      <c r="H27" s="133"/>
    </row>
    <row r="28" spans="2:8">
      <c r="B28" s="124"/>
      <c r="C28" s="124"/>
      <c r="D28" s="124"/>
      <c r="E28" s="16" t="s">
        <v>48</v>
      </c>
      <c r="F28" s="124"/>
      <c r="G28" s="127"/>
      <c r="H28" s="133"/>
    </row>
    <row r="29" spans="2:8">
      <c r="B29" s="124"/>
      <c r="C29" s="124"/>
      <c r="D29" s="124"/>
      <c r="E29" s="16"/>
      <c r="F29" s="124"/>
      <c r="G29" s="127"/>
      <c r="H29" s="133"/>
    </row>
    <row r="30" spans="2:8">
      <c r="B30" s="124"/>
      <c r="C30" s="124"/>
      <c r="D30" s="124"/>
      <c r="E30" s="16" t="s">
        <v>49</v>
      </c>
      <c r="F30" s="124"/>
      <c r="G30" s="127"/>
      <c r="H30" s="133"/>
    </row>
    <row r="31" spans="2:8">
      <c r="B31" s="124"/>
      <c r="C31" s="124"/>
      <c r="D31" s="124"/>
      <c r="E31" s="16" t="s">
        <v>44</v>
      </c>
      <c r="F31" s="124"/>
      <c r="G31" s="127"/>
      <c r="H31" s="133"/>
    </row>
    <row r="32" spans="2:8">
      <c r="B32" s="124"/>
      <c r="C32" s="124"/>
      <c r="D32" s="124"/>
      <c r="E32" s="17" t="s">
        <v>45</v>
      </c>
      <c r="F32" s="124"/>
      <c r="G32" s="127"/>
      <c r="H32" s="133"/>
    </row>
    <row r="33" spans="2:8">
      <c r="B33" s="124"/>
      <c r="C33" s="124"/>
      <c r="D33" s="124"/>
      <c r="E33" s="16" t="s">
        <v>46</v>
      </c>
      <c r="F33" s="124"/>
      <c r="G33" s="127"/>
      <c r="H33" s="133"/>
    </row>
    <row r="34" spans="2:8">
      <c r="B34" s="124"/>
      <c r="C34" s="124"/>
      <c r="D34" s="124"/>
      <c r="E34" s="16" t="s">
        <v>97</v>
      </c>
      <c r="F34" s="124"/>
      <c r="G34" s="127"/>
      <c r="H34" s="133"/>
    </row>
    <row r="35" spans="2:8">
      <c r="B35" s="124"/>
      <c r="C35" s="124"/>
      <c r="D35" s="124"/>
      <c r="E35" s="16" t="s">
        <v>98</v>
      </c>
      <c r="F35" s="124"/>
      <c r="G35" s="127"/>
      <c r="H35" s="133"/>
    </row>
    <row r="36" spans="2:8">
      <c r="B36" s="124"/>
      <c r="C36" s="124"/>
      <c r="D36" s="124"/>
      <c r="E36" s="16" t="s">
        <v>50</v>
      </c>
      <c r="F36" s="124"/>
      <c r="G36" s="127"/>
      <c r="H36" s="133"/>
    </row>
    <row r="37" spans="2:8">
      <c r="B37" s="124"/>
      <c r="C37" s="124"/>
      <c r="D37" s="124"/>
      <c r="E37" s="16"/>
      <c r="F37" s="124"/>
      <c r="G37" s="127"/>
      <c r="H37" s="133"/>
    </row>
    <row r="38" spans="2:8">
      <c r="B38" s="124"/>
      <c r="C38" s="124"/>
      <c r="D38" s="124"/>
      <c r="E38" s="16" t="s">
        <v>51</v>
      </c>
      <c r="F38" s="124"/>
      <c r="G38" s="127"/>
      <c r="H38" s="133"/>
    </row>
    <row r="39" spans="2:8">
      <c r="B39" s="124"/>
      <c r="C39" s="124"/>
      <c r="D39" s="124"/>
      <c r="E39" s="16" t="s">
        <v>44</v>
      </c>
      <c r="F39" s="124"/>
      <c r="G39" s="127"/>
      <c r="H39" s="133"/>
    </row>
    <row r="40" spans="2:8">
      <c r="B40" s="124"/>
      <c r="C40" s="124"/>
      <c r="D40" s="124"/>
      <c r="E40" s="17" t="s">
        <v>45</v>
      </c>
      <c r="F40" s="124"/>
      <c r="G40" s="127"/>
      <c r="H40" s="133"/>
    </row>
    <row r="41" spans="2:8">
      <c r="B41" s="124"/>
      <c r="C41" s="124"/>
      <c r="D41" s="124"/>
      <c r="E41" s="16" t="s">
        <v>46</v>
      </c>
      <c r="F41" s="124"/>
      <c r="G41" s="127"/>
      <c r="H41" s="133"/>
    </row>
    <row r="42" spans="2:8">
      <c r="B42" s="124"/>
      <c r="C42" s="124"/>
      <c r="D42" s="124"/>
      <c r="E42" s="16" t="s">
        <v>99</v>
      </c>
      <c r="F42" s="124"/>
      <c r="G42" s="127"/>
      <c r="H42" s="133"/>
    </row>
    <row r="43" spans="2:8">
      <c r="B43" s="124"/>
      <c r="C43" s="124"/>
      <c r="D43" s="124"/>
      <c r="E43" s="16" t="s">
        <v>52</v>
      </c>
      <c r="F43" s="124"/>
      <c r="G43" s="127"/>
      <c r="H43" s="133"/>
    </row>
    <row r="44" spans="2:8">
      <c r="B44" s="124"/>
      <c r="C44" s="124"/>
      <c r="D44" s="124"/>
      <c r="E44" s="16"/>
      <c r="F44" s="124"/>
      <c r="G44" s="127"/>
      <c r="H44" s="133"/>
    </row>
    <row r="45" spans="2:8">
      <c r="B45" s="124"/>
      <c r="C45" s="124"/>
      <c r="D45" s="124"/>
      <c r="E45" s="16" t="s">
        <v>53</v>
      </c>
      <c r="F45" s="124"/>
      <c r="G45" s="127"/>
      <c r="H45" s="133"/>
    </row>
    <row r="46" spans="2:8">
      <c r="B46" s="124"/>
      <c r="C46" s="124"/>
      <c r="D46" s="124"/>
      <c r="E46" s="16" t="s">
        <v>44</v>
      </c>
      <c r="F46" s="124"/>
      <c r="G46" s="127"/>
      <c r="H46" s="133"/>
    </row>
    <row r="47" spans="2:8">
      <c r="B47" s="124"/>
      <c r="C47" s="124"/>
      <c r="D47" s="124"/>
      <c r="E47" s="17" t="s">
        <v>45</v>
      </c>
      <c r="F47" s="124"/>
      <c r="G47" s="127"/>
      <c r="H47" s="133"/>
    </row>
    <row r="48" spans="2:8">
      <c r="B48" s="124"/>
      <c r="C48" s="124"/>
      <c r="D48" s="124"/>
      <c r="E48" s="16" t="s">
        <v>46</v>
      </c>
      <c r="F48" s="124"/>
      <c r="G48" s="127"/>
      <c r="H48" s="133"/>
    </row>
    <row r="49" spans="2:8">
      <c r="B49" s="124"/>
      <c r="C49" s="124"/>
      <c r="D49" s="124"/>
      <c r="E49" s="16" t="s">
        <v>100</v>
      </c>
      <c r="F49" s="124"/>
      <c r="G49" s="127"/>
      <c r="H49" s="133"/>
    </row>
    <row r="50" spans="2:8">
      <c r="B50" s="124"/>
      <c r="C50" s="124"/>
      <c r="D50" s="124"/>
      <c r="E50" s="16" t="s">
        <v>101</v>
      </c>
      <c r="F50" s="124"/>
      <c r="G50" s="127"/>
      <c r="H50" s="133"/>
    </row>
    <row r="51" spans="2:8">
      <c r="B51" s="124"/>
      <c r="C51" s="124"/>
      <c r="D51" s="124"/>
      <c r="E51" s="16"/>
      <c r="F51" s="124"/>
      <c r="G51" s="127"/>
      <c r="H51" s="133"/>
    </row>
    <row r="52" spans="2:8">
      <c r="B52" s="124"/>
      <c r="C52" s="124"/>
      <c r="D52" s="124"/>
      <c r="E52" s="16" t="s">
        <v>54</v>
      </c>
      <c r="F52" s="124"/>
      <c r="G52" s="127"/>
      <c r="H52" s="133"/>
    </row>
    <row r="53" spans="2:8">
      <c r="B53" s="124"/>
      <c r="C53" s="124"/>
      <c r="D53" s="124"/>
      <c r="E53" s="16" t="s">
        <v>55</v>
      </c>
      <c r="F53" s="124"/>
      <c r="G53" s="127"/>
      <c r="H53" s="133"/>
    </row>
    <row r="54" spans="2:8">
      <c r="B54" s="124"/>
      <c r="C54" s="124"/>
      <c r="D54" s="124"/>
      <c r="E54" s="17" t="s">
        <v>56</v>
      </c>
      <c r="F54" s="124"/>
      <c r="G54" s="127"/>
      <c r="H54" s="133"/>
    </row>
    <row r="55" spans="2:8">
      <c r="B55" s="124"/>
      <c r="C55" s="124"/>
      <c r="D55" s="124"/>
      <c r="E55" s="16"/>
      <c r="F55" s="124"/>
      <c r="G55" s="127"/>
      <c r="H55" s="133"/>
    </row>
    <row r="56" spans="2:8">
      <c r="B56" s="124"/>
      <c r="C56" s="124"/>
      <c r="D56" s="124"/>
      <c r="E56" s="16" t="s">
        <v>57</v>
      </c>
      <c r="F56" s="124"/>
      <c r="G56" s="127"/>
      <c r="H56" s="133"/>
    </row>
    <row r="57" spans="2:8">
      <c r="B57" s="124"/>
      <c r="C57" s="124"/>
      <c r="D57" s="124"/>
      <c r="E57" s="16" t="s">
        <v>55</v>
      </c>
      <c r="F57" s="124"/>
      <c r="G57" s="127"/>
      <c r="H57" s="133"/>
    </row>
    <row r="58" spans="2:8">
      <c r="B58" s="125"/>
      <c r="C58" s="125"/>
      <c r="D58" s="125"/>
      <c r="E58" s="17" t="s">
        <v>56</v>
      </c>
      <c r="F58" s="125"/>
      <c r="G58" s="128"/>
      <c r="H58" s="133"/>
    </row>
    <row r="59" spans="2:8">
      <c r="B59" s="123" t="s">
        <v>41</v>
      </c>
      <c r="C59" s="123" t="s">
        <v>9</v>
      </c>
      <c r="D59" s="123" t="s">
        <v>17</v>
      </c>
      <c r="E59" s="7" t="s">
        <v>18</v>
      </c>
      <c r="F59" s="123" t="s">
        <v>43</v>
      </c>
      <c r="G59" s="126">
        <v>7.9</v>
      </c>
      <c r="H59" s="139" t="s">
        <v>21</v>
      </c>
    </row>
    <row r="60" spans="2:8">
      <c r="B60" s="124"/>
      <c r="C60" s="124"/>
      <c r="D60" s="124"/>
      <c r="E60" s="16" t="s">
        <v>55</v>
      </c>
      <c r="F60" s="124"/>
      <c r="G60" s="127"/>
      <c r="H60" s="139"/>
    </row>
    <row r="61" spans="2:8">
      <c r="B61" s="124"/>
      <c r="C61" s="124"/>
      <c r="D61" s="124"/>
      <c r="E61" s="17" t="s">
        <v>56</v>
      </c>
      <c r="F61" s="124"/>
      <c r="G61" s="127"/>
      <c r="H61" s="133"/>
    </row>
    <row r="62" spans="2:8">
      <c r="B62" s="124"/>
      <c r="C62" s="124"/>
      <c r="D62" s="124"/>
      <c r="E62" s="16"/>
      <c r="F62" s="124"/>
      <c r="G62" s="127"/>
      <c r="H62" s="139"/>
    </row>
    <row r="63" spans="2:8">
      <c r="B63" s="124"/>
      <c r="C63" s="124"/>
      <c r="D63" s="124"/>
      <c r="E63" s="16" t="s">
        <v>58</v>
      </c>
      <c r="F63" s="124"/>
      <c r="G63" s="127"/>
      <c r="H63" s="139"/>
    </row>
    <row r="64" spans="2:8">
      <c r="B64" s="124"/>
      <c r="C64" s="124"/>
      <c r="D64" s="124"/>
      <c r="E64" s="16" t="s">
        <v>55</v>
      </c>
      <c r="F64" s="124"/>
      <c r="G64" s="127"/>
      <c r="H64" s="139"/>
    </row>
    <row r="65" spans="2:8">
      <c r="B65" s="124"/>
      <c r="C65" s="124"/>
      <c r="D65" s="124"/>
      <c r="E65" s="17" t="s">
        <v>56</v>
      </c>
      <c r="F65" s="124"/>
      <c r="G65" s="127"/>
      <c r="H65" s="139"/>
    </row>
    <row r="66" spans="2:8">
      <c r="B66" s="124"/>
      <c r="C66" s="124"/>
      <c r="D66" s="124"/>
      <c r="E66" s="16"/>
      <c r="F66" s="124"/>
      <c r="G66" s="127"/>
      <c r="H66" s="139"/>
    </row>
    <row r="67" spans="2:8">
      <c r="B67" s="124"/>
      <c r="C67" s="124"/>
      <c r="D67" s="124"/>
      <c r="E67" s="16" t="s">
        <v>59</v>
      </c>
      <c r="F67" s="124"/>
      <c r="G67" s="127"/>
      <c r="H67" s="139"/>
    </row>
    <row r="68" spans="2:8">
      <c r="B68" s="124"/>
      <c r="C68" s="124"/>
      <c r="D68" s="124"/>
      <c r="E68" s="16" t="s">
        <v>55</v>
      </c>
      <c r="F68" s="124"/>
      <c r="G68" s="127"/>
      <c r="H68" s="139"/>
    </row>
    <row r="69" spans="2:8">
      <c r="B69" s="124"/>
      <c r="C69" s="124"/>
      <c r="D69" s="124"/>
      <c r="E69" s="17" t="s">
        <v>56</v>
      </c>
      <c r="F69" s="124"/>
      <c r="G69" s="127"/>
      <c r="H69" s="139"/>
    </row>
    <row r="70" spans="2:8">
      <c r="B70" s="124"/>
      <c r="C70" s="124"/>
      <c r="D70" s="124"/>
      <c r="E70" s="16"/>
      <c r="F70" s="124"/>
      <c r="G70" s="127"/>
      <c r="H70" s="139"/>
    </row>
    <row r="71" spans="2:8">
      <c r="B71" s="124"/>
      <c r="C71" s="124"/>
      <c r="D71" s="124"/>
      <c r="E71" s="16" t="s">
        <v>60</v>
      </c>
      <c r="F71" s="124"/>
      <c r="G71" s="127"/>
      <c r="H71" s="139"/>
    </row>
    <row r="72" spans="2:8">
      <c r="B72" s="124"/>
      <c r="C72" s="124"/>
      <c r="D72" s="124"/>
      <c r="E72" s="16" t="s">
        <v>44</v>
      </c>
      <c r="F72" s="124"/>
      <c r="G72" s="127"/>
      <c r="H72" s="139"/>
    </row>
    <row r="73" spans="2:8">
      <c r="B73" s="124"/>
      <c r="C73" s="124"/>
      <c r="D73" s="124"/>
      <c r="E73" s="17" t="s">
        <v>45</v>
      </c>
      <c r="F73" s="124"/>
      <c r="G73" s="127"/>
      <c r="H73" s="139"/>
    </row>
    <row r="74" spans="2:8">
      <c r="B74" s="124"/>
      <c r="C74" s="124"/>
      <c r="D74" s="124"/>
      <c r="E74" s="16"/>
      <c r="F74" s="124"/>
      <c r="G74" s="127"/>
      <c r="H74" s="139"/>
    </row>
    <row r="75" spans="2:8">
      <c r="B75" s="124"/>
      <c r="C75" s="124"/>
      <c r="D75" s="124"/>
      <c r="E75" s="16" t="s">
        <v>61</v>
      </c>
      <c r="F75" s="124"/>
      <c r="G75" s="127"/>
      <c r="H75" s="139"/>
    </row>
    <row r="76" spans="2:8">
      <c r="B76" s="124"/>
      <c r="C76" s="124"/>
      <c r="D76" s="124"/>
      <c r="E76" s="16" t="s">
        <v>44</v>
      </c>
      <c r="F76" s="124"/>
      <c r="G76" s="127"/>
      <c r="H76" s="139"/>
    </row>
    <row r="77" spans="2:8">
      <c r="B77" s="124"/>
      <c r="C77" s="124"/>
      <c r="D77" s="124"/>
      <c r="E77" s="17" t="s">
        <v>62</v>
      </c>
      <c r="F77" s="124"/>
      <c r="G77" s="127"/>
      <c r="H77" s="139"/>
    </row>
    <row r="78" spans="2:8">
      <c r="B78" s="124"/>
      <c r="C78" s="124"/>
      <c r="D78" s="124"/>
      <c r="E78" s="18" t="s">
        <v>63</v>
      </c>
      <c r="F78" s="124"/>
      <c r="G78" s="127"/>
      <c r="H78" s="139"/>
    </row>
    <row r="79" spans="2:8">
      <c r="B79" s="124"/>
      <c r="C79" s="124"/>
      <c r="D79" s="124"/>
      <c r="E79" s="19"/>
      <c r="F79" s="124"/>
      <c r="G79" s="127"/>
      <c r="H79" s="139"/>
    </row>
    <row r="80" spans="2:8">
      <c r="B80" s="124"/>
      <c r="C80" s="124"/>
      <c r="D80" s="124"/>
      <c r="E80" s="16" t="s">
        <v>64</v>
      </c>
      <c r="F80" s="124"/>
      <c r="G80" s="127"/>
      <c r="H80" s="139"/>
    </row>
    <row r="81" spans="2:8">
      <c r="B81" s="124"/>
      <c r="C81" s="124"/>
      <c r="D81" s="124"/>
      <c r="E81" s="16" t="s">
        <v>44</v>
      </c>
      <c r="F81" s="124"/>
      <c r="G81" s="127"/>
      <c r="H81" s="139"/>
    </row>
    <row r="82" spans="2:8">
      <c r="B82" s="124"/>
      <c r="C82" s="124"/>
      <c r="D82" s="124"/>
      <c r="E82" s="17" t="s">
        <v>62</v>
      </c>
      <c r="F82" s="124"/>
      <c r="G82" s="127"/>
      <c r="H82" s="139"/>
    </row>
    <row r="83" spans="2:8">
      <c r="B83" s="125"/>
      <c r="C83" s="125"/>
      <c r="D83" s="125"/>
      <c r="E83" s="20" t="s">
        <v>63</v>
      </c>
      <c r="F83" s="125"/>
      <c r="G83" s="128"/>
      <c r="H83" s="134"/>
    </row>
    <row r="84" spans="2:8">
      <c r="B84" s="123" t="s">
        <v>41</v>
      </c>
      <c r="C84" s="123" t="s">
        <v>9</v>
      </c>
      <c r="D84" s="123" t="s">
        <v>65</v>
      </c>
      <c r="E84" s="7" t="s">
        <v>66</v>
      </c>
      <c r="F84" s="123" t="s">
        <v>43</v>
      </c>
      <c r="G84" s="126">
        <v>2</v>
      </c>
      <c r="H84" s="139" t="s">
        <v>21</v>
      </c>
    </row>
    <row r="85" spans="2:8">
      <c r="B85" s="124"/>
      <c r="C85" s="124"/>
      <c r="D85" s="124"/>
      <c r="E85" s="16" t="s">
        <v>55</v>
      </c>
      <c r="F85" s="124"/>
      <c r="G85" s="127"/>
      <c r="H85" s="139"/>
    </row>
    <row r="86" spans="2:8">
      <c r="B86" s="124"/>
      <c r="C86" s="124"/>
      <c r="D86" s="124"/>
      <c r="E86" s="17" t="s">
        <v>45</v>
      </c>
      <c r="F86" s="124"/>
      <c r="G86" s="127"/>
      <c r="H86" s="133"/>
    </row>
    <row r="87" spans="2:8" ht="26.25" customHeight="1">
      <c r="B87" s="125"/>
      <c r="C87" s="125"/>
      <c r="D87" s="125"/>
      <c r="E87" s="21" t="s">
        <v>56</v>
      </c>
      <c r="F87" s="125"/>
      <c r="G87" s="128"/>
      <c r="H87" s="134"/>
    </row>
    <row r="88" spans="2:8" ht="22.5" customHeight="1">
      <c r="B88" s="123" t="s">
        <v>41</v>
      </c>
      <c r="C88" s="123" t="s">
        <v>9</v>
      </c>
      <c r="D88" s="123" t="s">
        <v>39</v>
      </c>
      <c r="E88" s="7" t="s">
        <v>67</v>
      </c>
      <c r="F88" s="123" t="s">
        <v>43</v>
      </c>
      <c r="G88" s="140">
        <v>14.8</v>
      </c>
      <c r="H88" s="139" t="s">
        <v>21</v>
      </c>
    </row>
    <row r="89" spans="2:8" ht="16" customHeight="1">
      <c r="B89" s="124"/>
      <c r="C89" s="124"/>
      <c r="D89" s="124"/>
      <c r="E89" s="16" t="s">
        <v>44</v>
      </c>
      <c r="F89" s="124"/>
      <c r="G89" s="127"/>
      <c r="H89" s="139"/>
    </row>
    <row r="90" spans="2:8" ht="16" customHeight="1">
      <c r="B90" s="124"/>
      <c r="C90" s="124"/>
      <c r="D90" s="124"/>
      <c r="E90" s="17" t="s">
        <v>68</v>
      </c>
      <c r="F90" s="124"/>
      <c r="G90" s="127"/>
      <c r="H90" s="133"/>
    </row>
    <row r="91" spans="2:8" ht="16" customHeight="1">
      <c r="B91" s="124"/>
      <c r="C91" s="124"/>
      <c r="D91" s="124"/>
      <c r="E91" s="16"/>
      <c r="F91" s="124"/>
      <c r="G91" s="127"/>
      <c r="H91" s="139"/>
    </row>
    <row r="92" spans="2:8" ht="16" customHeight="1">
      <c r="B92" s="124"/>
      <c r="C92" s="124"/>
      <c r="D92" s="124"/>
      <c r="E92" s="16" t="s">
        <v>69</v>
      </c>
      <c r="F92" s="124"/>
      <c r="G92" s="127"/>
      <c r="H92" s="139"/>
    </row>
    <row r="93" spans="2:8" ht="16" customHeight="1">
      <c r="B93" s="124"/>
      <c r="C93" s="124"/>
      <c r="D93" s="124"/>
      <c r="E93" s="16" t="s">
        <v>44</v>
      </c>
      <c r="F93" s="124"/>
      <c r="G93" s="127"/>
      <c r="H93" s="139"/>
    </row>
    <row r="94" spans="2:8" ht="16" customHeight="1">
      <c r="B94" s="124"/>
      <c r="C94" s="124"/>
      <c r="D94" s="124"/>
      <c r="E94" s="17" t="s">
        <v>70</v>
      </c>
      <c r="F94" s="124"/>
      <c r="G94" s="127"/>
      <c r="H94" s="139"/>
    </row>
    <row r="95" spans="2:8" ht="16" customHeight="1">
      <c r="B95" s="124"/>
      <c r="C95" s="124"/>
      <c r="D95" s="124"/>
      <c r="E95" s="16"/>
      <c r="F95" s="124"/>
      <c r="G95" s="127"/>
      <c r="H95" s="139"/>
    </row>
    <row r="96" spans="2:8" ht="16" customHeight="1">
      <c r="B96" s="124"/>
      <c r="C96" s="124"/>
      <c r="D96" s="124"/>
      <c r="E96" s="16" t="s">
        <v>71</v>
      </c>
      <c r="F96" s="124"/>
      <c r="G96" s="127"/>
      <c r="H96" s="139"/>
    </row>
    <row r="97" spans="2:8" ht="16" customHeight="1">
      <c r="B97" s="124"/>
      <c r="C97" s="124"/>
      <c r="D97" s="124"/>
      <c r="E97" s="16" t="s">
        <v>44</v>
      </c>
      <c r="F97" s="124"/>
      <c r="G97" s="127"/>
      <c r="H97" s="139"/>
    </row>
    <row r="98" spans="2:8" ht="16" customHeight="1">
      <c r="B98" s="125"/>
      <c r="C98" s="125"/>
      <c r="D98" s="125"/>
      <c r="E98" s="22" t="s">
        <v>72</v>
      </c>
      <c r="F98" s="125"/>
      <c r="G98" s="128"/>
      <c r="H98" s="134"/>
    </row>
    <row r="99" spans="2:8">
      <c r="B99" s="123" t="s">
        <v>41</v>
      </c>
      <c r="C99" s="123" t="s">
        <v>9</v>
      </c>
      <c r="D99" s="123" t="s">
        <v>10</v>
      </c>
      <c r="E99" s="7" t="s">
        <v>73</v>
      </c>
      <c r="F99" s="123" t="s">
        <v>43</v>
      </c>
      <c r="G99" s="126">
        <v>3.9</v>
      </c>
      <c r="H99" s="139" t="s">
        <v>21</v>
      </c>
    </row>
    <row r="100" spans="2:8">
      <c r="B100" s="124"/>
      <c r="C100" s="124"/>
      <c r="D100" s="124"/>
      <c r="E100" s="16" t="s">
        <v>44</v>
      </c>
      <c r="F100" s="124"/>
      <c r="G100" s="127"/>
      <c r="H100" s="139"/>
    </row>
    <row r="101" spans="2:8">
      <c r="B101" s="125"/>
      <c r="C101" s="125"/>
      <c r="D101" s="125"/>
      <c r="E101" s="22" t="s">
        <v>74</v>
      </c>
      <c r="F101" s="125"/>
      <c r="G101" s="128"/>
      <c r="H101" s="134"/>
    </row>
    <row r="102" spans="2:8">
      <c r="B102" s="123" t="s">
        <v>41</v>
      </c>
      <c r="C102" s="123" t="s">
        <v>9</v>
      </c>
      <c r="D102" s="123" t="s">
        <v>27</v>
      </c>
      <c r="E102" s="7" t="s">
        <v>75</v>
      </c>
      <c r="F102" s="123" t="s">
        <v>43</v>
      </c>
      <c r="G102" s="126">
        <v>4</v>
      </c>
      <c r="H102" s="139" t="s">
        <v>21</v>
      </c>
    </row>
    <row r="103" spans="2:8">
      <c r="B103" s="124"/>
      <c r="C103" s="124"/>
      <c r="D103" s="124"/>
      <c r="E103" s="16" t="s">
        <v>55</v>
      </c>
      <c r="F103" s="124"/>
      <c r="G103" s="127"/>
      <c r="H103" s="139"/>
    </row>
    <row r="104" spans="2:8">
      <c r="B104" s="124"/>
      <c r="C104" s="124"/>
      <c r="D104" s="124"/>
      <c r="E104" s="17" t="s">
        <v>56</v>
      </c>
      <c r="F104" s="124"/>
      <c r="G104" s="127"/>
      <c r="H104" s="133"/>
    </row>
    <row r="105" spans="2:8">
      <c r="B105" s="124"/>
      <c r="C105" s="124"/>
      <c r="D105" s="124"/>
      <c r="E105" s="16"/>
      <c r="F105" s="124"/>
      <c r="G105" s="127"/>
      <c r="H105" s="139"/>
    </row>
    <row r="106" spans="2:8">
      <c r="B106" s="124"/>
      <c r="C106" s="124"/>
      <c r="D106" s="124"/>
      <c r="E106" s="16" t="s">
        <v>76</v>
      </c>
      <c r="F106" s="124"/>
      <c r="G106" s="127"/>
      <c r="H106" s="139"/>
    </row>
    <row r="107" spans="2:8">
      <c r="B107" s="124"/>
      <c r="C107" s="124"/>
      <c r="D107" s="124"/>
      <c r="E107" s="16" t="s">
        <v>55</v>
      </c>
      <c r="F107" s="124"/>
      <c r="G107" s="127"/>
      <c r="H107" s="139"/>
    </row>
    <row r="108" spans="2:8">
      <c r="B108" s="124"/>
      <c r="C108" s="124"/>
      <c r="D108" s="124"/>
      <c r="E108" s="17" t="s">
        <v>56</v>
      </c>
      <c r="F108" s="124"/>
      <c r="G108" s="127"/>
      <c r="H108" s="139"/>
    </row>
    <row r="109" spans="2:8">
      <c r="B109" s="124"/>
      <c r="C109" s="124"/>
      <c r="D109" s="124"/>
      <c r="E109" s="16"/>
      <c r="F109" s="124"/>
      <c r="G109" s="127"/>
      <c r="H109" s="139"/>
    </row>
    <row r="110" spans="2:8">
      <c r="B110" s="124"/>
      <c r="C110" s="124"/>
      <c r="D110" s="124"/>
      <c r="E110" s="16" t="s">
        <v>59</v>
      </c>
      <c r="F110" s="124"/>
      <c r="G110" s="127"/>
      <c r="H110" s="139"/>
    </row>
    <row r="111" spans="2:8">
      <c r="B111" s="124"/>
      <c r="C111" s="124"/>
      <c r="D111" s="124"/>
      <c r="E111" s="16" t="s">
        <v>55</v>
      </c>
      <c r="F111" s="124"/>
      <c r="G111" s="127"/>
      <c r="H111" s="139"/>
    </row>
    <row r="112" spans="2:8">
      <c r="B112" s="124"/>
      <c r="C112" s="124"/>
      <c r="D112" s="124"/>
      <c r="E112" s="17" t="s">
        <v>56</v>
      </c>
      <c r="F112" s="124"/>
      <c r="G112" s="127"/>
      <c r="H112" s="139"/>
    </row>
    <row r="113" spans="2:8">
      <c r="B113" s="124"/>
      <c r="C113" s="124"/>
      <c r="D113" s="124"/>
      <c r="E113" s="16"/>
      <c r="F113" s="124"/>
      <c r="G113" s="127"/>
      <c r="H113" s="139"/>
    </row>
    <row r="114" spans="2:8">
      <c r="B114" s="124"/>
      <c r="C114" s="124"/>
      <c r="D114" s="124"/>
      <c r="E114" s="16" t="s">
        <v>60</v>
      </c>
      <c r="F114" s="124"/>
      <c r="G114" s="127"/>
      <c r="H114" s="139"/>
    </row>
    <row r="115" spans="2:8">
      <c r="B115" s="124"/>
      <c r="C115" s="124"/>
      <c r="D115" s="124"/>
      <c r="E115" s="16" t="s">
        <v>44</v>
      </c>
      <c r="F115" s="124"/>
      <c r="G115" s="127"/>
      <c r="H115" s="139"/>
    </row>
    <row r="116" spans="2:8">
      <c r="B116" s="125"/>
      <c r="C116" s="125"/>
      <c r="D116" s="125"/>
      <c r="E116" s="22" t="s">
        <v>74</v>
      </c>
      <c r="F116" s="125"/>
      <c r="G116" s="128"/>
      <c r="H116" s="134"/>
    </row>
    <row r="117" spans="2:8">
      <c r="B117" s="123" t="s">
        <v>41</v>
      </c>
      <c r="C117" s="123" t="s">
        <v>9</v>
      </c>
      <c r="D117" s="123" t="s">
        <v>20</v>
      </c>
      <c r="E117" s="7" t="s">
        <v>77</v>
      </c>
      <c r="F117" s="123" t="s">
        <v>43</v>
      </c>
      <c r="G117" s="126">
        <v>7.9</v>
      </c>
      <c r="H117" s="139" t="s">
        <v>21</v>
      </c>
    </row>
    <row r="118" spans="2:8">
      <c r="B118" s="124"/>
      <c r="C118" s="124"/>
      <c r="D118" s="124"/>
      <c r="E118" s="16" t="s">
        <v>55</v>
      </c>
      <c r="F118" s="124"/>
      <c r="G118" s="127"/>
      <c r="H118" s="139"/>
    </row>
    <row r="119" spans="2:8">
      <c r="B119" s="124"/>
      <c r="C119" s="124"/>
      <c r="D119" s="124"/>
      <c r="E119" s="17" t="s">
        <v>56</v>
      </c>
      <c r="F119" s="124"/>
      <c r="G119" s="127"/>
      <c r="H119" s="133"/>
    </row>
    <row r="120" spans="2:8">
      <c r="B120" s="124"/>
      <c r="C120" s="124"/>
      <c r="D120" s="124"/>
      <c r="E120" s="16"/>
      <c r="F120" s="124"/>
      <c r="G120" s="127"/>
      <c r="H120" s="139"/>
    </row>
    <row r="121" spans="2:8">
      <c r="B121" s="124"/>
      <c r="C121" s="124"/>
      <c r="D121" s="124"/>
      <c r="E121" s="16" t="s">
        <v>78</v>
      </c>
      <c r="F121" s="124"/>
      <c r="G121" s="127"/>
      <c r="H121" s="139"/>
    </row>
    <row r="122" spans="2:8">
      <c r="B122" s="124"/>
      <c r="C122" s="124"/>
      <c r="D122" s="124"/>
      <c r="E122" s="16" t="s">
        <v>44</v>
      </c>
      <c r="F122" s="124"/>
      <c r="G122" s="127"/>
      <c r="H122" s="139"/>
    </row>
    <row r="123" spans="2:8">
      <c r="B123" s="124"/>
      <c r="C123" s="124"/>
      <c r="D123" s="124"/>
      <c r="E123" s="17" t="s">
        <v>72</v>
      </c>
      <c r="F123" s="124"/>
      <c r="G123" s="127"/>
      <c r="H123" s="139"/>
    </row>
    <row r="124" spans="2:8">
      <c r="B124" s="124"/>
      <c r="C124" s="124"/>
      <c r="D124" s="124"/>
      <c r="E124" s="16"/>
      <c r="F124" s="124"/>
      <c r="G124" s="127"/>
      <c r="H124" s="139"/>
    </row>
    <row r="125" spans="2:8">
      <c r="B125" s="124"/>
      <c r="C125" s="124"/>
      <c r="D125" s="124"/>
      <c r="E125" s="16" t="s">
        <v>79</v>
      </c>
      <c r="F125" s="124"/>
      <c r="G125" s="127"/>
      <c r="H125" s="139"/>
    </row>
    <row r="126" spans="2:8">
      <c r="B126" s="124"/>
      <c r="C126" s="124"/>
      <c r="D126" s="124"/>
      <c r="E126" s="16" t="s">
        <v>55</v>
      </c>
      <c r="F126" s="124"/>
      <c r="G126" s="127"/>
      <c r="H126" s="139"/>
    </row>
    <row r="127" spans="2:8">
      <c r="B127" s="125"/>
      <c r="C127" s="125"/>
      <c r="D127" s="125"/>
      <c r="E127" s="22" t="s">
        <v>56</v>
      </c>
      <c r="F127" s="125"/>
      <c r="G127" s="128"/>
      <c r="H127" s="134"/>
    </row>
    <row r="128" spans="2:8" ht="31.5" customHeight="1">
      <c r="B128" s="123" t="s">
        <v>41</v>
      </c>
      <c r="C128" s="123" t="s">
        <v>9</v>
      </c>
      <c r="D128" s="123" t="s">
        <v>80</v>
      </c>
      <c r="E128" s="7" t="s">
        <v>81</v>
      </c>
      <c r="F128" s="123" t="s">
        <v>43</v>
      </c>
      <c r="G128" s="126">
        <v>2</v>
      </c>
      <c r="H128" s="139" t="s">
        <v>21</v>
      </c>
    </row>
    <row r="129" spans="2:8" ht="39.75" customHeight="1">
      <c r="B129" s="125"/>
      <c r="C129" s="125"/>
      <c r="D129" s="125"/>
      <c r="E129" s="17" t="s">
        <v>56</v>
      </c>
      <c r="F129" s="125"/>
      <c r="G129" s="128"/>
      <c r="H129" s="134"/>
    </row>
    <row r="130" spans="2:8" ht="87" customHeight="1">
      <c r="B130" s="1" t="s">
        <v>82</v>
      </c>
      <c r="C130" s="1" t="s">
        <v>36</v>
      </c>
      <c r="D130" s="1" t="s">
        <v>15</v>
      </c>
      <c r="E130" s="1" t="s">
        <v>83</v>
      </c>
      <c r="F130" s="4">
        <v>46295</v>
      </c>
      <c r="G130" s="6">
        <v>30</v>
      </c>
      <c r="H130" s="2"/>
    </row>
    <row r="131" spans="2:8" ht="17">
      <c r="B131" s="1" t="s">
        <v>82</v>
      </c>
      <c r="C131" s="1" t="s">
        <v>36</v>
      </c>
      <c r="D131" s="1" t="s">
        <v>10</v>
      </c>
      <c r="E131" s="1" t="s">
        <v>84</v>
      </c>
      <c r="F131" s="4">
        <v>46295</v>
      </c>
      <c r="G131" s="6"/>
      <c r="H131" s="2"/>
    </row>
    <row r="132" spans="2:8" ht="87" customHeight="1">
      <c r="B132" s="1" t="s">
        <v>85</v>
      </c>
      <c r="C132" s="1" t="s">
        <v>24</v>
      </c>
      <c r="D132" s="1" t="s">
        <v>10</v>
      </c>
      <c r="E132" s="1" t="s">
        <v>228</v>
      </c>
      <c r="F132" s="4">
        <v>46387</v>
      </c>
      <c r="G132" s="6">
        <v>3.8</v>
      </c>
      <c r="H132" s="2"/>
    </row>
    <row r="133" spans="2:8" ht="108" customHeight="1">
      <c r="B133" s="1" t="s">
        <v>85</v>
      </c>
      <c r="C133" s="1" t="s">
        <v>24</v>
      </c>
      <c r="D133" s="1" t="s">
        <v>15</v>
      </c>
      <c r="E133" s="1" t="s">
        <v>227</v>
      </c>
      <c r="F133" s="4">
        <v>46387</v>
      </c>
      <c r="G133" s="6">
        <v>3.8</v>
      </c>
      <c r="H133" s="2"/>
    </row>
    <row r="134" spans="2:8">
      <c r="B134" s="1" t="s">
        <v>85</v>
      </c>
      <c r="C134" s="1" t="s">
        <v>24</v>
      </c>
      <c r="D134" s="1" t="s">
        <v>27</v>
      </c>
      <c r="E134" s="1" t="s">
        <v>28</v>
      </c>
      <c r="F134" s="4">
        <v>46387</v>
      </c>
      <c r="G134" s="6">
        <v>1.1000000000000001</v>
      </c>
      <c r="H134" s="2"/>
    </row>
    <row r="135" spans="2:8">
      <c r="B135" s="1" t="s">
        <v>85</v>
      </c>
      <c r="C135" s="1" t="s">
        <v>24</v>
      </c>
      <c r="D135" s="1" t="s">
        <v>27</v>
      </c>
      <c r="E135" s="1" t="s">
        <v>86</v>
      </c>
      <c r="F135" s="4">
        <v>46387</v>
      </c>
      <c r="G135" s="6">
        <v>2.2000000000000002</v>
      </c>
      <c r="H135" s="2"/>
    </row>
    <row r="136" spans="2:8" ht="16.5" customHeight="1">
      <c r="B136" s="123" t="s">
        <v>85</v>
      </c>
      <c r="C136" s="123" t="s">
        <v>24</v>
      </c>
      <c r="D136" s="123" t="s">
        <v>17</v>
      </c>
      <c r="E136" s="1" t="s">
        <v>29</v>
      </c>
      <c r="F136" s="135">
        <v>46387</v>
      </c>
      <c r="G136" s="137">
        <v>1.1000000000000001</v>
      </c>
      <c r="H136" s="126"/>
    </row>
    <row r="137" spans="2:8" ht="32.25" customHeight="1">
      <c r="B137" s="125"/>
      <c r="C137" s="125"/>
      <c r="D137" s="125"/>
      <c r="E137" s="1" t="s">
        <v>87</v>
      </c>
      <c r="F137" s="136"/>
      <c r="G137" s="138"/>
      <c r="H137" s="128"/>
    </row>
    <row r="138" spans="2:8" ht="30">
      <c r="B138" s="1" t="s">
        <v>85</v>
      </c>
      <c r="C138" s="1" t="s">
        <v>9</v>
      </c>
      <c r="D138" s="1" t="s">
        <v>17</v>
      </c>
      <c r="E138" s="1" t="s">
        <v>89</v>
      </c>
      <c r="F138" s="4">
        <v>46265</v>
      </c>
      <c r="G138" s="6">
        <v>4.5</v>
      </c>
      <c r="H138" s="2"/>
    </row>
    <row r="139" spans="2:8">
      <c r="B139" s="1" t="s">
        <v>85</v>
      </c>
      <c r="C139" s="1" t="s">
        <v>24</v>
      </c>
      <c r="D139" s="1" t="s">
        <v>65</v>
      </c>
      <c r="E139" s="1" t="s">
        <v>88</v>
      </c>
      <c r="F139" s="4">
        <v>46387</v>
      </c>
      <c r="G139" s="6">
        <v>6.7</v>
      </c>
      <c r="H139" s="2"/>
    </row>
    <row r="140" spans="2:8">
      <c r="B140" s="1" t="s">
        <v>85</v>
      </c>
      <c r="C140" s="1" t="s">
        <v>24</v>
      </c>
      <c r="D140" s="1" t="s">
        <v>20</v>
      </c>
      <c r="E140" s="1" t="s">
        <v>90</v>
      </c>
      <c r="F140" s="4">
        <v>46387</v>
      </c>
      <c r="G140" s="6">
        <v>4.5</v>
      </c>
      <c r="H140" s="2"/>
    </row>
    <row r="141" spans="2:8" ht="40.5" customHeight="1">
      <c r="B141" s="1" t="s">
        <v>85</v>
      </c>
      <c r="C141" s="1" t="s">
        <v>24</v>
      </c>
      <c r="D141" s="1" t="s">
        <v>39</v>
      </c>
      <c r="E141" s="1" t="s">
        <v>91</v>
      </c>
      <c r="F141" s="4">
        <v>46387</v>
      </c>
      <c r="G141" s="6">
        <v>4.5</v>
      </c>
      <c r="H141" s="2"/>
    </row>
    <row r="142" spans="2:8" ht="22.5" customHeight="1">
      <c r="B142" s="1" t="s">
        <v>85</v>
      </c>
      <c r="C142" s="1" t="s">
        <v>24</v>
      </c>
      <c r="D142" s="1" t="s">
        <v>39</v>
      </c>
      <c r="E142" s="1" t="s">
        <v>92</v>
      </c>
      <c r="F142" s="4">
        <v>46387</v>
      </c>
      <c r="G142" s="6">
        <v>4.5</v>
      </c>
      <c r="H142" s="2"/>
    </row>
    <row r="143" spans="2:8" ht="30">
      <c r="B143" s="1" t="s">
        <v>85</v>
      </c>
      <c r="C143" s="1" t="s">
        <v>9</v>
      </c>
      <c r="D143" s="1" t="s">
        <v>17</v>
      </c>
      <c r="E143" s="1" t="s">
        <v>93</v>
      </c>
      <c r="F143" s="4">
        <v>46265</v>
      </c>
      <c r="G143" s="6">
        <v>2.2000000000000002</v>
      </c>
      <c r="H143" s="2"/>
    </row>
    <row r="144" spans="2:8" ht="23.25" customHeight="1">
      <c r="B144" s="1" t="s">
        <v>85</v>
      </c>
      <c r="C144" s="1" t="s">
        <v>9</v>
      </c>
      <c r="D144" s="1" t="s">
        <v>20</v>
      </c>
      <c r="E144" s="1" t="s">
        <v>94</v>
      </c>
      <c r="F144" s="4">
        <v>46295</v>
      </c>
      <c r="G144" s="6">
        <v>4.4000000000000004</v>
      </c>
      <c r="H144" s="2"/>
    </row>
    <row r="145" spans="2:8" ht="75">
      <c r="B145" s="1" t="s">
        <v>102</v>
      </c>
      <c r="C145" s="1" t="s">
        <v>9</v>
      </c>
      <c r="D145" s="1" t="s">
        <v>17</v>
      </c>
      <c r="E145" s="1" t="s">
        <v>103</v>
      </c>
      <c r="F145" s="4">
        <v>46295</v>
      </c>
      <c r="G145" s="2">
        <v>2.1</v>
      </c>
      <c r="H145" s="11" t="s">
        <v>21</v>
      </c>
    </row>
    <row r="146" spans="2:8" ht="75">
      <c r="B146" s="1" t="s">
        <v>102</v>
      </c>
      <c r="C146" s="1" t="s">
        <v>9</v>
      </c>
      <c r="D146" s="1" t="s">
        <v>39</v>
      </c>
      <c r="E146" s="1" t="s">
        <v>104</v>
      </c>
      <c r="F146" s="4">
        <v>46295</v>
      </c>
      <c r="G146" s="2">
        <v>4.3</v>
      </c>
      <c r="H146" s="11" t="s">
        <v>21</v>
      </c>
    </row>
    <row r="147" spans="2:8" ht="75">
      <c r="B147" s="1" t="s">
        <v>102</v>
      </c>
      <c r="C147" s="1" t="s">
        <v>9</v>
      </c>
      <c r="D147" s="1" t="s">
        <v>10</v>
      </c>
      <c r="E147" s="1" t="s">
        <v>105</v>
      </c>
      <c r="F147" s="4">
        <v>46295</v>
      </c>
      <c r="G147" s="2">
        <v>4.3</v>
      </c>
      <c r="H147" s="11" t="s">
        <v>21</v>
      </c>
    </row>
    <row r="148" spans="2:8" ht="75">
      <c r="B148" s="1" t="s">
        <v>102</v>
      </c>
      <c r="C148" s="1" t="s">
        <v>24</v>
      </c>
      <c r="D148" s="1" t="s">
        <v>10</v>
      </c>
      <c r="E148" s="1" t="s">
        <v>106</v>
      </c>
      <c r="F148" s="4">
        <v>46387</v>
      </c>
      <c r="G148" s="2">
        <v>4.3</v>
      </c>
      <c r="H148" s="11" t="s">
        <v>21</v>
      </c>
    </row>
    <row r="149" spans="2:8" ht="75">
      <c r="B149" s="1" t="s">
        <v>102</v>
      </c>
      <c r="C149" s="1" t="s">
        <v>9</v>
      </c>
      <c r="D149" s="1" t="s">
        <v>27</v>
      </c>
      <c r="E149" s="1" t="s">
        <v>103</v>
      </c>
      <c r="F149" s="4">
        <v>46295</v>
      </c>
      <c r="G149" s="2">
        <v>2.1</v>
      </c>
      <c r="H149" s="11" t="s">
        <v>21</v>
      </c>
    </row>
    <row r="150" spans="2:8" ht="75">
      <c r="B150" s="1" t="s">
        <v>102</v>
      </c>
      <c r="C150" s="1" t="s">
        <v>9</v>
      </c>
      <c r="D150" s="1" t="s">
        <v>20</v>
      </c>
      <c r="E150" s="1" t="s">
        <v>103</v>
      </c>
      <c r="F150" s="4">
        <v>46295</v>
      </c>
      <c r="G150" s="2">
        <v>4.3</v>
      </c>
      <c r="H150" s="11" t="s">
        <v>21</v>
      </c>
    </row>
    <row r="151" spans="2:8">
      <c r="B151" s="123" t="s">
        <v>107</v>
      </c>
      <c r="C151" s="123" t="s">
        <v>24</v>
      </c>
      <c r="D151" s="123" t="s">
        <v>15</v>
      </c>
      <c r="E151" s="7" t="s">
        <v>49</v>
      </c>
      <c r="F151" s="123" t="s">
        <v>108</v>
      </c>
      <c r="G151" s="126">
        <v>2.6</v>
      </c>
      <c r="H151" s="132" t="s">
        <v>21</v>
      </c>
    </row>
    <row r="152" spans="2:8">
      <c r="B152" s="124"/>
      <c r="C152" s="124"/>
      <c r="D152" s="124"/>
      <c r="E152" s="16" t="s">
        <v>44</v>
      </c>
      <c r="F152" s="124"/>
      <c r="G152" s="127"/>
      <c r="H152" s="133"/>
    </row>
    <row r="153" spans="2:8">
      <c r="B153" s="124"/>
      <c r="C153" s="124"/>
      <c r="D153" s="124"/>
      <c r="E153" s="16" t="s">
        <v>109</v>
      </c>
      <c r="F153" s="124"/>
      <c r="G153" s="127"/>
      <c r="H153" s="133"/>
    </row>
    <row r="154" spans="2:8">
      <c r="B154" s="124"/>
      <c r="C154" s="124"/>
      <c r="D154" s="124"/>
      <c r="E154" s="16" t="s">
        <v>46</v>
      </c>
      <c r="F154" s="124"/>
      <c r="G154" s="127"/>
      <c r="H154" s="133"/>
    </row>
    <row r="155" spans="2:8">
      <c r="B155" s="124"/>
      <c r="C155" s="124"/>
      <c r="D155" s="124"/>
      <c r="E155" s="16" t="s">
        <v>110</v>
      </c>
      <c r="F155" s="124"/>
      <c r="G155" s="127"/>
      <c r="H155" s="133"/>
    </row>
    <row r="156" spans="2:8">
      <c r="B156" s="124"/>
      <c r="C156" s="124"/>
      <c r="D156" s="124"/>
      <c r="E156" s="16"/>
      <c r="F156" s="124"/>
      <c r="G156" s="127"/>
      <c r="H156" s="133"/>
    </row>
    <row r="157" spans="2:8">
      <c r="B157" s="124"/>
      <c r="C157" s="124"/>
      <c r="D157" s="124"/>
      <c r="E157" s="16" t="s">
        <v>53</v>
      </c>
      <c r="F157" s="124"/>
      <c r="G157" s="127"/>
      <c r="H157" s="133"/>
    </row>
    <row r="158" spans="2:8">
      <c r="B158" s="124"/>
      <c r="C158" s="124"/>
      <c r="D158" s="124"/>
      <c r="E158" s="16" t="s">
        <v>44</v>
      </c>
      <c r="F158" s="124"/>
      <c r="G158" s="127"/>
      <c r="H158" s="133"/>
    </row>
    <row r="159" spans="2:8">
      <c r="B159" s="124"/>
      <c r="C159" s="124"/>
      <c r="D159" s="124"/>
      <c r="E159" s="17" t="s">
        <v>45</v>
      </c>
      <c r="F159" s="124"/>
      <c r="G159" s="127"/>
      <c r="H159" s="133"/>
    </row>
    <row r="160" spans="2:8">
      <c r="B160" s="124"/>
      <c r="C160" s="124"/>
      <c r="D160" s="124"/>
      <c r="E160" s="16" t="s">
        <v>46</v>
      </c>
      <c r="F160" s="124"/>
      <c r="G160" s="127"/>
      <c r="H160" s="133"/>
    </row>
    <row r="161" spans="2:8">
      <c r="B161" s="124"/>
      <c r="C161" s="124"/>
      <c r="D161" s="124"/>
      <c r="E161" s="16" t="s">
        <v>111</v>
      </c>
      <c r="F161" s="124"/>
      <c r="G161" s="127"/>
      <c r="H161" s="133"/>
    </row>
    <row r="162" spans="2:8">
      <c r="B162" s="124"/>
      <c r="C162" s="124"/>
      <c r="D162" s="124"/>
      <c r="E162" s="16" t="s">
        <v>112</v>
      </c>
      <c r="F162" s="124"/>
      <c r="G162" s="127"/>
      <c r="H162" s="133"/>
    </row>
    <row r="163" spans="2:8">
      <c r="B163" s="124"/>
      <c r="C163" s="124"/>
      <c r="D163" s="124"/>
      <c r="E163" s="18" t="s">
        <v>113</v>
      </c>
      <c r="F163" s="124"/>
      <c r="G163" s="127"/>
      <c r="H163" s="133"/>
    </row>
    <row r="164" spans="2:8">
      <c r="B164" s="124"/>
      <c r="C164" s="124"/>
      <c r="D164" s="124"/>
      <c r="E164" s="19"/>
      <c r="F164" s="124"/>
      <c r="G164" s="127"/>
      <c r="H164" s="133"/>
    </row>
    <row r="165" spans="2:8">
      <c r="B165" s="124"/>
      <c r="C165" s="124"/>
      <c r="D165" s="124"/>
      <c r="E165" s="16" t="s">
        <v>57</v>
      </c>
      <c r="F165" s="124"/>
      <c r="G165" s="127"/>
      <c r="H165" s="133"/>
    </row>
    <row r="166" spans="2:8">
      <c r="B166" s="124"/>
      <c r="C166" s="124"/>
      <c r="D166" s="124"/>
      <c r="E166" s="16" t="s">
        <v>114</v>
      </c>
      <c r="F166" s="124"/>
      <c r="G166" s="127"/>
      <c r="H166" s="133"/>
    </row>
    <row r="167" spans="2:8">
      <c r="B167" s="125"/>
      <c r="C167" s="125"/>
      <c r="D167" s="125"/>
      <c r="E167" s="17" t="s">
        <v>115</v>
      </c>
      <c r="F167" s="125"/>
      <c r="G167" s="128"/>
      <c r="H167" s="134"/>
    </row>
    <row r="168" spans="2:8">
      <c r="B168" s="123" t="s">
        <v>107</v>
      </c>
      <c r="C168" s="123" t="s">
        <v>24</v>
      </c>
      <c r="D168" s="123" t="s">
        <v>17</v>
      </c>
      <c r="E168" s="7" t="s">
        <v>116</v>
      </c>
      <c r="F168" s="123" t="s">
        <v>108</v>
      </c>
      <c r="G168" s="126">
        <v>7.1</v>
      </c>
      <c r="H168" s="132" t="s">
        <v>21</v>
      </c>
    </row>
    <row r="169" spans="2:8">
      <c r="B169" s="124"/>
      <c r="C169" s="124"/>
      <c r="D169" s="124"/>
      <c r="E169" s="16" t="s">
        <v>114</v>
      </c>
      <c r="F169" s="124"/>
      <c r="G169" s="127"/>
      <c r="H169" s="133"/>
    </row>
    <row r="170" spans="2:8">
      <c r="B170" s="124"/>
      <c r="C170" s="124"/>
      <c r="D170" s="124"/>
      <c r="E170" s="16" t="s">
        <v>117</v>
      </c>
      <c r="F170" s="124"/>
      <c r="G170" s="127"/>
      <c r="H170" s="133"/>
    </row>
    <row r="171" spans="2:8">
      <c r="B171" s="124"/>
      <c r="C171" s="124"/>
      <c r="D171" s="124"/>
      <c r="E171" s="16" t="s">
        <v>118</v>
      </c>
      <c r="F171" s="124"/>
      <c r="G171" s="127"/>
      <c r="H171" s="133"/>
    </row>
    <row r="172" spans="2:8">
      <c r="B172" s="124"/>
      <c r="C172" s="124"/>
      <c r="D172" s="124"/>
      <c r="E172" s="19"/>
      <c r="F172" s="124"/>
      <c r="G172" s="127"/>
      <c r="H172" s="133"/>
    </row>
    <row r="173" spans="2:8">
      <c r="B173" s="124"/>
      <c r="C173" s="124"/>
      <c r="D173" s="124"/>
      <c r="E173" s="16" t="s">
        <v>119</v>
      </c>
      <c r="F173" s="124"/>
      <c r="G173" s="127"/>
      <c r="H173" s="133"/>
    </row>
    <row r="174" spans="2:8">
      <c r="B174" s="124"/>
      <c r="C174" s="124"/>
      <c r="D174" s="124"/>
      <c r="E174" s="16" t="s">
        <v>44</v>
      </c>
      <c r="F174" s="124"/>
      <c r="G174" s="127"/>
      <c r="H174" s="133"/>
    </row>
    <row r="175" spans="2:8">
      <c r="B175" s="124"/>
      <c r="C175" s="124"/>
      <c r="D175" s="124"/>
      <c r="E175" s="17" t="s">
        <v>120</v>
      </c>
      <c r="F175" s="124"/>
      <c r="G175" s="127"/>
      <c r="H175" s="133"/>
    </row>
    <row r="176" spans="2:8">
      <c r="B176" s="124"/>
      <c r="C176" s="124"/>
      <c r="D176" s="124"/>
      <c r="E176" s="16"/>
      <c r="F176" s="124"/>
      <c r="G176" s="127"/>
      <c r="H176" s="133"/>
    </row>
    <row r="177" spans="2:8" ht="16" customHeight="1">
      <c r="B177" s="124"/>
      <c r="C177" s="124"/>
      <c r="D177" s="124"/>
      <c r="E177" s="16" t="s">
        <v>121</v>
      </c>
      <c r="F177" s="124"/>
      <c r="G177" s="127"/>
      <c r="H177" s="133"/>
    </row>
    <row r="178" spans="2:8">
      <c r="B178" s="124"/>
      <c r="C178" s="124"/>
      <c r="D178" s="124"/>
      <c r="E178" s="16" t="s">
        <v>44</v>
      </c>
      <c r="F178" s="124"/>
      <c r="G178" s="127"/>
      <c r="H178" s="133"/>
    </row>
    <row r="179" spans="2:8" ht="45" customHeight="1">
      <c r="B179" s="125"/>
      <c r="C179" s="125"/>
      <c r="D179" s="125"/>
      <c r="E179" s="25" t="s">
        <v>229</v>
      </c>
      <c r="F179" s="125"/>
      <c r="G179" s="128"/>
      <c r="H179" s="134"/>
    </row>
    <row r="180" spans="2:8">
      <c r="B180" s="123" t="s">
        <v>107</v>
      </c>
      <c r="C180" s="123" t="s">
        <v>24</v>
      </c>
      <c r="D180" s="123" t="s">
        <v>65</v>
      </c>
      <c r="E180" s="7" t="s">
        <v>122</v>
      </c>
      <c r="F180" s="123" t="s">
        <v>108</v>
      </c>
      <c r="G180" s="126">
        <v>2</v>
      </c>
      <c r="H180" s="132" t="s">
        <v>21</v>
      </c>
    </row>
    <row r="181" spans="2:8">
      <c r="B181" s="124"/>
      <c r="C181" s="124"/>
      <c r="D181" s="124"/>
      <c r="E181" s="16" t="s">
        <v>114</v>
      </c>
      <c r="F181" s="124"/>
      <c r="G181" s="127"/>
      <c r="H181" s="133"/>
    </row>
    <row r="182" spans="2:8">
      <c r="B182" s="124"/>
      <c r="C182" s="124"/>
      <c r="D182" s="124"/>
      <c r="E182" s="16" t="s">
        <v>123</v>
      </c>
      <c r="F182" s="124"/>
      <c r="G182" s="127"/>
      <c r="H182" s="133"/>
    </row>
    <row r="183" spans="2:8">
      <c r="B183" s="125"/>
      <c r="C183" s="125"/>
      <c r="D183" s="125"/>
      <c r="E183" s="17" t="s">
        <v>124</v>
      </c>
      <c r="F183" s="125"/>
      <c r="G183" s="128"/>
      <c r="H183" s="134"/>
    </row>
    <row r="184" spans="2:8" ht="15.75" customHeight="1">
      <c r="B184" s="123" t="s">
        <v>107</v>
      </c>
      <c r="C184" s="123" t="s">
        <v>24</v>
      </c>
      <c r="D184" s="123" t="s">
        <v>39</v>
      </c>
      <c r="E184" s="7" t="s">
        <v>125</v>
      </c>
      <c r="F184" s="123" t="s">
        <v>108</v>
      </c>
      <c r="G184" s="126">
        <v>12.2</v>
      </c>
      <c r="H184" s="132" t="s">
        <v>21</v>
      </c>
    </row>
    <row r="185" spans="2:8" ht="16" customHeight="1">
      <c r="B185" s="124"/>
      <c r="C185" s="124"/>
      <c r="D185" s="124"/>
      <c r="E185" s="16" t="s">
        <v>44</v>
      </c>
      <c r="F185" s="124"/>
      <c r="G185" s="127"/>
      <c r="H185" s="133"/>
    </row>
    <row r="186" spans="2:8" ht="16" customHeight="1">
      <c r="B186" s="124"/>
      <c r="C186" s="124"/>
      <c r="D186" s="124"/>
      <c r="E186" s="17" t="s">
        <v>126</v>
      </c>
      <c r="F186" s="124"/>
      <c r="G186" s="127"/>
      <c r="H186" s="133"/>
    </row>
    <row r="187" spans="2:8" ht="16" customHeight="1">
      <c r="B187" s="124"/>
      <c r="C187" s="124"/>
      <c r="D187" s="124"/>
      <c r="E187" s="16"/>
      <c r="F187" s="124"/>
      <c r="G187" s="127"/>
      <c r="H187" s="133"/>
    </row>
    <row r="188" spans="2:8" ht="16" customHeight="1">
      <c r="B188" s="124"/>
      <c r="C188" s="124"/>
      <c r="D188" s="124"/>
      <c r="E188" s="16" t="s">
        <v>127</v>
      </c>
      <c r="F188" s="124"/>
      <c r="G188" s="127"/>
      <c r="H188" s="133"/>
    </row>
    <row r="189" spans="2:8" ht="16" customHeight="1">
      <c r="B189" s="124"/>
      <c r="C189" s="124"/>
      <c r="D189" s="124"/>
      <c r="E189" s="16" t="s">
        <v>44</v>
      </c>
      <c r="F189" s="124"/>
      <c r="G189" s="127"/>
      <c r="H189" s="133"/>
    </row>
    <row r="190" spans="2:8" ht="16" customHeight="1">
      <c r="B190" s="124"/>
      <c r="C190" s="124"/>
      <c r="D190" s="124"/>
      <c r="E190" s="16" t="s">
        <v>128</v>
      </c>
      <c r="F190" s="124"/>
      <c r="G190" s="127"/>
      <c r="H190" s="133"/>
    </row>
    <row r="191" spans="2:8" ht="16" customHeight="1">
      <c r="B191" s="124"/>
      <c r="C191" s="124"/>
      <c r="D191" s="124"/>
      <c r="E191" s="17" t="s">
        <v>129</v>
      </c>
      <c r="F191" s="124"/>
      <c r="G191" s="127"/>
      <c r="H191" s="133"/>
    </row>
    <row r="192" spans="2:8" ht="16" customHeight="1">
      <c r="B192" s="124"/>
      <c r="C192" s="124"/>
      <c r="D192" s="124"/>
      <c r="E192" s="16"/>
      <c r="F192" s="124"/>
      <c r="G192" s="127"/>
      <c r="H192" s="133"/>
    </row>
    <row r="193" spans="2:8" ht="16" customHeight="1">
      <c r="B193" s="124"/>
      <c r="C193" s="124"/>
      <c r="D193" s="124"/>
      <c r="E193" s="16" t="s">
        <v>130</v>
      </c>
      <c r="F193" s="124"/>
      <c r="G193" s="127"/>
      <c r="H193" s="133"/>
    </row>
    <row r="194" spans="2:8" ht="16" customHeight="1">
      <c r="B194" s="124"/>
      <c r="C194" s="124"/>
      <c r="D194" s="124"/>
      <c r="E194" s="16" t="s">
        <v>131</v>
      </c>
      <c r="F194" s="124"/>
      <c r="G194" s="127"/>
      <c r="H194" s="133"/>
    </row>
    <row r="195" spans="2:8" ht="16" customHeight="1">
      <c r="B195" s="124"/>
      <c r="C195" s="124"/>
      <c r="D195" s="124"/>
      <c r="E195" s="16" t="s">
        <v>132</v>
      </c>
      <c r="F195" s="124"/>
      <c r="G195" s="127"/>
      <c r="H195" s="133"/>
    </row>
    <row r="196" spans="2:8" ht="16" customHeight="1">
      <c r="B196" s="124"/>
      <c r="C196" s="124"/>
      <c r="D196" s="124"/>
      <c r="E196" s="16"/>
      <c r="F196" s="124"/>
      <c r="G196" s="127"/>
      <c r="H196" s="133"/>
    </row>
    <row r="197" spans="2:8" ht="16" customHeight="1">
      <c r="B197" s="124"/>
      <c r="C197" s="124"/>
      <c r="D197" s="124"/>
      <c r="E197" s="16" t="s">
        <v>133</v>
      </c>
      <c r="F197" s="124"/>
      <c r="G197" s="127"/>
      <c r="H197" s="133"/>
    </row>
    <row r="198" spans="2:8" ht="16" customHeight="1">
      <c r="B198" s="124"/>
      <c r="C198" s="124"/>
      <c r="D198" s="124"/>
      <c r="E198" s="16" t="s">
        <v>44</v>
      </c>
      <c r="F198" s="124"/>
      <c r="G198" s="127"/>
      <c r="H198" s="133"/>
    </row>
    <row r="199" spans="2:8" ht="16" customHeight="1">
      <c r="B199" s="125"/>
      <c r="C199" s="125"/>
      <c r="D199" s="125"/>
      <c r="E199" s="17" t="s">
        <v>134</v>
      </c>
      <c r="F199" s="125"/>
      <c r="G199" s="128"/>
      <c r="H199" s="134"/>
    </row>
    <row r="200" spans="2:8" ht="15.75" customHeight="1">
      <c r="B200" s="123" t="s">
        <v>107</v>
      </c>
      <c r="C200" s="123" t="s">
        <v>24</v>
      </c>
      <c r="D200" s="123" t="s">
        <v>10</v>
      </c>
      <c r="E200" s="7" t="s">
        <v>135</v>
      </c>
      <c r="F200" s="123" t="s">
        <v>108</v>
      </c>
      <c r="G200" s="126">
        <v>8.1</v>
      </c>
      <c r="H200" s="129" t="s">
        <v>26</v>
      </c>
    </row>
    <row r="201" spans="2:8">
      <c r="B201" s="124"/>
      <c r="C201" s="124"/>
      <c r="D201" s="124"/>
      <c r="E201" s="16" t="s">
        <v>44</v>
      </c>
      <c r="F201" s="124"/>
      <c r="G201" s="127"/>
      <c r="H201" s="130"/>
    </row>
    <row r="202" spans="2:8">
      <c r="B202" s="124"/>
      <c r="C202" s="124"/>
      <c r="D202" s="124"/>
      <c r="E202" s="17" t="s">
        <v>136</v>
      </c>
      <c r="F202" s="124"/>
      <c r="G202" s="127"/>
      <c r="H202" s="130"/>
    </row>
    <row r="203" spans="2:8">
      <c r="B203" s="124"/>
      <c r="C203" s="124"/>
      <c r="D203" s="124"/>
      <c r="E203" s="18" t="s">
        <v>137</v>
      </c>
      <c r="F203" s="124"/>
      <c r="G203" s="127"/>
      <c r="H203" s="130"/>
    </row>
    <row r="204" spans="2:8">
      <c r="B204" s="124"/>
      <c r="C204" s="124"/>
      <c r="D204" s="124"/>
      <c r="E204" s="19"/>
      <c r="F204" s="124"/>
      <c r="G204" s="127"/>
      <c r="H204" s="130"/>
    </row>
    <row r="205" spans="2:8">
      <c r="B205" s="124"/>
      <c r="C205" s="124"/>
      <c r="D205" s="124"/>
      <c r="E205" s="16" t="s">
        <v>138</v>
      </c>
      <c r="F205" s="124"/>
      <c r="G205" s="127"/>
      <c r="H205" s="130"/>
    </row>
    <row r="206" spans="2:8">
      <c r="B206" s="124"/>
      <c r="C206" s="124"/>
      <c r="D206" s="124"/>
      <c r="E206" s="16" t="s">
        <v>44</v>
      </c>
      <c r="F206" s="124"/>
      <c r="G206" s="127"/>
      <c r="H206" s="130"/>
    </row>
    <row r="207" spans="2:8">
      <c r="B207" s="124"/>
      <c r="C207" s="124"/>
      <c r="D207" s="124"/>
      <c r="E207" s="17" t="s">
        <v>136</v>
      </c>
      <c r="F207" s="124"/>
      <c r="G207" s="127"/>
      <c r="H207" s="130"/>
    </row>
    <row r="208" spans="2:8">
      <c r="B208" s="124"/>
      <c r="C208" s="124"/>
      <c r="D208" s="124"/>
      <c r="E208" s="16" t="s">
        <v>139</v>
      </c>
      <c r="F208" s="124"/>
      <c r="G208" s="127"/>
      <c r="H208" s="130"/>
    </row>
    <row r="209" spans="2:8">
      <c r="B209" s="124"/>
      <c r="C209" s="124"/>
      <c r="D209" s="124"/>
      <c r="E209" s="18" t="s">
        <v>140</v>
      </c>
      <c r="F209" s="124"/>
      <c r="G209" s="127"/>
      <c r="H209" s="130"/>
    </row>
    <row r="210" spans="2:8">
      <c r="B210" s="124"/>
      <c r="C210" s="124"/>
      <c r="D210" s="124"/>
      <c r="E210" s="18" t="s">
        <v>141</v>
      </c>
      <c r="F210" s="124"/>
      <c r="G210" s="127"/>
      <c r="H210" s="130"/>
    </row>
    <row r="211" spans="2:8">
      <c r="B211" s="125"/>
      <c r="C211" s="125"/>
      <c r="D211" s="125"/>
      <c r="E211" s="18" t="s">
        <v>142</v>
      </c>
      <c r="F211" s="125"/>
      <c r="G211" s="128"/>
      <c r="H211" s="131"/>
    </row>
    <row r="212" spans="2:8">
      <c r="B212" s="123" t="s">
        <v>107</v>
      </c>
      <c r="C212" s="123" t="s">
        <v>24</v>
      </c>
      <c r="D212" s="123" t="s">
        <v>27</v>
      </c>
      <c r="E212" s="7" t="s">
        <v>116</v>
      </c>
      <c r="F212" s="123" t="s">
        <v>108</v>
      </c>
      <c r="G212" s="126">
        <v>6</v>
      </c>
      <c r="H212" s="129" t="s">
        <v>26</v>
      </c>
    </row>
    <row r="213" spans="2:8">
      <c r="B213" s="124"/>
      <c r="C213" s="124"/>
      <c r="D213" s="124"/>
      <c r="E213" s="16" t="s">
        <v>44</v>
      </c>
      <c r="F213" s="124"/>
      <c r="G213" s="127"/>
      <c r="H213" s="130"/>
    </row>
    <row r="214" spans="2:8">
      <c r="B214" s="124"/>
      <c r="C214" s="124"/>
      <c r="D214" s="124"/>
      <c r="E214" s="18" t="s">
        <v>143</v>
      </c>
      <c r="F214" s="124"/>
      <c r="G214" s="127"/>
      <c r="H214" s="130"/>
    </row>
    <row r="215" spans="2:8">
      <c r="B215" s="124"/>
      <c r="C215" s="124"/>
      <c r="D215" s="124"/>
      <c r="E215" s="18" t="s">
        <v>144</v>
      </c>
      <c r="F215" s="124"/>
      <c r="G215" s="127"/>
      <c r="H215" s="130"/>
    </row>
    <row r="216" spans="2:8">
      <c r="B216" s="124"/>
      <c r="C216" s="124"/>
      <c r="D216" s="124"/>
      <c r="E216" s="19"/>
      <c r="F216" s="124"/>
      <c r="G216" s="127"/>
      <c r="H216" s="130"/>
    </row>
    <row r="217" spans="2:8">
      <c r="B217" s="124"/>
      <c r="C217" s="124"/>
      <c r="D217" s="124"/>
      <c r="E217" s="16" t="s">
        <v>145</v>
      </c>
      <c r="F217" s="124"/>
      <c r="G217" s="127"/>
      <c r="H217" s="130"/>
    </row>
    <row r="218" spans="2:8">
      <c r="B218" s="124"/>
      <c r="C218" s="124"/>
      <c r="D218" s="124"/>
      <c r="E218" s="16" t="s">
        <v>114</v>
      </c>
      <c r="F218" s="124"/>
      <c r="G218" s="127"/>
      <c r="H218" s="130"/>
    </row>
    <row r="219" spans="2:8">
      <c r="B219" s="124"/>
      <c r="C219" s="124"/>
      <c r="D219" s="124"/>
      <c r="E219" s="16" t="s">
        <v>146</v>
      </c>
      <c r="F219" s="124"/>
      <c r="G219" s="127"/>
      <c r="H219" s="130"/>
    </row>
    <row r="220" spans="2:8">
      <c r="B220" s="124"/>
      <c r="C220" s="124"/>
      <c r="D220" s="124"/>
      <c r="E220" s="16"/>
      <c r="F220" s="124"/>
      <c r="G220" s="127"/>
      <c r="H220" s="130"/>
    </row>
    <row r="221" spans="2:8">
      <c r="B221" s="124"/>
      <c r="C221" s="124"/>
      <c r="D221" s="124"/>
      <c r="E221" s="16" t="s">
        <v>119</v>
      </c>
      <c r="F221" s="124"/>
      <c r="G221" s="127"/>
      <c r="H221" s="130"/>
    </row>
    <row r="222" spans="2:8">
      <c r="B222" s="124"/>
      <c r="C222" s="124"/>
      <c r="D222" s="124"/>
      <c r="E222" s="16" t="s">
        <v>44</v>
      </c>
      <c r="F222" s="124"/>
      <c r="G222" s="127"/>
      <c r="H222" s="130"/>
    </row>
    <row r="223" spans="2:8">
      <c r="B223" s="125"/>
      <c r="C223" s="125"/>
      <c r="D223" s="125"/>
      <c r="E223" s="16" t="s">
        <v>147</v>
      </c>
      <c r="F223" s="125"/>
      <c r="G223" s="128"/>
      <c r="H223" s="131"/>
    </row>
    <row r="224" spans="2:8" ht="27" customHeight="1">
      <c r="B224" s="123" t="s">
        <v>107</v>
      </c>
      <c r="C224" s="123" t="s">
        <v>24</v>
      </c>
      <c r="D224" s="123" t="s">
        <v>20</v>
      </c>
      <c r="E224" s="7" t="s">
        <v>148</v>
      </c>
      <c r="F224" s="123" t="s">
        <v>108</v>
      </c>
      <c r="G224" s="126">
        <v>8</v>
      </c>
      <c r="H224" s="129" t="s">
        <v>26</v>
      </c>
    </row>
    <row r="225" spans="2:8">
      <c r="B225" s="124"/>
      <c r="C225" s="124"/>
      <c r="D225" s="124"/>
      <c r="E225" s="16" t="s">
        <v>114</v>
      </c>
      <c r="F225" s="124"/>
      <c r="G225" s="127"/>
      <c r="H225" s="130"/>
    </row>
    <row r="226" spans="2:8">
      <c r="B226" s="124"/>
      <c r="C226" s="124"/>
      <c r="D226" s="124"/>
      <c r="E226" s="16" t="s">
        <v>149</v>
      </c>
      <c r="F226" s="124"/>
      <c r="G226" s="127"/>
      <c r="H226" s="130"/>
    </row>
    <row r="227" spans="2:8">
      <c r="B227" s="124"/>
      <c r="C227" s="124"/>
      <c r="D227" s="124"/>
      <c r="E227" s="17" t="s">
        <v>146</v>
      </c>
      <c r="F227" s="124"/>
      <c r="G227" s="127"/>
      <c r="H227" s="130"/>
    </row>
    <row r="228" spans="2:8">
      <c r="B228" s="124"/>
      <c r="C228" s="124"/>
      <c r="D228" s="124"/>
      <c r="E228" s="16"/>
      <c r="F228" s="124"/>
      <c r="G228" s="127"/>
      <c r="H228" s="130"/>
    </row>
    <row r="229" spans="2:8">
      <c r="B229" s="124"/>
      <c r="C229" s="124"/>
      <c r="D229" s="124"/>
      <c r="E229" s="16" t="s">
        <v>150</v>
      </c>
      <c r="F229" s="124"/>
      <c r="G229" s="127"/>
      <c r="H229" s="130"/>
    </row>
    <row r="230" spans="2:8">
      <c r="B230" s="124"/>
      <c r="C230" s="124"/>
      <c r="D230" s="124"/>
      <c r="E230" s="16" t="s">
        <v>44</v>
      </c>
      <c r="F230" s="124"/>
      <c r="G230" s="127"/>
      <c r="H230" s="130"/>
    </row>
    <row r="231" spans="2:8">
      <c r="B231" s="124"/>
      <c r="C231" s="124"/>
      <c r="D231" s="124"/>
      <c r="E231" s="16" t="s">
        <v>151</v>
      </c>
      <c r="F231" s="124"/>
      <c r="G231" s="127"/>
      <c r="H231" s="130"/>
    </row>
    <row r="232" spans="2:8">
      <c r="B232" s="124"/>
      <c r="C232" s="124"/>
      <c r="D232" s="124"/>
      <c r="E232" s="16"/>
      <c r="F232" s="124"/>
      <c r="G232" s="127"/>
      <c r="H232" s="130"/>
    </row>
    <row r="233" spans="2:8">
      <c r="B233" s="124"/>
      <c r="C233" s="124"/>
      <c r="D233" s="124"/>
      <c r="E233" s="16" t="s">
        <v>152</v>
      </c>
      <c r="F233" s="124"/>
      <c r="G233" s="127"/>
      <c r="H233" s="130"/>
    </row>
    <row r="234" spans="2:8">
      <c r="B234" s="124"/>
      <c r="C234" s="124"/>
      <c r="D234" s="124"/>
      <c r="E234" s="16" t="s">
        <v>114</v>
      </c>
      <c r="F234" s="124"/>
      <c r="G234" s="127"/>
      <c r="H234" s="130"/>
    </row>
    <row r="235" spans="2:8">
      <c r="B235" s="125"/>
      <c r="C235" s="125"/>
      <c r="D235" s="125"/>
      <c r="E235" s="17" t="s">
        <v>153</v>
      </c>
      <c r="F235" s="125"/>
      <c r="G235" s="128"/>
      <c r="H235" s="131"/>
    </row>
    <row r="236" spans="2:8" ht="30">
      <c r="B236" s="1" t="s">
        <v>154</v>
      </c>
      <c r="C236" s="1" t="s">
        <v>9</v>
      </c>
      <c r="D236" s="1" t="s">
        <v>15</v>
      </c>
      <c r="E236" s="1" t="s">
        <v>16</v>
      </c>
      <c r="F236" s="4">
        <v>46239</v>
      </c>
      <c r="G236" s="2">
        <v>3.4</v>
      </c>
      <c r="H236" s="13" t="s">
        <v>12</v>
      </c>
    </row>
    <row r="237" spans="2:8" ht="30">
      <c r="B237" s="1" t="s">
        <v>154</v>
      </c>
      <c r="C237" s="1" t="s">
        <v>9</v>
      </c>
      <c r="D237" s="1" t="s">
        <v>17</v>
      </c>
      <c r="E237" s="1" t="s">
        <v>155</v>
      </c>
      <c r="F237" s="4">
        <v>46265</v>
      </c>
      <c r="G237" s="2">
        <v>1</v>
      </c>
      <c r="H237" s="11" t="s">
        <v>21</v>
      </c>
    </row>
    <row r="238" spans="2:8" ht="30">
      <c r="B238" s="1" t="s">
        <v>154</v>
      </c>
      <c r="C238" s="1" t="s">
        <v>9</v>
      </c>
      <c r="D238" s="1" t="s">
        <v>27</v>
      </c>
      <c r="E238" s="1" t="s">
        <v>156</v>
      </c>
      <c r="F238" s="4">
        <v>46295</v>
      </c>
      <c r="G238" s="2">
        <v>2</v>
      </c>
      <c r="H238" s="11" t="s">
        <v>21</v>
      </c>
    </row>
    <row r="239" spans="2:8" ht="30.75" customHeight="1">
      <c r="B239" s="1" t="s">
        <v>154</v>
      </c>
      <c r="C239" s="1" t="s">
        <v>24</v>
      </c>
      <c r="D239" s="1" t="s">
        <v>10</v>
      </c>
      <c r="E239" s="1" t="s">
        <v>157</v>
      </c>
      <c r="F239" s="4">
        <v>46325</v>
      </c>
      <c r="G239" s="2">
        <v>3.9</v>
      </c>
      <c r="H239" s="12" t="s">
        <v>26</v>
      </c>
    </row>
    <row r="240" spans="2:8" ht="30">
      <c r="B240" s="1" t="s">
        <v>154</v>
      </c>
      <c r="C240" s="1" t="s">
        <v>24</v>
      </c>
      <c r="D240" s="1" t="s">
        <v>39</v>
      </c>
      <c r="E240" s="1" t="s">
        <v>92</v>
      </c>
      <c r="F240" s="4">
        <v>46341</v>
      </c>
      <c r="G240" s="2">
        <v>3.9</v>
      </c>
      <c r="H240" s="11" t="s">
        <v>21</v>
      </c>
    </row>
    <row r="241" spans="2:8" ht="17">
      <c r="B241" s="1" t="s">
        <v>154</v>
      </c>
      <c r="C241" s="1" t="s">
        <v>9</v>
      </c>
      <c r="D241" s="1" t="s">
        <v>20</v>
      </c>
      <c r="E241" s="1" t="s">
        <v>158</v>
      </c>
      <c r="F241" s="4">
        <v>46295</v>
      </c>
      <c r="G241" s="6">
        <v>2</v>
      </c>
      <c r="H241" s="11" t="s">
        <v>21</v>
      </c>
    </row>
    <row r="242" spans="2:8" ht="17">
      <c r="B242" s="1" t="s">
        <v>154</v>
      </c>
      <c r="C242" s="1" t="s">
        <v>9</v>
      </c>
      <c r="D242" s="1" t="s">
        <v>20</v>
      </c>
      <c r="E242" s="1" t="s">
        <v>159</v>
      </c>
      <c r="F242" s="4">
        <v>46239</v>
      </c>
      <c r="G242" s="6">
        <v>2</v>
      </c>
      <c r="H242" s="13" t="s">
        <v>12</v>
      </c>
    </row>
    <row r="243" spans="2:8" ht="30">
      <c r="B243" s="1" t="s">
        <v>160</v>
      </c>
      <c r="C243" s="1" t="s">
        <v>9</v>
      </c>
      <c r="D243" s="1" t="s">
        <v>15</v>
      </c>
      <c r="E243" s="37" t="s">
        <v>161</v>
      </c>
      <c r="F243" s="4">
        <v>46295</v>
      </c>
      <c r="G243" s="6">
        <v>30</v>
      </c>
      <c r="H243" s="11" t="s">
        <v>21</v>
      </c>
    </row>
    <row r="244" spans="2:8" ht="76.5" customHeight="1">
      <c r="B244" s="1" t="s">
        <v>160</v>
      </c>
      <c r="C244" s="1" t="s">
        <v>9</v>
      </c>
      <c r="D244" s="1" t="s">
        <v>10</v>
      </c>
      <c r="E244" s="37" t="s">
        <v>162</v>
      </c>
      <c r="F244" s="4">
        <v>46295</v>
      </c>
      <c r="G244" s="24"/>
      <c r="H244" s="11" t="s">
        <v>21</v>
      </c>
    </row>
    <row r="245" spans="2:8" ht="57.75" customHeight="1">
      <c r="B245" s="1" t="s">
        <v>160</v>
      </c>
      <c r="C245" s="1" t="s">
        <v>9</v>
      </c>
      <c r="D245" s="1" t="s">
        <v>27</v>
      </c>
      <c r="E245" s="37" t="s">
        <v>163</v>
      </c>
      <c r="F245" s="4">
        <v>46295</v>
      </c>
      <c r="G245" s="24"/>
      <c r="H245" s="11" t="s">
        <v>21</v>
      </c>
    </row>
    <row r="246" spans="2:8" ht="33" customHeight="1">
      <c r="B246" s="1" t="s">
        <v>160</v>
      </c>
      <c r="C246" s="1" t="s">
        <v>9</v>
      </c>
      <c r="D246" s="1" t="s">
        <v>65</v>
      </c>
      <c r="E246" s="37" t="s">
        <v>164</v>
      </c>
      <c r="F246" s="4">
        <v>46295</v>
      </c>
      <c r="G246" s="24"/>
      <c r="H246" s="11" t="s">
        <v>21</v>
      </c>
    </row>
    <row r="247" spans="2:8" ht="45">
      <c r="B247" s="1" t="s">
        <v>160</v>
      </c>
      <c r="C247" s="1" t="s">
        <v>9</v>
      </c>
      <c r="D247" s="38" t="s">
        <v>20</v>
      </c>
      <c r="E247" s="64" t="s">
        <v>165</v>
      </c>
      <c r="F247" s="4">
        <v>46295</v>
      </c>
      <c r="G247" s="24"/>
      <c r="H247" s="11" t="s">
        <v>21</v>
      </c>
    </row>
    <row r="248" spans="2:8" ht="60">
      <c r="B248" s="1" t="s">
        <v>160</v>
      </c>
      <c r="C248" s="1" t="s">
        <v>9</v>
      </c>
      <c r="D248" s="38" t="s">
        <v>20</v>
      </c>
      <c r="E248" s="64" t="s">
        <v>166</v>
      </c>
      <c r="F248" s="4">
        <v>46295</v>
      </c>
      <c r="G248" s="24"/>
      <c r="H248" s="11" t="s">
        <v>21</v>
      </c>
    </row>
    <row r="249" spans="2:8" ht="15" customHeight="1">
      <c r="B249" s="114" t="s">
        <v>160</v>
      </c>
      <c r="C249" s="114" t="s">
        <v>9</v>
      </c>
      <c r="D249" s="115" t="s">
        <v>39</v>
      </c>
      <c r="E249" s="37" t="s">
        <v>168</v>
      </c>
      <c r="F249" s="116">
        <v>46295</v>
      </c>
      <c r="G249" s="24"/>
      <c r="H249" s="118" t="s">
        <v>21</v>
      </c>
    </row>
    <row r="250" spans="2:8" ht="51">
      <c r="B250" s="115"/>
      <c r="C250" s="115"/>
      <c r="D250" s="115"/>
      <c r="E250" s="10" t="s">
        <v>167</v>
      </c>
      <c r="F250" s="121"/>
      <c r="G250" s="24"/>
      <c r="H250" s="122"/>
    </row>
    <row r="251" spans="2:8" ht="72" customHeight="1">
      <c r="B251" s="115"/>
      <c r="C251" s="115"/>
      <c r="D251" s="115"/>
      <c r="E251" s="37" t="s">
        <v>170</v>
      </c>
      <c r="F251" s="121"/>
      <c r="G251" s="24"/>
      <c r="H251" s="122"/>
    </row>
    <row r="252" spans="2:8" ht="57.75" customHeight="1">
      <c r="B252" s="115"/>
      <c r="C252" s="115"/>
      <c r="D252" s="115"/>
      <c r="E252" s="65" t="s">
        <v>169</v>
      </c>
      <c r="F252" s="121"/>
      <c r="G252" s="24"/>
      <c r="H252" s="122"/>
    </row>
    <row r="253" spans="2:8" ht="31.5" customHeight="1">
      <c r="B253" s="114" t="s">
        <v>160</v>
      </c>
      <c r="C253" s="114" t="s">
        <v>9</v>
      </c>
      <c r="D253" s="115" t="s">
        <v>17</v>
      </c>
      <c r="E253" s="37" t="s">
        <v>171</v>
      </c>
      <c r="F253" s="116">
        <v>46295</v>
      </c>
      <c r="G253" s="24"/>
      <c r="H253" s="118" t="s">
        <v>21</v>
      </c>
    </row>
    <row r="254" spans="2:8" ht="45" customHeight="1">
      <c r="B254" s="115"/>
      <c r="C254" s="115"/>
      <c r="D254" s="115"/>
      <c r="E254" s="37" t="s">
        <v>172</v>
      </c>
      <c r="F254" s="121"/>
      <c r="G254" s="24"/>
      <c r="H254" s="122"/>
    </row>
    <row r="255" spans="2:8" ht="72" customHeight="1">
      <c r="B255" s="120"/>
      <c r="C255" s="120"/>
      <c r="D255" s="115"/>
      <c r="E255" s="1" t="s">
        <v>173</v>
      </c>
      <c r="F255" s="121"/>
      <c r="G255" s="24"/>
      <c r="H255" s="122"/>
    </row>
    <row r="256" spans="2:8" ht="134" customHeight="1">
      <c r="B256" s="114" t="s">
        <v>160</v>
      </c>
      <c r="C256" s="114" t="s">
        <v>9</v>
      </c>
      <c r="D256" s="115" t="s">
        <v>174</v>
      </c>
      <c r="E256" s="64" t="s">
        <v>176</v>
      </c>
      <c r="F256" s="116">
        <v>46295</v>
      </c>
      <c r="G256" s="24"/>
      <c r="H256" s="118" t="s">
        <v>21</v>
      </c>
    </row>
    <row r="257" spans="2:8" ht="87" customHeight="1">
      <c r="B257" s="115"/>
      <c r="C257" s="115"/>
      <c r="D257" s="115"/>
      <c r="E257" s="64" t="s">
        <v>175</v>
      </c>
      <c r="F257" s="117"/>
      <c r="G257" s="24"/>
      <c r="H257" s="119"/>
    </row>
    <row r="258" spans="2:8" ht="17">
      <c r="B258" s="1" t="s">
        <v>177</v>
      </c>
      <c r="C258" s="1" t="s">
        <v>24</v>
      </c>
      <c r="D258" s="1" t="s">
        <v>10</v>
      </c>
      <c r="E258" s="1" t="s">
        <v>33</v>
      </c>
      <c r="F258" s="4">
        <v>46325</v>
      </c>
      <c r="G258" s="2">
        <v>4.0999999999999996</v>
      </c>
      <c r="H258" s="12" t="s">
        <v>26</v>
      </c>
    </row>
    <row r="259" spans="2:8" ht="30">
      <c r="B259" s="1" t="s">
        <v>177</v>
      </c>
      <c r="C259" s="1" t="s">
        <v>9</v>
      </c>
      <c r="D259" s="1" t="s">
        <v>15</v>
      </c>
      <c r="E259" s="1" t="s">
        <v>178</v>
      </c>
      <c r="F259" s="4">
        <v>46265</v>
      </c>
      <c r="G259" s="2">
        <v>1</v>
      </c>
      <c r="H259" s="11" t="s">
        <v>21</v>
      </c>
    </row>
    <row r="260" spans="2:8" ht="30">
      <c r="B260" s="1" t="s">
        <v>177</v>
      </c>
      <c r="C260" s="1" t="s">
        <v>9</v>
      </c>
      <c r="D260" s="1" t="s">
        <v>17</v>
      </c>
      <c r="E260" s="1" t="s">
        <v>179</v>
      </c>
      <c r="F260" s="4">
        <v>46295</v>
      </c>
      <c r="G260" s="2">
        <v>3.1</v>
      </c>
      <c r="H260" s="11" t="s">
        <v>21</v>
      </c>
    </row>
    <row r="261" spans="2:8" ht="17">
      <c r="B261" s="1" t="s">
        <v>177</v>
      </c>
      <c r="C261" s="1" t="s">
        <v>9</v>
      </c>
      <c r="D261" s="1" t="s">
        <v>27</v>
      </c>
      <c r="E261" s="1" t="s">
        <v>180</v>
      </c>
      <c r="F261" s="4">
        <v>46295</v>
      </c>
      <c r="G261" s="2">
        <v>4.2</v>
      </c>
      <c r="H261" s="11" t="s">
        <v>21</v>
      </c>
    </row>
    <row r="262" spans="2:8" ht="30">
      <c r="B262" s="1" t="s">
        <v>177</v>
      </c>
      <c r="C262" s="1" t="s">
        <v>24</v>
      </c>
      <c r="D262" s="1" t="s">
        <v>39</v>
      </c>
      <c r="E262" s="1" t="s">
        <v>181</v>
      </c>
      <c r="F262" s="4">
        <v>46325</v>
      </c>
      <c r="G262" s="2">
        <v>4.0999999999999996</v>
      </c>
      <c r="H262" s="11" t="s">
        <v>21</v>
      </c>
    </row>
    <row r="263" spans="2:8" ht="30">
      <c r="B263" s="1" t="s">
        <v>177</v>
      </c>
      <c r="C263" s="1" t="s">
        <v>9</v>
      </c>
      <c r="D263" s="1" t="s">
        <v>17</v>
      </c>
      <c r="E263" s="1" t="s">
        <v>182</v>
      </c>
      <c r="F263" s="4">
        <v>46295</v>
      </c>
      <c r="G263" s="2">
        <v>2.1</v>
      </c>
      <c r="H263" s="11" t="s">
        <v>21</v>
      </c>
    </row>
    <row r="264" spans="2:8" ht="17">
      <c r="B264" s="1" t="s">
        <v>177</v>
      </c>
      <c r="C264" s="1" t="s">
        <v>9</v>
      </c>
      <c r="D264" s="1" t="s">
        <v>27</v>
      </c>
      <c r="E264" s="1" t="s">
        <v>183</v>
      </c>
      <c r="F264" s="4">
        <v>46295</v>
      </c>
      <c r="G264" s="2">
        <v>2.1</v>
      </c>
      <c r="H264" s="11" t="s">
        <v>21</v>
      </c>
    </row>
    <row r="265" spans="2:8" ht="30">
      <c r="B265" s="1" t="s">
        <v>184</v>
      </c>
      <c r="C265" s="1" t="s">
        <v>9</v>
      </c>
      <c r="D265" s="1" t="s">
        <v>15</v>
      </c>
      <c r="E265" s="1" t="s">
        <v>185</v>
      </c>
      <c r="F265" s="4">
        <v>46265</v>
      </c>
      <c r="G265" s="2">
        <v>3.7</v>
      </c>
      <c r="H265" s="12" t="s">
        <v>26</v>
      </c>
    </row>
    <row r="266" spans="2:8" ht="33.75" customHeight="1">
      <c r="B266" s="1" t="s">
        <v>184</v>
      </c>
      <c r="C266" s="1" t="s">
        <v>9</v>
      </c>
      <c r="D266" s="1" t="s">
        <v>10</v>
      </c>
      <c r="E266" s="1" t="s">
        <v>191</v>
      </c>
      <c r="F266" s="4">
        <v>46295</v>
      </c>
      <c r="G266" s="2">
        <v>5.8</v>
      </c>
      <c r="H266" s="13" t="s">
        <v>12</v>
      </c>
    </row>
    <row r="267" spans="2:8" ht="45" customHeight="1">
      <c r="B267" s="1" t="s">
        <v>184</v>
      </c>
      <c r="C267" s="1" t="s">
        <v>24</v>
      </c>
      <c r="D267" s="1" t="s">
        <v>17</v>
      </c>
      <c r="E267" s="1" t="s">
        <v>190</v>
      </c>
      <c r="F267" s="4">
        <v>46356</v>
      </c>
      <c r="G267" s="2">
        <v>2</v>
      </c>
      <c r="H267" s="11" t="s">
        <v>21</v>
      </c>
    </row>
    <row r="268" spans="2:8" ht="47.25" customHeight="1">
      <c r="B268" s="1" t="s">
        <v>184</v>
      </c>
      <c r="C268" s="1" t="s">
        <v>9</v>
      </c>
      <c r="D268" s="1" t="s">
        <v>39</v>
      </c>
      <c r="E268" s="1" t="s">
        <v>188</v>
      </c>
      <c r="F268" s="4">
        <v>46295</v>
      </c>
      <c r="G268" s="2">
        <v>1</v>
      </c>
      <c r="H268" s="11" t="s">
        <v>21</v>
      </c>
    </row>
    <row r="269" spans="2:8" ht="45" customHeight="1">
      <c r="B269" s="1" t="s">
        <v>184</v>
      </c>
      <c r="C269" s="1" t="s">
        <v>9</v>
      </c>
      <c r="D269" s="1" t="s">
        <v>39</v>
      </c>
      <c r="E269" s="1" t="s">
        <v>186</v>
      </c>
      <c r="F269" s="4">
        <v>46295</v>
      </c>
      <c r="G269" s="2">
        <v>1</v>
      </c>
      <c r="H269" s="12" t="s">
        <v>26</v>
      </c>
    </row>
    <row r="270" spans="2:8" ht="30">
      <c r="B270" s="1" t="s">
        <v>184</v>
      </c>
      <c r="C270" s="1" t="s">
        <v>9</v>
      </c>
      <c r="D270" s="1" t="s">
        <v>20</v>
      </c>
      <c r="E270" s="9" t="s">
        <v>189</v>
      </c>
      <c r="F270" s="4">
        <v>46265</v>
      </c>
      <c r="G270" s="2">
        <v>1</v>
      </c>
      <c r="H270" s="12" t="s">
        <v>26</v>
      </c>
    </row>
    <row r="271" spans="2:8" ht="47.25" customHeight="1">
      <c r="B271" s="1" t="s">
        <v>184</v>
      </c>
      <c r="C271" s="1" t="s">
        <v>9</v>
      </c>
      <c r="D271" s="1" t="s">
        <v>20</v>
      </c>
      <c r="E271" s="1" t="s">
        <v>187</v>
      </c>
      <c r="F271" s="4">
        <v>46265</v>
      </c>
      <c r="G271" s="2">
        <v>0.5</v>
      </c>
      <c r="H271" s="12" t="s">
        <v>26</v>
      </c>
    </row>
    <row r="272" spans="2:8" ht="17">
      <c r="B272" s="1" t="s">
        <v>192</v>
      </c>
      <c r="C272" s="1" t="s">
        <v>24</v>
      </c>
      <c r="D272" s="1" t="s">
        <v>10</v>
      </c>
      <c r="E272" s="1" t="s">
        <v>157</v>
      </c>
      <c r="F272" s="4">
        <v>46356</v>
      </c>
      <c r="G272" s="2">
        <v>2</v>
      </c>
      <c r="H272" s="12" t="s">
        <v>26</v>
      </c>
    </row>
    <row r="273" spans="2:8" ht="30">
      <c r="B273" s="1" t="s">
        <v>192</v>
      </c>
      <c r="C273" s="1" t="s">
        <v>9</v>
      </c>
      <c r="D273" s="1" t="s">
        <v>15</v>
      </c>
      <c r="E273" s="1" t="s">
        <v>16</v>
      </c>
      <c r="F273" s="4">
        <v>46265</v>
      </c>
      <c r="G273" s="2">
        <v>3.6</v>
      </c>
      <c r="H273" s="11" t="s">
        <v>21</v>
      </c>
    </row>
    <row r="274" spans="2:8" ht="30">
      <c r="B274" s="1" t="s">
        <v>192</v>
      </c>
      <c r="C274" s="1" t="s">
        <v>9</v>
      </c>
      <c r="D274" s="1" t="s">
        <v>39</v>
      </c>
      <c r="E274" s="1" t="s">
        <v>91</v>
      </c>
      <c r="F274" s="4">
        <v>46295</v>
      </c>
      <c r="G274" s="2">
        <v>4.3</v>
      </c>
      <c r="H274" s="11" t="s">
        <v>21</v>
      </c>
    </row>
    <row r="275" spans="2:8" ht="17">
      <c r="B275" s="1" t="s">
        <v>192</v>
      </c>
      <c r="C275" s="1" t="s">
        <v>9</v>
      </c>
      <c r="D275" s="1" t="s">
        <v>27</v>
      </c>
      <c r="E275" s="1" t="s">
        <v>32</v>
      </c>
      <c r="F275" s="4">
        <v>46295</v>
      </c>
      <c r="G275" s="2">
        <v>2.1</v>
      </c>
      <c r="H275" s="11" t="s">
        <v>21</v>
      </c>
    </row>
    <row r="276" spans="2:8" ht="30">
      <c r="B276" s="1" t="s">
        <v>192</v>
      </c>
      <c r="C276" s="1" t="s">
        <v>24</v>
      </c>
      <c r="D276" s="1" t="s">
        <v>39</v>
      </c>
      <c r="E276" s="1" t="s">
        <v>92</v>
      </c>
      <c r="F276" s="4">
        <v>46356</v>
      </c>
      <c r="G276" s="2">
        <v>4.3</v>
      </c>
      <c r="H276" s="12" t="s">
        <v>26</v>
      </c>
    </row>
    <row r="277" spans="2:8" ht="30">
      <c r="B277" s="1" t="s">
        <v>192</v>
      </c>
      <c r="C277" s="1" t="s">
        <v>24</v>
      </c>
      <c r="D277" s="1" t="s">
        <v>17</v>
      </c>
      <c r="E277" s="15" t="s">
        <v>93</v>
      </c>
      <c r="F277" s="4">
        <v>46356</v>
      </c>
      <c r="G277" s="2">
        <v>4.3</v>
      </c>
      <c r="H277" s="12" t="s">
        <v>26</v>
      </c>
    </row>
    <row r="278" spans="2:8" ht="30">
      <c r="B278" s="1" t="s">
        <v>193</v>
      </c>
      <c r="C278" s="1" t="s">
        <v>9</v>
      </c>
      <c r="D278" s="1" t="s">
        <v>15</v>
      </c>
      <c r="E278" s="1" t="s">
        <v>16</v>
      </c>
      <c r="F278" s="4">
        <v>46239</v>
      </c>
      <c r="G278" s="2">
        <v>3.3</v>
      </c>
      <c r="H278" s="13" t="s">
        <v>12</v>
      </c>
    </row>
    <row r="279" spans="2:8" ht="30">
      <c r="B279" s="1" t="s">
        <v>193</v>
      </c>
      <c r="C279" s="1" t="s">
        <v>9</v>
      </c>
      <c r="D279" s="1" t="s">
        <v>17</v>
      </c>
      <c r="E279" s="1" t="s">
        <v>155</v>
      </c>
      <c r="F279" s="4">
        <v>46265</v>
      </c>
      <c r="G279" s="2">
        <v>1</v>
      </c>
      <c r="H279" s="11" t="s">
        <v>21</v>
      </c>
    </row>
    <row r="280" spans="2:8" ht="30">
      <c r="B280" s="1" t="s">
        <v>193</v>
      </c>
      <c r="C280" s="1" t="s">
        <v>9</v>
      </c>
      <c r="D280" s="1" t="s">
        <v>17</v>
      </c>
      <c r="E280" s="1" t="s">
        <v>29</v>
      </c>
      <c r="F280" s="4">
        <v>46265</v>
      </c>
      <c r="G280" s="2">
        <v>1</v>
      </c>
      <c r="H280" s="11" t="s">
        <v>21</v>
      </c>
    </row>
    <row r="281" spans="2:8" ht="17">
      <c r="B281" s="1" t="s">
        <v>193</v>
      </c>
      <c r="C281" s="1" t="s">
        <v>24</v>
      </c>
      <c r="D281" s="1" t="s">
        <v>10</v>
      </c>
      <c r="E281" s="1" t="s">
        <v>157</v>
      </c>
      <c r="F281" s="4">
        <v>46325</v>
      </c>
      <c r="G281" s="2">
        <v>3.8</v>
      </c>
      <c r="H281" s="12" t="s">
        <v>26</v>
      </c>
    </row>
    <row r="282" spans="2:8" ht="17">
      <c r="B282" s="1" t="s">
        <v>193</v>
      </c>
      <c r="C282" s="1" t="s">
        <v>24</v>
      </c>
      <c r="D282" s="1" t="s">
        <v>27</v>
      </c>
      <c r="E282" s="1" t="s">
        <v>194</v>
      </c>
      <c r="F282" s="4">
        <v>46325</v>
      </c>
      <c r="G282" s="2">
        <v>1.9</v>
      </c>
      <c r="H282" s="12" t="s">
        <v>26</v>
      </c>
    </row>
    <row r="283" spans="2:8" ht="17">
      <c r="B283" s="1" t="s">
        <v>193</v>
      </c>
      <c r="C283" s="1" t="s">
        <v>9</v>
      </c>
      <c r="D283" s="1" t="s">
        <v>20</v>
      </c>
      <c r="E283" s="1" t="s">
        <v>195</v>
      </c>
      <c r="F283" s="4">
        <v>46239</v>
      </c>
      <c r="G283" s="2">
        <v>1.9</v>
      </c>
      <c r="H283" s="13" t="s">
        <v>12</v>
      </c>
    </row>
    <row r="284" spans="2:8" ht="18.75" customHeight="1">
      <c r="B284" s="1" t="s">
        <v>193</v>
      </c>
      <c r="C284" s="1" t="s">
        <v>24</v>
      </c>
      <c r="D284" s="1" t="s">
        <v>39</v>
      </c>
      <c r="E284" s="1" t="s">
        <v>92</v>
      </c>
      <c r="F284" s="4">
        <v>46341</v>
      </c>
      <c r="G284" s="2">
        <v>3.9</v>
      </c>
      <c r="H284" s="11" t="s">
        <v>21</v>
      </c>
    </row>
    <row r="285" spans="2:8" ht="18" customHeight="1">
      <c r="B285" s="1" t="s">
        <v>193</v>
      </c>
      <c r="C285" s="1" t="s">
        <v>9</v>
      </c>
      <c r="D285" s="1" t="s">
        <v>27</v>
      </c>
      <c r="E285" s="1" t="s">
        <v>32</v>
      </c>
      <c r="F285" s="4">
        <v>46265</v>
      </c>
      <c r="G285" s="2">
        <v>1.9</v>
      </c>
      <c r="H285" s="11" t="s">
        <v>21</v>
      </c>
    </row>
    <row r="286" spans="2:8" ht="30">
      <c r="B286" s="1" t="s">
        <v>196</v>
      </c>
      <c r="C286" s="1" t="s">
        <v>9</v>
      </c>
      <c r="D286" s="1" t="s">
        <v>15</v>
      </c>
      <c r="E286" s="1" t="s">
        <v>197</v>
      </c>
      <c r="F286" s="4">
        <v>46265</v>
      </c>
      <c r="G286" s="2">
        <v>3.7</v>
      </c>
      <c r="H286" s="12" t="s">
        <v>26</v>
      </c>
    </row>
    <row r="287" spans="2:8" ht="17">
      <c r="B287" s="1" t="s">
        <v>196</v>
      </c>
      <c r="C287" s="1" t="s">
        <v>9</v>
      </c>
      <c r="D287" s="1" t="s">
        <v>10</v>
      </c>
      <c r="E287" s="1" t="s">
        <v>198</v>
      </c>
      <c r="F287" s="1" t="s">
        <v>199</v>
      </c>
      <c r="G287" s="2">
        <v>5.8</v>
      </c>
      <c r="H287" s="13" t="s">
        <v>12</v>
      </c>
    </row>
    <row r="288" spans="2:8" ht="42.75" customHeight="1">
      <c r="B288" s="1" t="s">
        <v>196</v>
      </c>
      <c r="C288" s="1" t="s">
        <v>9</v>
      </c>
      <c r="D288" s="1" t="s">
        <v>39</v>
      </c>
      <c r="E288" s="1" t="s">
        <v>203</v>
      </c>
      <c r="F288" s="1" t="s">
        <v>199</v>
      </c>
      <c r="G288" s="2">
        <v>1</v>
      </c>
      <c r="H288" s="11" t="s">
        <v>21</v>
      </c>
    </row>
    <row r="289" spans="2:8" ht="30">
      <c r="B289" s="1" t="s">
        <v>196</v>
      </c>
      <c r="C289" s="1" t="s">
        <v>9</v>
      </c>
      <c r="D289" s="1" t="s">
        <v>39</v>
      </c>
      <c r="E289" s="1" t="s">
        <v>200</v>
      </c>
      <c r="F289" s="1" t="s">
        <v>199</v>
      </c>
      <c r="G289" s="2">
        <v>1</v>
      </c>
      <c r="H289" s="12" t="s">
        <v>26</v>
      </c>
    </row>
    <row r="290" spans="2:8" ht="69" customHeight="1">
      <c r="B290" s="1" t="s">
        <v>196</v>
      </c>
      <c r="C290" s="1" t="s">
        <v>9</v>
      </c>
      <c r="D290" s="1" t="s">
        <v>20</v>
      </c>
      <c r="E290" s="1" t="s">
        <v>201</v>
      </c>
      <c r="F290" s="4">
        <v>46265</v>
      </c>
      <c r="G290" s="2">
        <v>1</v>
      </c>
      <c r="H290" s="12" t="s">
        <v>26</v>
      </c>
    </row>
    <row r="291" spans="2:8" ht="30">
      <c r="B291" s="1" t="s">
        <v>196</v>
      </c>
      <c r="C291" s="1" t="s">
        <v>9</v>
      </c>
      <c r="D291" s="1" t="s">
        <v>20</v>
      </c>
      <c r="E291" s="1" t="s">
        <v>202</v>
      </c>
      <c r="F291" s="4">
        <v>46265</v>
      </c>
      <c r="G291" s="2">
        <v>0.5</v>
      </c>
      <c r="H291" s="12" t="s">
        <v>26</v>
      </c>
    </row>
    <row r="292" spans="2:8" ht="30">
      <c r="B292" s="1" t="s">
        <v>204</v>
      </c>
      <c r="C292" s="1" t="s">
        <v>9</v>
      </c>
      <c r="D292" s="1" t="s">
        <v>15</v>
      </c>
      <c r="E292" s="1" t="s">
        <v>37</v>
      </c>
      <c r="F292" s="4">
        <v>46295</v>
      </c>
      <c r="G292" s="2">
        <v>3.5</v>
      </c>
      <c r="H292" s="12" t="s">
        <v>26</v>
      </c>
    </row>
    <row r="293" spans="2:8" ht="17">
      <c r="B293" s="1" t="s">
        <v>204</v>
      </c>
      <c r="C293" s="1" t="s">
        <v>9</v>
      </c>
      <c r="D293" s="1" t="s">
        <v>10</v>
      </c>
      <c r="E293" s="1" t="s">
        <v>38</v>
      </c>
      <c r="F293" s="4">
        <v>46295</v>
      </c>
      <c r="G293" s="2">
        <v>4.0999999999999996</v>
      </c>
      <c r="H293" s="12" t="s">
        <v>26</v>
      </c>
    </row>
    <row r="294" spans="2:8" ht="17">
      <c r="B294" s="1" t="s">
        <v>204</v>
      </c>
      <c r="C294" s="1" t="s">
        <v>9</v>
      </c>
      <c r="D294" s="1" t="s">
        <v>27</v>
      </c>
      <c r="E294" s="1" t="s">
        <v>28</v>
      </c>
      <c r="F294" s="4">
        <v>46295</v>
      </c>
      <c r="G294" s="2">
        <v>2.1</v>
      </c>
      <c r="H294" s="12" t="s">
        <v>26</v>
      </c>
    </row>
    <row r="295" spans="2:8" ht="17">
      <c r="B295" s="1" t="s">
        <v>204</v>
      </c>
      <c r="C295" s="1" t="s">
        <v>9</v>
      </c>
      <c r="D295" s="1" t="s">
        <v>27</v>
      </c>
      <c r="E295" s="1" t="s">
        <v>86</v>
      </c>
      <c r="F295" s="4">
        <v>46295</v>
      </c>
      <c r="G295" s="2">
        <v>2.1</v>
      </c>
      <c r="H295" s="12" t="s">
        <v>26</v>
      </c>
    </row>
    <row r="296" spans="2:8" ht="30">
      <c r="B296" s="1" t="s">
        <v>204</v>
      </c>
      <c r="C296" s="1" t="s">
        <v>9</v>
      </c>
      <c r="D296" s="1" t="s">
        <v>17</v>
      </c>
      <c r="E296" s="1" t="s">
        <v>89</v>
      </c>
      <c r="F296" s="4">
        <v>46295</v>
      </c>
      <c r="G296" s="2">
        <v>4.2</v>
      </c>
      <c r="H296" s="12" t="s">
        <v>26</v>
      </c>
    </row>
    <row r="297" spans="2:8" ht="17">
      <c r="B297" s="1" t="s">
        <v>204</v>
      </c>
      <c r="C297" s="1" t="s">
        <v>9</v>
      </c>
      <c r="D297" s="1" t="s">
        <v>27</v>
      </c>
      <c r="E297" s="1" t="s">
        <v>32</v>
      </c>
      <c r="F297" s="4">
        <v>46295</v>
      </c>
      <c r="G297" s="2">
        <v>4.0999999999999996</v>
      </c>
      <c r="H297" s="12" t="s">
        <v>26</v>
      </c>
    </row>
    <row r="298" spans="2:8" ht="40.5" customHeight="1">
      <c r="B298" s="1" t="s">
        <v>205</v>
      </c>
      <c r="C298" s="1" t="s">
        <v>24</v>
      </c>
      <c r="D298" s="1" t="s">
        <v>15</v>
      </c>
      <c r="E298" s="15" t="s">
        <v>211</v>
      </c>
      <c r="F298" s="4">
        <v>46387</v>
      </c>
      <c r="G298" s="2">
        <v>1.5</v>
      </c>
      <c r="H298" s="11" t="s">
        <v>21</v>
      </c>
    </row>
    <row r="299" spans="2:8" ht="30">
      <c r="B299" s="1" t="s">
        <v>205</v>
      </c>
      <c r="C299" s="1" t="s">
        <v>24</v>
      </c>
      <c r="D299" s="1" t="s">
        <v>10</v>
      </c>
      <c r="E299" s="15" t="s">
        <v>212</v>
      </c>
      <c r="F299" s="4">
        <v>46387</v>
      </c>
      <c r="G299" s="2">
        <v>2.9</v>
      </c>
      <c r="H299" s="11" t="s">
        <v>21</v>
      </c>
    </row>
    <row r="300" spans="2:8" ht="30">
      <c r="B300" s="1" t="s">
        <v>205</v>
      </c>
      <c r="C300" s="1" t="s">
        <v>24</v>
      </c>
      <c r="D300" s="1" t="s">
        <v>17</v>
      </c>
      <c r="E300" s="15" t="s">
        <v>213</v>
      </c>
      <c r="F300" s="4">
        <v>46387</v>
      </c>
      <c r="G300" s="2">
        <v>2.9</v>
      </c>
      <c r="H300" s="11" t="s">
        <v>21</v>
      </c>
    </row>
    <row r="301" spans="2:8" ht="30">
      <c r="B301" s="1" t="s">
        <v>205</v>
      </c>
      <c r="C301" s="1" t="s">
        <v>24</v>
      </c>
      <c r="D301" s="1" t="s">
        <v>17</v>
      </c>
      <c r="E301" s="15" t="s">
        <v>214</v>
      </c>
      <c r="F301" s="4">
        <v>46387</v>
      </c>
      <c r="G301" s="2">
        <v>2.9</v>
      </c>
      <c r="H301" s="11" t="s">
        <v>21</v>
      </c>
    </row>
    <row r="302" spans="2:8" ht="30">
      <c r="B302" s="1" t="s">
        <v>205</v>
      </c>
      <c r="C302" s="1" t="s">
        <v>24</v>
      </c>
      <c r="D302" s="1" t="s">
        <v>17</v>
      </c>
      <c r="E302" s="15" t="s">
        <v>215</v>
      </c>
      <c r="F302" s="4">
        <v>46387</v>
      </c>
      <c r="G302" s="2">
        <v>2.9</v>
      </c>
      <c r="H302" s="11" t="s">
        <v>21</v>
      </c>
    </row>
    <row r="303" spans="2:8" ht="15.75" customHeight="1">
      <c r="B303" s="36" t="s">
        <v>205</v>
      </c>
      <c r="C303" s="36" t="s">
        <v>24</v>
      </c>
      <c r="D303" s="36" t="s">
        <v>17</v>
      </c>
      <c r="E303" s="15" t="s">
        <v>219</v>
      </c>
      <c r="F303" s="40">
        <v>46387</v>
      </c>
      <c r="G303" s="2">
        <v>2</v>
      </c>
      <c r="H303" s="39" t="s">
        <v>21</v>
      </c>
    </row>
    <row r="304" spans="2:8" ht="30">
      <c r="B304" s="1" t="s">
        <v>205</v>
      </c>
      <c r="C304" s="1" t="s">
        <v>24</v>
      </c>
      <c r="D304" s="1" t="s">
        <v>17</v>
      </c>
      <c r="E304" s="15" t="s">
        <v>206</v>
      </c>
      <c r="F304" s="4">
        <v>46387</v>
      </c>
      <c r="G304" s="2">
        <v>1.2</v>
      </c>
      <c r="H304" s="11" t="s">
        <v>21</v>
      </c>
    </row>
    <row r="305" spans="2:8" ht="30">
      <c r="B305" s="1" t="s">
        <v>205</v>
      </c>
      <c r="C305" s="1" t="s">
        <v>24</v>
      </c>
      <c r="D305" s="1" t="s">
        <v>17</v>
      </c>
      <c r="E305" s="15" t="s">
        <v>207</v>
      </c>
      <c r="F305" s="4">
        <v>46266</v>
      </c>
      <c r="G305" s="2">
        <v>2.9</v>
      </c>
      <c r="H305" s="11" t="s">
        <v>21</v>
      </c>
    </row>
    <row r="306" spans="2:8" ht="30">
      <c r="B306" s="1" t="s">
        <v>205</v>
      </c>
      <c r="C306" s="1" t="s">
        <v>24</v>
      </c>
      <c r="D306" s="1" t="s">
        <v>17</v>
      </c>
      <c r="E306" s="15" t="s">
        <v>208</v>
      </c>
      <c r="F306" s="4">
        <v>46387</v>
      </c>
      <c r="G306" s="2">
        <v>2.9</v>
      </c>
      <c r="H306" s="11" t="s">
        <v>21</v>
      </c>
    </row>
    <row r="307" spans="2:8" ht="30">
      <c r="B307" s="1" t="s">
        <v>205</v>
      </c>
      <c r="C307" s="1" t="s">
        <v>24</v>
      </c>
      <c r="D307" s="1" t="s">
        <v>27</v>
      </c>
      <c r="E307" s="15" t="s">
        <v>209</v>
      </c>
      <c r="F307" s="4">
        <v>46387</v>
      </c>
      <c r="G307" s="2">
        <v>1.5</v>
      </c>
      <c r="H307" s="12" t="s">
        <v>26</v>
      </c>
    </row>
    <row r="308" spans="2:8" ht="30">
      <c r="B308" s="1" t="s">
        <v>205</v>
      </c>
      <c r="C308" s="1" t="s">
        <v>24</v>
      </c>
      <c r="D308" s="1" t="s">
        <v>27</v>
      </c>
      <c r="E308" s="15" t="s">
        <v>210</v>
      </c>
      <c r="F308" s="4">
        <v>46387</v>
      </c>
      <c r="G308" s="2">
        <v>1.5</v>
      </c>
      <c r="H308" s="12" t="s">
        <v>26</v>
      </c>
    </row>
    <row r="309" spans="2:8" ht="17">
      <c r="B309" s="1" t="s">
        <v>216</v>
      </c>
      <c r="C309" s="1" t="s">
        <v>9</v>
      </c>
      <c r="D309" s="1" t="s">
        <v>20</v>
      </c>
      <c r="E309" s="1" t="s">
        <v>150</v>
      </c>
      <c r="F309" s="4">
        <v>46295</v>
      </c>
      <c r="G309" s="2">
        <v>5.3</v>
      </c>
      <c r="H309" s="11" t="s">
        <v>21</v>
      </c>
    </row>
    <row r="310" spans="2:8" ht="30">
      <c r="B310" s="1" t="s">
        <v>216</v>
      </c>
      <c r="C310" s="1" t="s">
        <v>24</v>
      </c>
      <c r="D310" s="1" t="s">
        <v>15</v>
      </c>
      <c r="E310" s="1" t="s">
        <v>217</v>
      </c>
      <c r="F310" s="4">
        <v>46387</v>
      </c>
      <c r="G310" s="2">
        <v>4.5</v>
      </c>
      <c r="H310" s="11" t="s">
        <v>21</v>
      </c>
    </row>
    <row r="311" spans="2:8" ht="58.5" customHeight="1">
      <c r="B311" s="1" t="s">
        <v>216</v>
      </c>
      <c r="C311" s="1" t="s">
        <v>24</v>
      </c>
      <c r="D311" s="1" t="s">
        <v>39</v>
      </c>
      <c r="E311" s="1" t="s">
        <v>91</v>
      </c>
      <c r="F311" s="4">
        <v>46387</v>
      </c>
      <c r="G311" s="2">
        <v>5.3</v>
      </c>
      <c r="H311" s="11" t="s">
        <v>21</v>
      </c>
    </row>
    <row r="312" spans="2:8" ht="17">
      <c r="B312" s="1" t="s">
        <v>216</v>
      </c>
      <c r="C312" s="1" t="s">
        <v>24</v>
      </c>
      <c r="D312" s="1" t="s">
        <v>27</v>
      </c>
      <c r="E312" s="1" t="s">
        <v>218</v>
      </c>
      <c r="F312" s="4">
        <v>46387</v>
      </c>
      <c r="G312" s="2">
        <v>2.6</v>
      </c>
      <c r="H312" s="11" t="s">
        <v>21</v>
      </c>
    </row>
    <row r="313" spans="2:8" ht="30">
      <c r="B313" s="1" t="s">
        <v>216</v>
      </c>
      <c r="C313" s="1" t="s">
        <v>24</v>
      </c>
      <c r="D313" s="1" t="s">
        <v>39</v>
      </c>
      <c r="E313" s="1" t="s">
        <v>92</v>
      </c>
      <c r="F313" s="4">
        <v>46387</v>
      </c>
      <c r="G313" s="2">
        <v>5.3</v>
      </c>
      <c r="H313" s="11" t="s">
        <v>21</v>
      </c>
    </row>
    <row r="314" spans="2:8">
      <c r="B314" s="37"/>
      <c r="C314" s="37"/>
      <c r="D314" s="37"/>
      <c r="E314" s="37"/>
      <c r="F314" s="66"/>
      <c r="G314" s="67"/>
      <c r="H314"/>
    </row>
    <row r="315" spans="2:8">
      <c r="B315" s="37"/>
      <c r="C315" s="37"/>
      <c r="D315" s="37"/>
      <c r="E315" s="37"/>
      <c r="F315" s="66"/>
      <c r="G315" s="67"/>
      <c r="H315"/>
    </row>
    <row r="317" spans="2:8" ht="30">
      <c r="B317" s="68" t="s">
        <v>0</v>
      </c>
      <c r="C317" s="68" t="s">
        <v>221</v>
      </c>
      <c r="D317" s="68" t="s">
        <v>222</v>
      </c>
      <c r="E317" s="68" t="s">
        <v>223</v>
      </c>
      <c r="F317" s="68" t="s">
        <v>236</v>
      </c>
    </row>
    <row r="318" spans="2:8">
      <c r="B318" s="69" t="s">
        <v>8</v>
      </c>
      <c r="C318" s="70" t="s">
        <v>220</v>
      </c>
      <c r="D318" s="26">
        <v>0.47</v>
      </c>
      <c r="E318" s="27">
        <f t="shared" ref="E318:E333" si="0">SUMIF($B$2:$B$313,B318,$G$2:$G$313)/100</f>
        <v>0.30099999999999999</v>
      </c>
      <c r="F318" s="33">
        <f>D318+E318</f>
        <v>0.77099999999999991</v>
      </c>
    </row>
    <row r="319" spans="2:8">
      <c r="B319" s="69" t="s">
        <v>23</v>
      </c>
      <c r="C319" s="70" t="s">
        <v>220</v>
      </c>
      <c r="D319" s="28">
        <v>0.52</v>
      </c>
      <c r="E319" s="27">
        <f t="shared" si="0"/>
        <v>0.22299999999999998</v>
      </c>
      <c r="F319" s="34">
        <f t="shared" ref="F319:F338" si="1">D319+E319</f>
        <v>0.74299999999999999</v>
      </c>
    </row>
    <row r="320" spans="2:8" ht="33" customHeight="1">
      <c r="B320" s="69" t="s">
        <v>35</v>
      </c>
      <c r="C320" s="70" t="s">
        <v>224</v>
      </c>
      <c r="D320" s="28">
        <v>0.42</v>
      </c>
      <c r="E320" s="29">
        <f t="shared" si="0"/>
        <v>0.09</v>
      </c>
      <c r="F320" s="34">
        <f t="shared" si="1"/>
        <v>0.51</v>
      </c>
    </row>
    <row r="321" spans="2:6" ht="100.5" customHeight="1">
      <c r="B321" s="69" t="s">
        <v>41</v>
      </c>
      <c r="C321" s="70" t="s">
        <v>225</v>
      </c>
      <c r="D321" s="28">
        <v>0.56000000000000005</v>
      </c>
      <c r="E321" s="29">
        <f t="shared" si="0"/>
        <v>0.47</v>
      </c>
      <c r="F321" s="35">
        <f t="shared" si="1"/>
        <v>1.03</v>
      </c>
    </row>
    <row r="322" spans="2:6" ht="30.75" customHeight="1">
      <c r="B322" s="69" t="s">
        <v>82</v>
      </c>
      <c r="C322" s="70" t="s">
        <v>226</v>
      </c>
      <c r="D322" s="28">
        <v>0.55000000000000004</v>
      </c>
      <c r="E322" s="29">
        <f t="shared" si="0"/>
        <v>0.3</v>
      </c>
      <c r="F322" s="34">
        <f t="shared" si="1"/>
        <v>0.85000000000000009</v>
      </c>
    </row>
    <row r="323" spans="2:6">
      <c r="B323" s="69" t="s">
        <v>85</v>
      </c>
      <c r="C323" s="70" t="s">
        <v>220</v>
      </c>
      <c r="D323" s="26">
        <v>0.56000000000000005</v>
      </c>
      <c r="E323" s="29">
        <f t="shared" si="0"/>
        <v>0.43300000000000005</v>
      </c>
      <c r="F323" s="35">
        <f t="shared" si="1"/>
        <v>0.9930000000000001</v>
      </c>
    </row>
    <row r="324" spans="2:6" ht="59.25" customHeight="1">
      <c r="B324" s="69" t="s">
        <v>102</v>
      </c>
      <c r="C324" s="69" t="s">
        <v>220</v>
      </c>
      <c r="D324" s="28">
        <v>0.4</v>
      </c>
      <c r="E324" s="29">
        <f t="shared" si="0"/>
        <v>0.21400000000000002</v>
      </c>
      <c r="F324" s="34">
        <f t="shared" si="1"/>
        <v>0.6140000000000001</v>
      </c>
    </row>
    <row r="325" spans="2:6" ht="113.25" customHeight="1">
      <c r="B325" s="69" t="s">
        <v>107</v>
      </c>
      <c r="C325" s="70" t="s">
        <v>230</v>
      </c>
      <c r="D325" s="28">
        <v>0.54</v>
      </c>
      <c r="E325" s="29">
        <f t="shared" si="0"/>
        <v>0.46</v>
      </c>
      <c r="F325" s="35">
        <f t="shared" si="1"/>
        <v>1</v>
      </c>
    </row>
    <row r="326" spans="2:6">
      <c r="B326" s="69" t="s">
        <v>154</v>
      </c>
      <c r="C326" s="30"/>
      <c r="D326" s="31">
        <v>0.65</v>
      </c>
      <c r="E326" s="29">
        <f t="shared" si="0"/>
        <v>0.18200000000000002</v>
      </c>
      <c r="F326" s="34">
        <f t="shared" si="1"/>
        <v>0.83200000000000007</v>
      </c>
    </row>
    <row r="327" spans="2:6" ht="30">
      <c r="B327" s="69" t="s">
        <v>160</v>
      </c>
      <c r="C327" s="30"/>
      <c r="D327" s="26">
        <v>0.5</v>
      </c>
      <c r="E327" s="29">
        <f t="shared" si="0"/>
        <v>0.3</v>
      </c>
      <c r="F327" s="34">
        <f t="shared" si="1"/>
        <v>0.8</v>
      </c>
    </row>
    <row r="328" spans="2:6">
      <c r="B328" s="69" t="s">
        <v>177</v>
      </c>
      <c r="C328" s="30"/>
      <c r="D328" s="26">
        <v>0.46</v>
      </c>
      <c r="E328" s="29">
        <f t="shared" si="0"/>
        <v>0.20700000000000002</v>
      </c>
      <c r="F328" s="34">
        <f t="shared" si="1"/>
        <v>0.66700000000000004</v>
      </c>
    </row>
    <row r="329" spans="2:6">
      <c r="B329" s="69" t="s">
        <v>184</v>
      </c>
      <c r="C329" s="30"/>
      <c r="D329" s="31">
        <v>0.63</v>
      </c>
      <c r="E329" s="29">
        <f t="shared" si="0"/>
        <v>0.15</v>
      </c>
      <c r="F329" s="34">
        <f t="shared" si="1"/>
        <v>0.78</v>
      </c>
    </row>
    <row r="330" spans="2:6">
      <c r="B330" s="69" t="s">
        <v>192</v>
      </c>
      <c r="C330" s="30"/>
      <c r="D330" s="26">
        <v>0.43</v>
      </c>
      <c r="E330" s="29">
        <f t="shared" si="0"/>
        <v>0.20599999999999999</v>
      </c>
      <c r="F330" s="34">
        <f t="shared" si="1"/>
        <v>0.63600000000000001</v>
      </c>
    </row>
    <row r="331" spans="2:6">
      <c r="B331" s="69" t="s">
        <v>193</v>
      </c>
      <c r="C331" s="30"/>
      <c r="D331" s="31">
        <v>0.62</v>
      </c>
      <c r="E331" s="29">
        <f t="shared" si="0"/>
        <v>0.187</v>
      </c>
      <c r="F331" s="34">
        <f t="shared" si="1"/>
        <v>0.80699999999999994</v>
      </c>
    </row>
    <row r="332" spans="2:6">
      <c r="B332" s="69" t="s">
        <v>196</v>
      </c>
      <c r="C332" s="70" t="s">
        <v>220</v>
      </c>
      <c r="D332" s="31">
        <v>0.61</v>
      </c>
      <c r="E332" s="29">
        <f t="shared" si="0"/>
        <v>0.13</v>
      </c>
      <c r="F332" s="34">
        <f t="shared" si="1"/>
        <v>0.74</v>
      </c>
    </row>
    <row r="333" spans="2:6">
      <c r="B333" s="69" t="s">
        <v>204</v>
      </c>
      <c r="C333" s="70" t="s">
        <v>220</v>
      </c>
      <c r="D333" s="26">
        <v>0.53</v>
      </c>
      <c r="E333" s="29">
        <f t="shared" si="0"/>
        <v>0.20100000000000001</v>
      </c>
      <c r="F333" s="34">
        <f t="shared" si="1"/>
        <v>0.73100000000000009</v>
      </c>
    </row>
    <row r="334" spans="2:6" ht="75">
      <c r="B334" s="69" t="s">
        <v>205</v>
      </c>
      <c r="C334" s="70" t="s">
        <v>235</v>
      </c>
      <c r="D334" s="28">
        <v>0.54</v>
      </c>
      <c r="E334" s="29">
        <f>SUMIF($B$2:$B$313,B334,$G$2:$G$313)/100</f>
        <v>0.251</v>
      </c>
      <c r="F334" s="34">
        <f t="shared" si="1"/>
        <v>0.79100000000000004</v>
      </c>
    </row>
    <row r="335" spans="2:6" ht="138" customHeight="1">
      <c r="B335" s="69" t="s">
        <v>216</v>
      </c>
      <c r="C335" s="70" t="s">
        <v>237</v>
      </c>
      <c r="D335" s="28">
        <v>0.27</v>
      </c>
      <c r="E335" s="29">
        <f>SUMIF($B$2:$B$313,B335,$G$2:$G$313)/100</f>
        <v>0.23000000000000004</v>
      </c>
      <c r="F335" s="35">
        <f t="shared" si="1"/>
        <v>0.5</v>
      </c>
    </row>
    <row r="336" spans="2:6" ht="30">
      <c r="B336" s="69" t="s">
        <v>231</v>
      </c>
      <c r="C336" s="71" t="s">
        <v>232</v>
      </c>
      <c r="D336" s="32">
        <v>0.61</v>
      </c>
      <c r="E336" s="29">
        <f>SUMIF($B$2:$B$313,B336,$G$2:$G$313)/100</f>
        <v>0</v>
      </c>
      <c r="F336" s="34">
        <f t="shared" si="1"/>
        <v>0.61</v>
      </c>
    </row>
    <row r="337" spans="2:6" ht="28.5" customHeight="1">
      <c r="B337" s="69" t="s">
        <v>233</v>
      </c>
      <c r="C337" s="71" t="s">
        <v>232</v>
      </c>
      <c r="D337" s="26">
        <v>0.44</v>
      </c>
      <c r="E337" s="29">
        <f>SUMIF($B$2:$B$313,B337,$G$2:$G$313)/100</f>
        <v>0</v>
      </c>
      <c r="F337" s="35">
        <f t="shared" si="1"/>
        <v>0.44</v>
      </c>
    </row>
    <row r="338" spans="2:6" ht="17.25" customHeight="1">
      <c r="B338" s="69" t="s">
        <v>234</v>
      </c>
      <c r="C338" s="71" t="s">
        <v>232</v>
      </c>
      <c r="D338" s="26">
        <v>0.36</v>
      </c>
      <c r="E338" s="29">
        <f>SUMIF($B$2:$B$313,B338,$G$2:$G$313)/100</f>
        <v>0</v>
      </c>
      <c r="F338" s="35">
        <f t="shared" si="1"/>
        <v>0.36</v>
      </c>
    </row>
  </sheetData>
  <autoFilter ref="B1:H313" xr:uid="{00000000-0009-0000-0000-000000000000}"/>
  <mergeCells count="111">
    <mergeCell ref="B23:B58"/>
    <mergeCell ref="C23:C58"/>
    <mergeCell ref="D23:D58"/>
    <mergeCell ref="F23:F58"/>
    <mergeCell ref="G23:G58"/>
    <mergeCell ref="H23:H58"/>
    <mergeCell ref="B84:B87"/>
    <mergeCell ref="C84:C87"/>
    <mergeCell ref="D84:D87"/>
    <mergeCell ref="F84:F87"/>
    <mergeCell ref="G84:G87"/>
    <mergeCell ref="H84:H87"/>
    <mergeCell ref="B59:B83"/>
    <mergeCell ref="C59:C83"/>
    <mergeCell ref="D59:D83"/>
    <mergeCell ref="F59:F83"/>
    <mergeCell ref="G59:G83"/>
    <mergeCell ref="H59:H83"/>
    <mergeCell ref="B99:B101"/>
    <mergeCell ref="C99:C101"/>
    <mergeCell ref="D99:D101"/>
    <mergeCell ref="F99:F101"/>
    <mergeCell ref="G99:G101"/>
    <mergeCell ref="H99:H101"/>
    <mergeCell ref="B88:B98"/>
    <mergeCell ref="C88:C98"/>
    <mergeCell ref="D88:D98"/>
    <mergeCell ref="F88:F98"/>
    <mergeCell ref="G88:G98"/>
    <mergeCell ref="H88:H98"/>
    <mergeCell ref="B117:B127"/>
    <mergeCell ref="C117:C127"/>
    <mergeCell ref="D117:D127"/>
    <mergeCell ref="F117:F127"/>
    <mergeCell ref="G117:G127"/>
    <mergeCell ref="H117:H127"/>
    <mergeCell ref="B102:B116"/>
    <mergeCell ref="C102:C116"/>
    <mergeCell ref="D102:D116"/>
    <mergeCell ref="F102:F116"/>
    <mergeCell ref="G102:G116"/>
    <mergeCell ref="H102:H116"/>
    <mergeCell ref="B151:B167"/>
    <mergeCell ref="C151:C167"/>
    <mergeCell ref="D151:D167"/>
    <mergeCell ref="F151:F167"/>
    <mergeCell ref="G151:G167"/>
    <mergeCell ref="H151:H167"/>
    <mergeCell ref="B136:B137"/>
    <mergeCell ref="C136:C137"/>
    <mergeCell ref="D136:D137"/>
    <mergeCell ref="F136:F137"/>
    <mergeCell ref="G136:G137"/>
    <mergeCell ref="H136:H137"/>
    <mergeCell ref="B128:B129"/>
    <mergeCell ref="C128:C129"/>
    <mergeCell ref="D128:D129"/>
    <mergeCell ref="F128:F129"/>
    <mergeCell ref="G128:G129"/>
    <mergeCell ref="H128:H129"/>
    <mergeCell ref="B180:B183"/>
    <mergeCell ref="C180:C183"/>
    <mergeCell ref="D180:D183"/>
    <mergeCell ref="F180:F183"/>
    <mergeCell ref="G180:G183"/>
    <mergeCell ref="H180:H183"/>
    <mergeCell ref="B168:B179"/>
    <mergeCell ref="C168:C179"/>
    <mergeCell ref="D168:D179"/>
    <mergeCell ref="F168:F179"/>
    <mergeCell ref="G168:G179"/>
    <mergeCell ref="H168:H179"/>
    <mergeCell ref="B200:B211"/>
    <mergeCell ref="C200:C211"/>
    <mergeCell ref="D200:D211"/>
    <mergeCell ref="F200:F211"/>
    <mergeCell ref="G200:G211"/>
    <mergeCell ref="H200:H211"/>
    <mergeCell ref="B184:B199"/>
    <mergeCell ref="C184:C199"/>
    <mergeCell ref="D184:D199"/>
    <mergeCell ref="F184:F199"/>
    <mergeCell ref="G184:G199"/>
    <mergeCell ref="H184:H199"/>
    <mergeCell ref="B224:B235"/>
    <mergeCell ref="C224:C235"/>
    <mergeCell ref="D224:D235"/>
    <mergeCell ref="F224:F235"/>
    <mergeCell ref="G224:G235"/>
    <mergeCell ref="H224:H235"/>
    <mergeCell ref="B212:B223"/>
    <mergeCell ref="C212:C223"/>
    <mergeCell ref="D212:D223"/>
    <mergeCell ref="F212:F223"/>
    <mergeCell ref="G212:G223"/>
    <mergeCell ref="H212:H223"/>
    <mergeCell ref="B256:B257"/>
    <mergeCell ref="C256:C257"/>
    <mergeCell ref="D256:D257"/>
    <mergeCell ref="F256:F257"/>
    <mergeCell ref="H256:H257"/>
    <mergeCell ref="B253:B255"/>
    <mergeCell ref="C253:C255"/>
    <mergeCell ref="D253:D255"/>
    <mergeCell ref="F253:F255"/>
    <mergeCell ref="H253:H255"/>
    <mergeCell ref="B249:B252"/>
    <mergeCell ref="C249:C252"/>
    <mergeCell ref="D249:D252"/>
    <mergeCell ref="F249:F252"/>
    <mergeCell ref="H249:H252"/>
  </mergeCells>
  <hyperlinks>
    <hyperlink ref="E27" r:id="rId1" xr:uid="{00000000-0004-0000-0000-000000000000}"/>
    <hyperlink ref="E78" r:id="rId2" xr:uid="{00000000-0004-0000-0000-000001000000}"/>
    <hyperlink ref="E83" r:id="rId3" xr:uid="{00000000-0004-0000-0000-000002000000}"/>
    <hyperlink ref="E163" r:id="rId4" xr:uid="{00000000-0004-0000-0000-000003000000}"/>
    <hyperlink ref="E203" r:id="rId5" xr:uid="{00000000-0004-0000-0000-000004000000}"/>
    <hyperlink ref="E209" r:id="rId6" xr:uid="{00000000-0004-0000-0000-000005000000}"/>
    <hyperlink ref="E210" r:id="rId7" xr:uid="{00000000-0004-0000-0000-000006000000}"/>
    <hyperlink ref="E211" r:id="rId8" xr:uid="{00000000-0004-0000-0000-000007000000}"/>
    <hyperlink ref="E214" r:id="rId9" xr:uid="{00000000-0004-0000-0000-000008000000}"/>
    <hyperlink ref="E215" r:id="rId10" xr:uid="{00000000-0004-0000-0000-000009000000}"/>
    <hyperlink ref="E250" r:id="rId11" xr:uid="{00000000-0004-0000-0000-00000A000000}"/>
  </hyperlinks>
  <pageMargins left="0.7" right="0.7" top="0.75" bottom="0.75" header="0.3" footer="0.3"/>
  <pageSetup paperSize="9" orientation="portrait" r:id="rId1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24"/>
  <sheetViews>
    <sheetView zoomScale="86" zoomScaleNormal="86" workbookViewId="0">
      <selection activeCell="I1" sqref="I1:M1048576"/>
    </sheetView>
  </sheetViews>
  <sheetFormatPr baseColWidth="10" defaultColWidth="8.83203125" defaultRowHeight="16"/>
  <cols>
    <col min="1" max="1" width="3.83203125" customWidth="1"/>
    <col min="2" max="2" width="24.6640625" customWidth="1"/>
    <col min="3" max="3" width="12" customWidth="1"/>
    <col min="4" max="4" width="21.5" customWidth="1"/>
    <col min="5" max="5" width="58.1640625" customWidth="1"/>
    <col min="6" max="6" width="15.33203125" customWidth="1"/>
    <col min="7" max="7" width="19.6640625" customWidth="1"/>
    <col min="8" max="8" width="12.6640625" customWidth="1"/>
  </cols>
  <sheetData>
    <row r="1" spans="2:8" ht="30">
      <c r="B1" s="42" t="s">
        <v>0</v>
      </c>
      <c r="C1" s="42" t="s">
        <v>1</v>
      </c>
      <c r="D1" s="42" t="s">
        <v>2</v>
      </c>
      <c r="E1" s="42" t="s">
        <v>3</v>
      </c>
      <c r="F1" s="42" t="s">
        <v>4</v>
      </c>
      <c r="G1" s="43" t="s">
        <v>5</v>
      </c>
      <c r="H1" s="42" t="s">
        <v>6</v>
      </c>
    </row>
    <row r="2" spans="2:8" ht="35.25" customHeight="1">
      <c r="B2" s="53" t="s">
        <v>238</v>
      </c>
      <c r="C2" s="46" t="s">
        <v>24</v>
      </c>
      <c r="D2" s="47" t="s">
        <v>272</v>
      </c>
      <c r="E2" s="47" t="s">
        <v>259</v>
      </c>
      <c r="F2" s="58">
        <v>46326</v>
      </c>
      <c r="G2" s="49">
        <v>5.3</v>
      </c>
    </row>
    <row r="3" spans="2:8">
      <c r="B3" s="44" t="s">
        <v>239</v>
      </c>
      <c r="E3" s="57" t="s">
        <v>270</v>
      </c>
    </row>
    <row r="4" spans="2:8" s="49" customFormat="1" ht="16.5" customHeight="1">
      <c r="B4" s="141" t="s">
        <v>240</v>
      </c>
      <c r="C4" s="51" t="s">
        <v>9</v>
      </c>
      <c r="D4" s="54" t="s">
        <v>15</v>
      </c>
      <c r="E4" s="54" t="s">
        <v>260</v>
      </c>
      <c r="F4" s="50">
        <v>46295</v>
      </c>
      <c r="G4" s="49">
        <v>2.5</v>
      </c>
    </row>
    <row r="5" spans="2:8">
      <c r="B5" s="141"/>
      <c r="C5" s="48" t="s">
        <v>24</v>
      </c>
      <c r="D5" s="54" t="s">
        <v>39</v>
      </c>
      <c r="E5" s="41" t="s">
        <v>261</v>
      </c>
      <c r="F5" s="45">
        <v>46356</v>
      </c>
      <c r="G5">
        <v>2.5</v>
      </c>
    </row>
    <row r="6" spans="2:8">
      <c r="B6" s="44" t="s">
        <v>241</v>
      </c>
      <c r="E6" s="57" t="s">
        <v>270</v>
      </c>
    </row>
    <row r="7" spans="2:8" s="49" customFormat="1" ht="64">
      <c r="B7" s="52" t="s">
        <v>242</v>
      </c>
      <c r="C7" s="51" t="s">
        <v>9</v>
      </c>
      <c r="D7" s="54" t="s">
        <v>15</v>
      </c>
      <c r="E7" s="54" t="s">
        <v>263</v>
      </c>
      <c r="F7" s="50">
        <v>46295</v>
      </c>
      <c r="G7" s="49">
        <v>3.7</v>
      </c>
    </row>
    <row r="8" spans="2:8" ht="48">
      <c r="B8" s="52" t="s">
        <v>243</v>
      </c>
      <c r="D8" s="54" t="s">
        <v>15</v>
      </c>
      <c r="E8" s="41" t="s">
        <v>262</v>
      </c>
      <c r="F8" s="50">
        <v>46295</v>
      </c>
      <c r="G8" s="49">
        <v>1.7</v>
      </c>
    </row>
    <row r="9" spans="2:8">
      <c r="B9" s="55" t="s">
        <v>244</v>
      </c>
      <c r="C9" s="60"/>
      <c r="D9" s="60"/>
      <c r="E9" s="61" t="s">
        <v>264</v>
      </c>
      <c r="F9" s="60"/>
      <c r="G9" s="60"/>
      <c r="H9" s="60"/>
    </row>
    <row r="10" spans="2:8">
      <c r="B10" s="44" t="s">
        <v>245</v>
      </c>
      <c r="E10" s="57" t="s">
        <v>269</v>
      </c>
    </row>
    <row r="11" spans="2:8" ht="80">
      <c r="B11" s="52" t="s">
        <v>246</v>
      </c>
      <c r="C11" s="51" t="s">
        <v>24</v>
      </c>
      <c r="D11" s="54" t="s">
        <v>10</v>
      </c>
      <c r="E11" s="56" t="s">
        <v>265</v>
      </c>
      <c r="F11" s="50">
        <v>46326</v>
      </c>
      <c r="G11" s="49">
        <v>4</v>
      </c>
    </row>
    <row r="12" spans="2:8">
      <c r="B12" s="44" t="s">
        <v>271</v>
      </c>
      <c r="E12" s="57" t="s">
        <v>269</v>
      </c>
    </row>
    <row r="13" spans="2:8">
      <c r="B13" s="44" t="s">
        <v>247</v>
      </c>
      <c r="C13" s="51" t="s">
        <v>9</v>
      </c>
      <c r="E13" s="41" t="s">
        <v>266</v>
      </c>
      <c r="F13" s="50">
        <v>46295</v>
      </c>
      <c r="G13">
        <v>3.9</v>
      </c>
    </row>
    <row r="14" spans="2:8">
      <c r="B14" s="44" t="s">
        <v>248</v>
      </c>
      <c r="E14" s="57" t="s">
        <v>269</v>
      </c>
    </row>
    <row r="15" spans="2:8" ht="64">
      <c r="B15" s="52" t="s">
        <v>249</v>
      </c>
      <c r="C15" s="51" t="s">
        <v>24</v>
      </c>
      <c r="E15" s="56" t="s">
        <v>267</v>
      </c>
      <c r="F15" s="50">
        <v>46326</v>
      </c>
      <c r="G15" s="49">
        <v>4.2</v>
      </c>
    </row>
    <row r="16" spans="2:8">
      <c r="B16" s="55" t="s">
        <v>250</v>
      </c>
      <c r="C16" s="60"/>
      <c r="D16" s="60"/>
      <c r="E16" s="61" t="s">
        <v>264</v>
      </c>
      <c r="F16" s="60"/>
      <c r="G16" s="60"/>
      <c r="H16" s="60"/>
    </row>
    <row r="17" spans="2:8">
      <c r="B17" s="44" t="s">
        <v>251</v>
      </c>
      <c r="E17" s="57" t="s">
        <v>269</v>
      </c>
    </row>
    <row r="18" spans="2:8">
      <c r="B18" s="55" t="s">
        <v>252</v>
      </c>
      <c r="C18" s="60"/>
      <c r="D18" s="60"/>
      <c r="E18" s="61" t="s">
        <v>264</v>
      </c>
      <c r="F18" s="60"/>
      <c r="G18" s="60"/>
      <c r="H18" s="60"/>
    </row>
    <row r="19" spans="2:8">
      <c r="B19" s="55" t="s">
        <v>253</v>
      </c>
      <c r="C19" s="60"/>
      <c r="D19" s="60"/>
      <c r="E19" s="61" t="s">
        <v>264</v>
      </c>
      <c r="F19" s="60"/>
      <c r="G19" s="60"/>
      <c r="H19" s="60"/>
    </row>
    <row r="20" spans="2:8" ht="48">
      <c r="B20" s="52" t="s">
        <v>254</v>
      </c>
      <c r="E20" s="41" t="s">
        <v>268</v>
      </c>
      <c r="F20" s="50">
        <v>46356</v>
      </c>
      <c r="G20" s="49">
        <f>4.8+4.9+0.5</f>
        <v>10.199999999999999</v>
      </c>
    </row>
    <row r="21" spans="2:8">
      <c r="B21" s="44" t="s">
        <v>255</v>
      </c>
      <c r="E21" s="57" t="s">
        <v>269</v>
      </c>
    </row>
    <row r="22" spans="2:8">
      <c r="B22" s="44" t="s">
        <v>256</v>
      </c>
      <c r="E22" s="57" t="s">
        <v>269</v>
      </c>
    </row>
    <row r="23" spans="2:8">
      <c r="B23" s="55" t="s">
        <v>257</v>
      </c>
      <c r="C23" s="60"/>
      <c r="D23" s="60"/>
      <c r="E23" s="61" t="s">
        <v>264</v>
      </c>
      <c r="F23" s="60"/>
      <c r="G23" s="60"/>
      <c r="H23" s="60"/>
    </row>
    <row r="24" spans="2:8" ht="17" thickBot="1">
      <c r="B24" s="59" t="s">
        <v>258</v>
      </c>
      <c r="C24" s="62"/>
      <c r="D24" s="62"/>
      <c r="E24" s="63" t="s">
        <v>264</v>
      </c>
      <c r="F24" s="62"/>
      <c r="G24" s="62"/>
      <c r="H24" s="62"/>
    </row>
  </sheetData>
  <mergeCells count="1">
    <mergeCell ref="B4:B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7"/>
  <sheetViews>
    <sheetView zoomScale="89" zoomScaleNormal="89" workbookViewId="0">
      <selection activeCell="I1" sqref="I1:M1048576"/>
    </sheetView>
  </sheetViews>
  <sheetFormatPr baseColWidth="10" defaultColWidth="8.83203125" defaultRowHeight="16"/>
  <cols>
    <col min="1" max="1" width="4.5" customWidth="1"/>
    <col min="2" max="2" width="11.6640625" customWidth="1"/>
    <col min="3" max="3" width="10.83203125" customWidth="1"/>
    <col min="4" max="4" width="20.5" customWidth="1"/>
    <col min="5" max="5" width="39.5" customWidth="1"/>
    <col min="6" max="6" width="18" customWidth="1"/>
    <col min="7" max="7" width="19.6640625" customWidth="1"/>
    <col min="8" max="8" width="13.6640625" customWidth="1"/>
  </cols>
  <sheetData>
    <row r="1" spans="2:8" ht="31" thickBot="1">
      <c r="B1" s="42" t="s">
        <v>0</v>
      </c>
      <c r="C1" s="42" t="s">
        <v>1</v>
      </c>
      <c r="D1" s="42" t="s">
        <v>2</v>
      </c>
      <c r="E1" s="42" t="s">
        <v>3</v>
      </c>
      <c r="F1" s="42" t="s">
        <v>4</v>
      </c>
      <c r="G1" s="43" t="s">
        <v>5</v>
      </c>
      <c r="H1" s="42" t="s">
        <v>6</v>
      </c>
    </row>
    <row r="2" spans="2:8" ht="75">
      <c r="B2" s="142" t="s">
        <v>321</v>
      </c>
      <c r="C2" s="95" t="s">
        <v>313</v>
      </c>
      <c r="D2" s="95" t="s">
        <v>17</v>
      </c>
      <c r="E2" s="95" t="s">
        <v>314</v>
      </c>
      <c r="F2" s="103" t="s">
        <v>315</v>
      </c>
      <c r="G2" s="104">
        <v>3.8</v>
      </c>
      <c r="H2" s="95" t="s">
        <v>316</v>
      </c>
    </row>
    <row r="3" spans="2:8" ht="30">
      <c r="B3" s="143"/>
      <c r="C3" s="1" t="s">
        <v>317</v>
      </c>
      <c r="D3" s="1" t="s">
        <v>17</v>
      </c>
      <c r="E3" s="1" t="s">
        <v>318</v>
      </c>
      <c r="F3" s="4" t="s">
        <v>317</v>
      </c>
      <c r="G3" s="6">
        <v>1.9</v>
      </c>
      <c r="H3" s="1" t="s">
        <v>316</v>
      </c>
    </row>
    <row r="4" spans="2:8" ht="17" thickBot="1">
      <c r="B4" s="144"/>
      <c r="C4" s="99" t="s">
        <v>313</v>
      </c>
      <c r="D4" s="99" t="s">
        <v>319</v>
      </c>
      <c r="E4" s="99" t="s">
        <v>320</v>
      </c>
      <c r="F4" s="105" t="s">
        <v>313</v>
      </c>
      <c r="G4" s="106">
        <v>3.8</v>
      </c>
      <c r="H4" s="99" t="s">
        <v>21</v>
      </c>
    </row>
    <row r="5" spans="2:8" ht="45">
      <c r="B5" s="142" t="s">
        <v>322</v>
      </c>
      <c r="C5" s="95" t="s">
        <v>9</v>
      </c>
      <c r="D5" s="95" t="s">
        <v>323</v>
      </c>
      <c r="E5" s="95" t="s">
        <v>324</v>
      </c>
      <c r="F5" s="103">
        <v>46295</v>
      </c>
      <c r="G5" s="104">
        <v>1</v>
      </c>
      <c r="H5" s="95" t="s">
        <v>21</v>
      </c>
    </row>
    <row r="6" spans="2:8" ht="30">
      <c r="B6" s="143" t="s">
        <v>322</v>
      </c>
      <c r="C6" s="1" t="s">
        <v>9</v>
      </c>
      <c r="D6" s="1" t="s">
        <v>325</v>
      </c>
      <c r="E6" s="1" t="s">
        <v>326</v>
      </c>
      <c r="F6" s="4">
        <v>46295</v>
      </c>
      <c r="G6" s="6">
        <v>2</v>
      </c>
      <c r="H6" s="1" t="s">
        <v>21</v>
      </c>
    </row>
    <row r="7" spans="2:8" ht="31" thickBot="1">
      <c r="B7" s="144" t="s">
        <v>322</v>
      </c>
      <c r="C7" s="99" t="s">
        <v>24</v>
      </c>
      <c r="D7" s="99" t="s">
        <v>323</v>
      </c>
      <c r="E7" s="99" t="s">
        <v>327</v>
      </c>
      <c r="F7" s="105">
        <v>46326</v>
      </c>
      <c r="G7" s="106">
        <v>2.4</v>
      </c>
      <c r="H7" s="99" t="s">
        <v>21</v>
      </c>
    </row>
  </sheetData>
  <mergeCells count="2">
    <mergeCell ref="B2:B4"/>
    <mergeCell ref="B5:B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H35"/>
  <sheetViews>
    <sheetView zoomScale="84" zoomScaleNormal="84" workbookViewId="0">
      <pane ySplit="1" topLeftCell="A2" activePane="bottomLeft" state="frozen"/>
      <selection pane="bottomLeft" activeCell="I1" sqref="I1:N1048576"/>
    </sheetView>
  </sheetViews>
  <sheetFormatPr baseColWidth="10" defaultColWidth="8.83203125" defaultRowHeight="16"/>
  <cols>
    <col min="1" max="1" width="4.5" customWidth="1"/>
    <col min="2" max="2" width="16.6640625" customWidth="1"/>
    <col min="3" max="3" width="13.1640625" customWidth="1"/>
    <col min="4" max="4" width="16" style="77" customWidth="1"/>
    <col min="5" max="5" width="64.1640625" style="77" customWidth="1"/>
    <col min="6" max="6" width="14.5" customWidth="1"/>
    <col min="7" max="7" width="19.33203125" customWidth="1"/>
    <col min="8" max="8" width="10.1640625" customWidth="1"/>
  </cols>
  <sheetData>
    <row r="1" spans="2:8" ht="39" customHeight="1" thickBot="1">
      <c r="B1" s="42" t="s">
        <v>275</v>
      </c>
      <c r="C1" s="42" t="s">
        <v>1</v>
      </c>
      <c r="D1" s="42" t="s">
        <v>2</v>
      </c>
      <c r="E1" s="42" t="s">
        <v>3</v>
      </c>
      <c r="F1" s="42" t="s">
        <v>4</v>
      </c>
      <c r="G1" s="43" t="s">
        <v>5</v>
      </c>
      <c r="H1" s="42" t="s">
        <v>6</v>
      </c>
    </row>
    <row r="2" spans="2:8" ht="63.75" customHeight="1">
      <c r="B2" s="145" t="s">
        <v>273</v>
      </c>
      <c r="C2" s="72"/>
      <c r="D2" s="74" t="s">
        <v>65</v>
      </c>
      <c r="E2" s="78" t="s">
        <v>281</v>
      </c>
      <c r="F2" s="72"/>
      <c r="G2" s="74">
        <v>4</v>
      </c>
      <c r="H2" s="72"/>
    </row>
    <row r="3" spans="2:8" ht="30">
      <c r="B3" s="146"/>
      <c r="D3" s="75" t="s">
        <v>10</v>
      </c>
      <c r="E3" s="79" t="s">
        <v>282</v>
      </c>
      <c r="G3" s="75">
        <v>4</v>
      </c>
    </row>
    <row r="4" spans="2:8" ht="67.5" customHeight="1">
      <c r="B4" s="146"/>
      <c r="D4" s="75" t="s">
        <v>39</v>
      </c>
      <c r="E4" s="79" t="s">
        <v>283</v>
      </c>
      <c r="G4" s="75">
        <v>2</v>
      </c>
    </row>
    <row r="5" spans="2:8" ht="46" thickBot="1">
      <c r="B5" s="147"/>
      <c r="C5" s="81"/>
      <c r="D5" s="76" t="s">
        <v>15</v>
      </c>
      <c r="E5" s="80" t="s">
        <v>284</v>
      </c>
      <c r="F5" s="82"/>
      <c r="G5" s="76">
        <v>1</v>
      </c>
      <c r="H5" s="73"/>
    </row>
    <row r="6" spans="2:8" ht="54" customHeight="1">
      <c r="B6" s="145" t="s">
        <v>274</v>
      </c>
      <c r="C6" s="72"/>
      <c r="D6" s="74" t="s">
        <v>65</v>
      </c>
      <c r="E6" s="78" t="s">
        <v>281</v>
      </c>
      <c r="F6" s="72"/>
      <c r="G6" s="74">
        <v>3.8</v>
      </c>
      <c r="H6" s="72"/>
    </row>
    <row r="7" spans="2:8" ht="45">
      <c r="B7" s="146"/>
      <c r="D7" s="75" t="s">
        <v>10</v>
      </c>
      <c r="E7" s="79" t="s">
        <v>288</v>
      </c>
      <c r="G7" s="75">
        <v>1.9</v>
      </c>
    </row>
    <row r="8" spans="2:8" ht="81" customHeight="1">
      <c r="B8" s="146"/>
      <c r="D8" s="75" t="s">
        <v>39</v>
      </c>
      <c r="E8" s="79" t="s">
        <v>287</v>
      </c>
      <c r="G8" s="75">
        <v>1.9</v>
      </c>
    </row>
    <row r="9" spans="2:8" ht="45">
      <c r="B9" s="146"/>
      <c r="D9" s="75" t="s">
        <v>15</v>
      </c>
      <c r="E9" s="79" t="s">
        <v>284</v>
      </c>
      <c r="G9" s="75">
        <v>2.5</v>
      </c>
    </row>
    <row r="10" spans="2:8" ht="46" thickBot="1">
      <c r="B10" s="147"/>
      <c r="C10" s="73"/>
      <c r="D10" s="76" t="s">
        <v>17</v>
      </c>
      <c r="E10" s="80" t="s">
        <v>289</v>
      </c>
      <c r="F10" s="73"/>
      <c r="G10" s="76">
        <v>3.8</v>
      </c>
      <c r="H10" s="73"/>
    </row>
    <row r="11" spans="2:8">
      <c r="B11" s="145" t="s">
        <v>279</v>
      </c>
      <c r="C11" s="72"/>
      <c r="D11" s="74" t="s">
        <v>65</v>
      </c>
      <c r="E11" s="85" t="s">
        <v>88</v>
      </c>
      <c r="F11" s="72"/>
      <c r="G11" s="74">
        <v>4.3</v>
      </c>
      <c r="H11" s="72"/>
    </row>
    <row r="12" spans="2:8" ht="30">
      <c r="B12" s="146"/>
      <c r="D12" s="75" t="s">
        <v>10</v>
      </c>
      <c r="E12" s="83" t="s">
        <v>290</v>
      </c>
      <c r="G12" s="75">
        <v>4.3</v>
      </c>
    </row>
    <row r="13" spans="2:8" ht="42" customHeight="1">
      <c r="B13" s="146"/>
      <c r="D13" s="75" t="s">
        <v>39</v>
      </c>
      <c r="E13" s="84" t="s">
        <v>293</v>
      </c>
      <c r="G13" s="75">
        <v>8.6</v>
      </c>
    </row>
    <row r="14" spans="2:8" ht="30">
      <c r="B14" s="146"/>
      <c r="D14" s="75" t="s">
        <v>15</v>
      </c>
      <c r="E14" s="83" t="s">
        <v>291</v>
      </c>
      <c r="G14" s="75">
        <v>0.5</v>
      </c>
    </row>
    <row r="15" spans="2:8" ht="32.25" customHeight="1">
      <c r="B15" s="146"/>
      <c r="D15" s="75" t="s">
        <v>17</v>
      </c>
      <c r="E15" s="79" t="s">
        <v>292</v>
      </c>
      <c r="G15" s="75">
        <v>3.3</v>
      </c>
    </row>
    <row r="16" spans="2:8" ht="17" thickBot="1">
      <c r="B16" s="147"/>
      <c r="C16" s="73"/>
      <c r="D16" s="86" t="s">
        <v>20</v>
      </c>
      <c r="E16" s="87" t="s">
        <v>286</v>
      </c>
      <c r="F16" s="73"/>
      <c r="G16" s="76">
        <v>1.1000000000000001</v>
      </c>
      <c r="H16" s="73"/>
    </row>
    <row r="17" spans="2:8">
      <c r="B17" s="145" t="s">
        <v>276</v>
      </c>
      <c r="C17" s="72"/>
      <c r="D17" s="74" t="s">
        <v>65</v>
      </c>
      <c r="E17" s="78" t="s">
        <v>88</v>
      </c>
      <c r="F17" s="72"/>
      <c r="G17" s="74">
        <v>4.9000000000000004</v>
      </c>
      <c r="H17" s="72"/>
    </row>
    <row r="18" spans="2:8">
      <c r="B18" s="146"/>
      <c r="D18" s="75" t="s">
        <v>10</v>
      </c>
      <c r="E18" s="83" t="s">
        <v>295</v>
      </c>
      <c r="G18" s="75">
        <v>4.9000000000000004</v>
      </c>
    </row>
    <row r="19" spans="2:8" ht="30.75" customHeight="1">
      <c r="B19" s="146"/>
      <c r="D19" s="75" t="s">
        <v>39</v>
      </c>
      <c r="E19" s="84" t="s">
        <v>294</v>
      </c>
      <c r="G19" s="75">
        <v>2.4</v>
      </c>
    </row>
    <row r="20" spans="2:8" ht="31" thickBot="1">
      <c r="B20" s="147"/>
      <c r="C20" s="73"/>
      <c r="D20" s="76" t="s">
        <v>15</v>
      </c>
      <c r="E20" s="88" t="s">
        <v>291</v>
      </c>
      <c r="F20" s="73"/>
      <c r="G20" s="76">
        <v>2</v>
      </c>
      <c r="H20" s="73"/>
    </row>
    <row r="21" spans="2:8">
      <c r="B21" s="145" t="s">
        <v>278</v>
      </c>
      <c r="C21" s="72"/>
      <c r="D21" s="74" t="s">
        <v>65</v>
      </c>
      <c r="E21" s="78" t="s">
        <v>88</v>
      </c>
      <c r="F21" s="72"/>
      <c r="G21" s="74">
        <v>5.0999999999999996</v>
      </c>
      <c r="H21" s="72"/>
    </row>
    <row r="22" spans="2:8">
      <c r="B22" s="146"/>
      <c r="D22" s="75" t="s">
        <v>10</v>
      </c>
      <c r="E22" s="83" t="s">
        <v>295</v>
      </c>
      <c r="G22" s="75">
        <v>5.0999999999999996</v>
      </c>
    </row>
    <row r="23" spans="2:8" ht="45">
      <c r="B23" s="146"/>
      <c r="D23" s="75" t="s">
        <v>39</v>
      </c>
      <c r="E23" s="83" t="s">
        <v>296</v>
      </c>
      <c r="G23" s="75">
        <v>5.0999999999999996</v>
      </c>
    </row>
    <row r="24" spans="2:8" ht="31" thickBot="1">
      <c r="B24" s="147"/>
      <c r="C24" s="73"/>
      <c r="D24" s="76" t="s">
        <v>15</v>
      </c>
      <c r="E24" s="88" t="s">
        <v>291</v>
      </c>
      <c r="F24" s="73"/>
      <c r="G24" s="76">
        <v>3.6</v>
      </c>
      <c r="H24" s="73"/>
    </row>
    <row r="25" spans="2:8">
      <c r="B25" s="145" t="s">
        <v>280</v>
      </c>
      <c r="C25" s="72"/>
      <c r="D25" s="74" t="s">
        <v>65</v>
      </c>
      <c r="E25" s="78" t="s">
        <v>88</v>
      </c>
      <c r="F25" s="72"/>
      <c r="G25" s="74">
        <v>4.9000000000000004</v>
      </c>
      <c r="H25" s="72"/>
    </row>
    <row r="26" spans="2:8" ht="40.5" customHeight="1">
      <c r="B26" s="146"/>
      <c r="D26" s="75" t="s">
        <v>10</v>
      </c>
      <c r="E26" s="83" t="s">
        <v>295</v>
      </c>
      <c r="G26" s="75">
        <v>2.4</v>
      </c>
    </row>
    <row r="27" spans="2:8" ht="48.75" customHeight="1" thickBot="1">
      <c r="B27" s="147"/>
      <c r="C27" s="73"/>
      <c r="D27" s="76" t="s">
        <v>39</v>
      </c>
      <c r="E27" s="88" t="s">
        <v>297</v>
      </c>
      <c r="F27" s="73"/>
      <c r="G27" s="76">
        <v>2.4</v>
      </c>
      <c r="H27" s="73"/>
    </row>
    <row r="28" spans="2:8" ht="20.25" customHeight="1">
      <c r="B28" s="145" t="s">
        <v>277</v>
      </c>
      <c r="C28" s="72"/>
      <c r="D28" s="74" t="s">
        <v>10</v>
      </c>
      <c r="E28" s="78" t="s">
        <v>295</v>
      </c>
      <c r="F28" s="72"/>
      <c r="G28" s="74">
        <v>2.2999999999999998</v>
      </c>
      <c r="H28" s="72"/>
    </row>
    <row r="29" spans="2:8" ht="30" customHeight="1">
      <c r="B29" s="146"/>
      <c r="D29" s="75" t="s">
        <v>39</v>
      </c>
      <c r="E29" s="83" t="s">
        <v>297</v>
      </c>
      <c r="G29" s="75">
        <v>4.5</v>
      </c>
    </row>
    <row r="30" spans="2:8" ht="31" thickBot="1">
      <c r="B30" s="147"/>
      <c r="C30" s="73"/>
      <c r="D30" s="76" t="s">
        <v>15</v>
      </c>
      <c r="E30" s="88" t="s">
        <v>298</v>
      </c>
      <c r="F30" s="73"/>
      <c r="G30" s="76">
        <v>1.7</v>
      </c>
      <c r="H30" s="73"/>
    </row>
    <row r="31" spans="2:8" ht="30">
      <c r="B31" s="145" t="s">
        <v>285</v>
      </c>
      <c r="C31" s="72"/>
      <c r="D31" s="74" t="s">
        <v>10</v>
      </c>
      <c r="E31" s="85" t="s">
        <v>290</v>
      </c>
      <c r="F31" s="72"/>
      <c r="G31" s="74">
        <v>4.2</v>
      </c>
      <c r="H31" s="72"/>
    </row>
    <row r="32" spans="2:8" ht="30">
      <c r="B32" s="146"/>
      <c r="D32" s="75" t="s">
        <v>39</v>
      </c>
      <c r="E32" s="83" t="s">
        <v>297</v>
      </c>
      <c r="G32" s="75">
        <v>2.1</v>
      </c>
    </row>
    <row r="33" spans="2:8" ht="30">
      <c r="B33" s="146"/>
      <c r="D33" s="75" t="s">
        <v>15</v>
      </c>
      <c r="E33" s="83" t="s">
        <v>298</v>
      </c>
      <c r="G33" s="75">
        <v>0.6</v>
      </c>
    </row>
    <row r="34" spans="2:8" ht="31" thickBot="1">
      <c r="B34" s="147"/>
      <c r="C34" s="73"/>
      <c r="D34" s="76" t="s">
        <v>17</v>
      </c>
      <c r="E34" s="88" t="s">
        <v>29</v>
      </c>
      <c r="F34" s="73"/>
      <c r="G34" s="76">
        <v>1.1000000000000001</v>
      </c>
      <c r="H34" s="73"/>
    </row>
    <row r="35" spans="2:8">
      <c r="D35" s="75"/>
    </row>
  </sheetData>
  <autoFilter ref="B1:H34" xr:uid="{00000000-0009-0000-0000-000003000000}"/>
  <mergeCells count="8">
    <mergeCell ref="B31:B34"/>
    <mergeCell ref="B25:B27"/>
    <mergeCell ref="B28:B30"/>
    <mergeCell ref="B17:B20"/>
    <mergeCell ref="B21:B24"/>
    <mergeCell ref="B11:B16"/>
    <mergeCell ref="B2:B5"/>
    <mergeCell ref="B6:B1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J3"/>
  <sheetViews>
    <sheetView workbookViewId="0">
      <selection activeCell="I1" sqref="I1:L1048576"/>
    </sheetView>
  </sheetViews>
  <sheetFormatPr baseColWidth="10" defaultColWidth="8.83203125" defaultRowHeight="16"/>
  <cols>
    <col min="1" max="1" width="4.5" customWidth="1"/>
    <col min="3" max="3" width="13.1640625" customWidth="1"/>
    <col min="4" max="4" width="16" customWidth="1"/>
    <col min="5" max="5" width="40.6640625" customWidth="1"/>
    <col min="6" max="6" width="15.33203125" customWidth="1"/>
    <col min="7" max="7" width="19.6640625" customWidth="1"/>
    <col min="9" max="9" width="20.83203125" customWidth="1"/>
    <col min="10" max="10" width="28.6640625" customWidth="1"/>
  </cols>
  <sheetData>
    <row r="1" spans="2:10" ht="30"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5" t="s">
        <v>5</v>
      </c>
      <c r="H1" s="3" t="s">
        <v>6</v>
      </c>
      <c r="I1" s="3" t="s">
        <v>7</v>
      </c>
      <c r="J1" s="8" t="s">
        <v>95</v>
      </c>
    </row>
    <row r="3" spans="2:10">
      <c r="B3" s="107" t="s">
        <v>334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H8"/>
  <sheetViews>
    <sheetView zoomScale="93" zoomScaleNormal="93" workbookViewId="0">
      <selection activeCell="I1" sqref="I1:N1048576"/>
    </sheetView>
  </sheetViews>
  <sheetFormatPr baseColWidth="10" defaultColWidth="8.83203125" defaultRowHeight="16"/>
  <cols>
    <col min="1" max="1" width="4.5" customWidth="1"/>
    <col min="2" max="2" width="20.1640625" customWidth="1"/>
    <col min="3" max="3" width="13.1640625" customWidth="1"/>
    <col min="4" max="4" width="14.5" customWidth="1"/>
    <col min="5" max="5" width="43.1640625" customWidth="1"/>
    <col min="6" max="6" width="13.83203125" customWidth="1"/>
    <col min="7" max="7" width="19.6640625" customWidth="1"/>
  </cols>
  <sheetData>
    <row r="1" spans="2:8" ht="31" thickBot="1">
      <c r="B1" s="42" t="s">
        <v>0</v>
      </c>
      <c r="C1" s="42" t="s">
        <v>1</v>
      </c>
      <c r="D1" s="42" t="s">
        <v>2</v>
      </c>
      <c r="E1" s="42" t="s">
        <v>3</v>
      </c>
      <c r="F1" s="42" t="s">
        <v>4</v>
      </c>
      <c r="G1" s="43" t="s">
        <v>5</v>
      </c>
      <c r="H1" s="42" t="s">
        <v>6</v>
      </c>
    </row>
    <row r="2" spans="2:8" ht="30">
      <c r="B2" s="111" t="s">
        <v>333</v>
      </c>
      <c r="C2" s="95" t="s">
        <v>328</v>
      </c>
      <c r="D2" s="95" t="s">
        <v>10</v>
      </c>
      <c r="E2" s="95" t="s">
        <v>335</v>
      </c>
      <c r="F2" s="109">
        <v>46295</v>
      </c>
      <c r="G2" s="97">
        <v>7</v>
      </c>
      <c r="H2" s="98"/>
    </row>
    <row r="3" spans="2:8" ht="31" thickBot="1">
      <c r="B3" s="112"/>
      <c r="C3" s="99" t="s">
        <v>329</v>
      </c>
      <c r="D3" s="99" t="s">
        <v>20</v>
      </c>
      <c r="E3" s="99" t="s">
        <v>336</v>
      </c>
      <c r="F3" s="110">
        <v>46387</v>
      </c>
      <c r="G3" s="101">
        <v>8.6</v>
      </c>
      <c r="H3" s="102"/>
    </row>
    <row r="4" spans="2:8" ht="45">
      <c r="B4" s="111" t="s">
        <v>330</v>
      </c>
      <c r="C4" s="95" t="s">
        <v>328</v>
      </c>
      <c r="D4" s="95" t="s">
        <v>10</v>
      </c>
      <c r="E4" s="95" t="s">
        <v>337</v>
      </c>
      <c r="F4" s="96">
        <v>46295</v>
      </c>
      <c r="G4" s="97">
        <v>10.5</v>
      </c>
      <c r="H4" s="98"/>
    </row>
    <row r="5" spans="2:8">
      <c r="B5" s="113"/>
      <c r="C5" s="1" t="s">
        <v>328</v>
      </c>
      <c r="D5" s="1" t="s">
        <v>20</v>
      </c>
      <c r="E5" s="1" t="s">
        <v>338</v>
      </c>
      <c r="F5" s="94">
        <v>46295</v>
      </c>
      <c r="G5" s="2">
        <v>1.8</v>
      </c>
    </row>
    <row r="6" spans="2:8" ht="46" thickBot="1">
      <c r="B6" s="112"/>
      <c r="C6" s="99" t="s">
        <v>328</v>
      </c>
      <c r="D6" s="99" t="s">
        <v>27</v>
      </c>
      <c r="E6" s="99" t="s">
        <v>339</v>
      </c>
      <c r="F6" s="100">
        <v>46295</v>
      </c>
      <c r="G6" s="101">
        <v>5.3</v>
      </c>
      <c r="H6" s="102"/>
    </row>
    <row r="7" spans="2:8" ht="30">
      <c r="B7" s="111" t="s">
        <v>331</v>
      </c>
      <c r="C7" s="95" t="s">
        <v>328</v>
      </c>
      <c r="D7" s="95" t="s">
        <v>20</v>
      </c>
      <c r="E7" s="1" t="s">
        <v>340</v>
      </c>
      <c r="F7" s="96">
        <v>46295</v>
      </c>
      <c r="G7" s="97">
        <v>5.5</v>
      </c>
      <c r="H7" s="98"/>
    </row>
    <row r="8" spans="2:8" ht="17" thickBot="1">
      <c r="B8" s="112"/>
      <c r="C8" s="99" t="s">
        <v>328</v>
      </c>
      <c r="D8" s="99" t="s">
        <v>332</v>
      </c>
      <c r="E8" s="99" t="s">
        <v>341</v>
      </c>
      <c r="F8" s="100">
        <v>46295</v>
      </c>
      <c r="G8" s="101">
        <v>3.7</v>
      </c>
      <c r="H8" s="102"/>
    </row>
  </sheetData>
  <mergeCells count="3">
    <mergeCell ref="B2:B3"/>
    <mergeCell ref="B4:B6"/>
    <mergeCell ref="B7:B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H7"/>
  <sheetViews>
    <sheetView zoomScale="89" zoomScaleNormal="89" workbookViewId="0">
      <selection activeCell="I1" sqref="I1:P1048576"/>
    </sheetView>
  </sheetViews>
  <sheetFormatPr baseColWidth="10" defaultColWidth="8.83203125" defaultRowHeight="16"/>
  <cols>
    <col min="1" max="1" width="3.83203125" customWidth="1"/>
    <col min="2" max="2" width="13.6640625" customWidth="1"/>
    <col min="3" max="3" width="13.1640625" customWidth="1"/>
    <col min="4" max="4" width="16" customWidth="1"/>
    <col min="5" max="5" width="37.83203125" customWidth="1"/>
    <col min="6" max="6" width="15.33203125" customWidth="1"/>
    <col min="7" max="7" width="19.6640625" customWidth="1"/>
  </cols>
  <sheetData>
    <row r="1" spans="2:8" ht="30">
      <c r="B1" s="3" t="s">
        <v>304</v>
      </c>
      <c r="C1" s="3" t="s">
        <v>1</v>
      </c>
      <c r="D1" s="3" t="s">
        <v>2</v>
      </c>
      <c r="E1" s="3" t="s">
        <v>3</v>
      </c>
      <c r="F1" s="3" t="s">
        <v>4</v>
      </c>
      <c r="G1" s="5" t="s">
        <v>5</v>
      </c>
      <c r="H1" s="3" t="s">
        <v>6</v>
      </c>
    </row>
    <row r="2" spans="2:8">
      <c r="B2" s="90" t="s">
        <v>305</v>
      </c>
    </row>
    <row r="3" spans="2:8" ht="18.75" customHeight="1">
      <c r="B3" s="90" t="s">
        <v>306</v>
      </c>
    </row>
    <row r="4" spans="2:8">
      <c r="B4" s="90" t="s">
        <v>307</v>
      </c>
    </row>
    <row r="5" spans="2:8" ht="30">
      <c r="B5" s="114" t="s">
        <v>308</v>
      </c>
      <c r="D5" s="91" t="s">
        <v>17</v>
      </c>
      <c r="E5" s="91" t="s">
        <v>311</v>
      </c>
      <c r="G5" s="93">
        <v>6.2</v>
      </c>
    </row>
    <row r="6" spans="2:8" ht="30">
      <c r="B6" s="115"/>
      <c r="D6" s="91" t="s">
        <v>27</v>
      </c>
      <c r="E6" s="92" t="s">
        <v>309</v>
      </c>
      <c r="G6" s="93">
        <v>3.1</v>
      </c>
    </row>
    <row r="7" spans="2:8">
      <c r="B7" s="115"/>
      <c r="D7" s="91" t="s">
        <v>39</v>
      </c>
      <c r="E7" s="91" t="s">
        <v>310</v>
      </c>
      <c r="G7" s="93">
        <v>6.1</v>
      </c>
    </row>
  </sheetData>
  <mergeCells count="1">
    <mergeCell ref="B5:B7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H5"/>
  <sheetViews>
    <sheetView tabSelected="1" zoomScale="82" zoomScaleNormal="82" workbookViewId="0">
      <selection activeCell="B3" sqref="B3:B5"/>
    </sheetView>
  </sheetViews>
  <sheetFormatPr baseColWidth="10" defaultColWidth="8.83203125" defaultRowHeight="16"/>
  <cols>
    <col min="1" max="1" width="4.5" customWidth="1"/>
    <col min="2" max="2" width="10.33203125" customWidth="1"/>
    <col min="3" max="3" width="13.1640625" customWidth="1"/>
    <col min="4" max="4" width="16" customWidth="1"/>
    <col min="5" max="5" width="40.6640625" customWidth="1"/>
    <col min="6" max="6" width="15.33203125" customWidth="1"/>
    <col min="7" max="7" width="19.6640625" customWidth="1"/>
  </cols>
  <sheetData>
    <row r="1" spans="2:8" ht="30"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5" t="s">
        <v>5</v>
      </c>
      <c r="H1" s="3" t="s">
        <v>6</v>
      </c>
    </row>
    <row r="2" spans="2:8" ht="64.5" customHeight="1">
      <c r="B2" s="1" t="s">
        <v>299</v>
      </c>
      <c r="C2" s="1" t="s">
        <v>9</v>
      </c>
      <c r="D2" s="75" t="s">
        <v>65</v>
      </c>
      <c r="E2" s="75" t="s">
        <v>312</v>
      </c>
      <c r="G2" s="6">
        <v>5.8</v>
      </c>
    </row>
    <row r="3" spans="2:8" ht="60.75" customHeight="1">
      <c r="B3" s="123" t="s">
        <v>300</v>
      </c>
      <c r="C3" s="1" t="s">
        <v>9</v>
      </c>
      <c r="D3" s="75" t="s">
        <v>27</v>
      </c>
      <c r="E3" s="75" t="s">
        <v>301</v>
      </c>
      <c r="G3" s="6">
        <v>8</v>
      </c>
    </row>
    <row r="4" spans="2:8" ht="85.5" customHeight="1">
      <c r="B4" s="124"/>
      <c r="C4" s="1" t="s">
        <v>9</v>
      </c>
      <c r="D4" s="75" t="s">
        <v>39</v>
      </c>
      <c r="E4" s="89" t="s">
        <v>302</v>
      </c>
      <c r="G4" s="6">
        <v>2</v>
      </c>
    </row>
    <row r="5" spans="2:8" ht="88.5" customHeight="1">
      <c r="B5" s="125"/>
      <c r="C5" s="1" t="s">
        <v>9</v>
      </c>
      <c r="D5" s="75" t="s">
        <v>17</v>
      </c>
      <c r="E5" s="75" t="s">
        <v>303</v>
      </c>
      <c r="G5" s="108">
        <v>4</v>
      </c>
    </row>
  </sheetData>
  <mergeCells count="1">
    <mergeCell ref="B3:B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УБ</vt:lpstr>
      <vt:lpstr>DB</vt:lpstr>
      <vt:lpstr>СВР</vt:lpstr>
      <vt:lpstr>CX</vt:lpstr>
      <vt:lpstr>Data</vt:lpstr>
      <vt:lpstr>DP</vt:lpstr>
      <vt:lpstr>PC</vt:lpstr>
      <vt:lpstr>ДомКлик</vt:lpstr>
    </vt:vector>
  </TitlesOfParts>
  <Company>ПАО Сбербанк России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Рычкова Ирина Юрьевна</dc:creator>
  <cp:lastModifiedBy>Шишко Роман Геннадьевич</cp:lastModifiedBy>
  <dcterms:created xsi:type="dcterms:W3CDTF">2026-08-11T08:03:36Z</dcterms:created>
  <dcterms:modified xsi:type="dcterms:W3CDTF">2026-08-24T10:34:00Z</dcterms:modified>
</cp:coreProperties>
</file>